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F:\DBS1A\"/>
    </mc:Choice>
  </mc:AlternateContent>
  <xr:revisionPtr revIDLastSave="0" documentId="13_ncr:1_{56B9188C-20B3-4DA9-82E2-2A08775520D7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Řazení" sheetId="1" r:id="rId1"/>
    <sheet name="Databázové funkce" sheetId="2" r:id="rId2"/>
    <sheet name="Souhrny" sheetId="3" r:id="rId3"/>
  </sheets>
  <definedNames>
    <definedName name="Duben">'Databázové funkce'!$B$43:$B$85</definedName>
    <definedName name="Tabulka">'Databázové funkce'!$B$2:$E$205</definedName>
  </definedNames>
  <calcPr fullCalcOnLoad="1"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<sst xmlns="http://schemas.openxmlformats.org/spreadsheetml/2006/main" count="1460" uniqueCount="27">
  <si>
    <t>Datum</t>
  </si>
  <si>
    <t>Zástupce</t>
  </si>
  <si>
    <t>Komodita</t>
  </si>
  <si>
    <t>Počet</t>
  </si>
  <si>
    <t>Karel</t>
  </si>
  <si>
    <t>sestava PC</t>
  </si>
  <si>
    <t xml:space="preserve">Pavla </t>
  </si>
  <si>
    <t>kopírka</t>
  </si>
  <si>
    <t>Marie</t>
  </si>
  <si>
    <t>tiskárna</t>
  </si>
  <si>
    <t>Jitka</t>
  </si>
  <si>
    <t>Marek</t>
  </si>
  <si>
    <t>Petr</t>
  </si>
  <si>
    <t>scanner</t>
  </si>
  <si>
    <t>Vladimír</t>
  </si>
  <si>
    <t>notebook</t>
  </si>
  <si>
    <t>monitor</t>
  </si>
  <si>
    <t>&gt;=01.04.2015</t>
  </si>
  <si>
    <t>&lt;=30.04.2015</t>
  </si>
  <si>
    <t>Pavla</t>
  </si>
  <si>
    <t>Richard</t>
  </si>
  <si>
    <t xml:space="preserve">Karel </t>
  </si>
  <si>
    <t xml:space="preserve">Vilma </t>
  </si>
  <si>
    <t>Pobočka</t>
  </si>
  <si>
    <t>Brno</t>
  </si>
  <si>
    <t>Liberec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</si>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</sst>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14" fontId="0" fillId="0" borderId="5" xfId="0" applyNumberFormat="1" applyBorder="1"/>
    <xf numFmtId="164" fontId="0" fillId="0" borderId="7" xfId="0" applyNumberFormat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" fillId="0" borderId="12" xfId="0" applyFont="1" applyBorder="1"/>
    <xf numFmtId="0" fontId="1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</xdr:row>
      <xdr:rowOff>76200</xdr:rowOff>
    </xdr:from>
    <xdr:to>
      <xdr:col>14</xdr:col>
      <xdr:colOff>594360</xdr:colOff>
      <xdr:row>14</xdr:row>
      <xdr:rowOff>106680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20640" y="624840"/>
          <a:ext cx="4785360" cy="20421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Ve sloupci </a:t>
          </a:r>
          <a:r>
            <a:rPr lang="cs-CZ" sz="1100" b="1"/>
            <a:t>Počet </a:t>
          </a:r>
          <a:r>
            <a:rPr lang="cs-CZ" sz="1100" b="0"/>
            <a:t>nastavte</a:t>
          </a:r>
          <a:r>
            <a:rPr lang="cs-CZ" sz="1100" b="0" baseline="0"/>
            <a:t> podmíněné formátování pomocí tří ikon: zelený, žlutý a červený terčík. Rozdělení ikon nastavte tak, aby hodnoty nad 20 byly zobrazeny zelenou, hodnoty mezi 10 a 20 žlutou a nižší hodnoty červenou ikonou.</a:t>
          </a:r>
        </a:p>
        <a:p>
          <a:r>
            <a:rPr lang="cs-CZ" sz="1100" b="0" baseline="0"/>
            <a:t>- </a:t>
          </a:r>
          <a:r>
            <a:rPr lang="cs-CZ" sz="1100" b="1" baseline="0"/>
            <a:t>Celou tabulku</a:t>
          </a:r>
          <a:r>
            <a:rPr lang="cs-CZ" sz="1100" b="0" baseline="0"/>
            <a:t> seřaďte podle prodejců a dále podle ikon v pořadí zelená, žlutá, červená.</a:t>
          </a:r>
          <a:endParaRPr lang="cs-CZ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9</xdr:row>
      <xdr:rowOff>83820</xdr:rowOff>
    </xdr:from>
    <xdr:to>
      <xdr:col>16</xdr:col>
      <xdr:colOff>76200</xdr:colOff>
      <xdr:row>23</xdr:row>
      <xdr:rowOff>91440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905500" y="1729740"/>
          <a:ext cx="4701540" cy="2567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Výpočet celkového počtu dílčích komodit</a:t>
          </a:r>
        </a:p>
        <a:p>
          <a:pPr algn="l"/>
          <a:r>
            <a:rPr lang="cs-CZ" sz="1100" b="0"/>
            <a:t>- Do buňky </a:t>
          </a:r>
          <a:r>
            <a:rPr lang="cs-CZ" sz="1100" b="1"/>
            <a:t>H4 </a:t>
          </a:r>
          <a:r>
            <a:rPr lang="cs-CZ" sz="1100" b="0"/>
            <a:t>vložte funkci </a:t>
          </a:r>
          <a:r>
            <a:rPr lang="cs-CZ" sz="1100" b="1"/>
            <a:t>DSUMA.</a:t>
          </a:r>
          <a:r>
            <a:rPr lang="cs-CZ" sz="1100" b="1" baseline="0"/>
            <a:t> </a:t>
          </a:r>
          <a:r>
            <a:rPr lang="cs-CZ" sz="1100" b="0" baseline="0"/>
            <a:t>Za pomoci funkce DSUMA vraťte celkový počet například </a:t>
          </a:r>
          <a:r>
            <a:rPr lang="cs-CZ" sz="1100" b="1" baseline="0"/>
            <a:t>tiskáren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Zkuste v buňce </a:t>
          </a:r>
          <a:r>
            <a:rPr lang="cs-CZ" sz="1100" b="1" baseline="0"/>
            <a:t>H3</a:t>
          </a:r>
          <a:r>
            <a:rPr lang="cs-CZ" sz="1100" b="0" baseline="0"/>
            <a:t> změnit název komodity na některou jinou.</a:t>
          </a:r>
        </a:p>
        <a:p>
          <a:pPr algn="ctr"/>
          <a:endParaRPr lang="cs-CZ" sz="1100" b="0" baseline="0"/>
        </a:p>
        <a:p>
          <a:pPr algn="ctr"/>
          <a:r>
            <a:rPr lang="cs-CZ" sz="1100" b="1" baseline="0"/>
            <a:t>Některé další dtb funkce</a:t>
          </a:r>
        </a:p>
        <a:p>
          <a:pPr algn="l"/>
          <a:r>
            <a:rPr lang="cs-CZ" sz="1100" b="0" baseline="0"/>
            <a:t>- Označte si oblast celé tabulky a vhodně ji pojmenujte.</a:t>
          </a:r>
        </a:p>
        <a:p>
          <a:pPr algn="l"/>
          <a:r>
            <a:rPr lang="cs-CZ" sz="1100" b="0" baseline="0"/>
            <a:t>- Prvním vzorcem (</a:t>
          </a:r>
          <a:r>
            <a:rPr lang="cs-CZ" sz="1100" b="1" baseline="0"/>
            <a:t>DPOČET2</a:t>
          </a:r>
          <a:r>
            <a:rPr lang="cs-CZ" sz="1100" b="0" baseline="0"/>
            <a:t>) zjistěte </a:t>
          </a:r>
          <a:r>
            <a:rPr lang="cs-CZ" sz="1100" b="1" baseline="0"/>
            <a:t>celkový počet prodejů</a:t>
          </a:r>
          <a:r>
            <a:rPr lang="cs-CZ" sz="1100" b="0" baseline="0"/>
            <a:t>, který uskutečnila </a:t>
          </a:r>
          <a:r>
            <a:rPr lang="cs-CZ" sz="1100" b="1" baseline="0"/>
            <a:t>Jitka.</a:t>
          </a:r>
        </a:p>
        <a:p>
          <a:pPr algn="l"/>
          <a:r>
            <a:rPr lang="cs-CZ" sz="1100" b="0" baseline="0"/>
            <a:t>- Druhým vzorcem (</a:t>
          </a:r>
          <a:r>
            <a:rPr lang="cs-CZ" sz="1100" b="1" baseline="0"/>
            <a:t>DPRŮMĚR</a:t>
          </a:r>
          <a:r>
            <a:rPr lang="cs-CZ" sz="1100" b="0" baseline="0"/>
            <a:t>) zjistěte </a:t>
          </a:r>
          <a:r>
            <a:rPr lang="cs-CZ" sz="1100" b="1" baseline="0"/>
            <a:t>průměrný prodej</a:t>
          </a:r>
          <a:r>
            <a:rPr lang="cs-CZ" sz="1100" b="0" baseline="0"/>
            <a:t> na jednu akci za měsíc </a:t>
          </a:r>
          <a:r>
            <a:rPr lang="cs-CZ" sz="1100" b="1" baseline="0"/>
            <a:t>duben</a:t>
          </a:r>
          <a:r>
            <a:rPr lang="cs-CZ" sz="1100" b="0" baseline="0"/>
            <a:t>.</a:t>
          </a:r>
        </a:p>
        <a:p>
          <a:pPr algn="l"/>
          <a:r>
            <a:rPr lang="cs-CZ" sz="1100" b="0"/>
            <a:t>- Třetím vzorcem (</a:t>
          </a:r>
          <a:r>
            <a:rPr lang="cs-CZ" sz="1100" b="1"/>
            <a:t>DSUMA</a:t>
          </a:r>
          <a:r>
            <a:rPr lang="cs-CZ" sz="1100" b="0"/>
            <a:t>) zjistěte </a:t>
          </a:r>
          <a:r>
            <a:rPr lang="cs-CZ" sz="1100" b="1"/>
            <a:t>celkový počet prodaných notebooků </a:t>
          </a:r>
          <a:r>
            <a:rPr lang="cs-CZ" sz="1100" b="0"/>
            <a:t>a </a:t>
          </a:r>
          <a:r>
            <a:rPr lang="cs-CZ" sz="1100" b="1"/>
            <a:t>sestav PC</a:t>
          </a:r>
          <a:r>
            <a:rPr lang="cs-CZ" sz="1100" b="0"/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7</xdr:row>
      <xdr:rowOff>0</xdr:rowOff>
    </xdr:from>
    <xdr:to>
      <xdr:col>15</xdr:col>
      <xdr:colOff>603885</xdr:colOff>
      <xdr:row>18</xdr:row>
      <xdr:rowOff>30480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819775" y="1333500"/>
          <a:ext cx="4785360" cy="21259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Seřaďte</a:t>
          </a:r>
          <a:r>
            <a:rPr lang="cs-CZ" sz="1100" baseline="0"/>
            <a:t> tabulku do dvou úrovní podle zástupců a poboček, sloupec </a:t>
          </a:r>
          <a:r>
            <a:rPr lang="cs-CZ" sz="1100" b="1" baseline="0"/>
            <a:t>Pobočka </a:t>
          </a:r>
          <a:r>
            <a:rPr lang="cs-CZ" sz="1100" b="0" baseline="0"/>
            <a:t>musí být řazením vyšší úrovně.</a:t>
          </a:r>
        </a:p>
        <a:p>
          <a:r>
            <a:rPr lang="cs-CZ" sz="1100" b="0" baseline="0"/>
            <a:t>- Následně vytvořte dva </a:t>
          </a:r>
          <a:r>
            <a:rPr lang="cs-CZ" sz="1100" b="1" baseline="0"/>
            <a:t>souhrny</a:t>
          </a:r>
          <a:r>
            <a:rPr lang="cs-CZ" sz="1100" b="0" baseline="0"/>
            <a:t> - podle pobočky a poté podle zástupců.</a:t>
          </a:r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selection activeCell="F11" sqref="F11"/>
    </sheetView>
  </sheetViews>
  <sheetFormatPr defaultRowHeight="15"/>
  <cols>
    <col min="2" max="2" width="11.42578125" customWidth="1"/>
    <col min="3" max="3" width="12.5703125" customWidth="1"/>
    <col min="4" max="4" width="14" customWidth="1"/>
  </cols>
  <sheetData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>
      <c r="B3" s="1">
        <v>42183</v>
      </c>
      <c r="C3" t="s">
        <v>10</v>
      </c>
      <c r="D3" t="s">
        <v>5</v>
      </c>
      <c r="E3">
        <v>23</v>
      </c>
    </row>
    <row r="4">
      <c r="B4" s="1">
        <v>42161</v>
      </c>
      <c r="C4" t="s">
        <v>10</v>
      </c>
      <c r="D4" t="s">
        <v>15</v>
      </c>
      <c r="E4">
        <v>25</v>
      </c>
    </row>
    <row r="5">
      <c r="B5" s="1">
        <v>42147</v>
      </c>
      <c r="C5" t="s">
        <v>10</v>
      </c>
      <c r="D5" t="s">
        <v>9</v>
      </c>
      <c r="E5">
        <v>12</v>
      </c>
    </row>
    <row r="6">
      <c r="B6" s="1">
        <v>42158</v>
      </c>
      <c r="C6" t="s">
        <v>10</v>
      </c>
      <c r="D6" t="s">
        <v>13</v>
      </c>
      <c r="E6">
        <v>20</v>
      </c>
    </row>
    <row r="7">
      <c r="B7" s="1">
        <v>42189</v>
      </c>
      <c r="C7" t="s">
        <v>10</v>
      </c>
      <c r="D7" t="s">
        <v>9</v>
      </c>
      <c r="E7">
        <v>11</v>
      </c>
    </row>
    <row r="8">
      <c r="B8" s="1">
        <v>42116</v>
      </c>
      <c r="C8" t="s">
        <v>10</v>
      </c>
      <c r="D8" t="s">
        <v>13</v>
      </c>
      <c r="E8">
        <v>6</v>
      </c>
    </row>
    <row r="9">
      <c r="B9" s="1">
        <v>42170</v>
      </c>
      <c r="C9" t="s">
        <v>10</v>
      </c>
      <c r="D9" t="s">
        <v>9</v>
      </c>
      <c r="E9">
        <v>8</v>
      </c>
    </row>
    <row r="10">
      <c r="B10" s="1">
        <v>42091</v>
      </c>
      <c r="C10" t="s">
        <v>10</v>
      </c>
      <c r="D10" t="s">
        <v>15</v>
      </c>
      <c r="E10">
        <v>4</v>
      </c>
    </row>
    <row r="11">
      <c r="B11" s="1">
        <v>42119</v>
      </c>
      <c r="C11" t="s">
        <v>10</v>
      </c>
      <c r="D11" t="s">
        <v>7</v>
      </c>
      <c r="E11">
        <v>1</v>
      </c>
    </row>
    <row r="12">
      <c r="B12" s="1">
        <v>42151</v>
      </c>
      <c r="C12" t="s">
        <v>10</v>
      </c>
      <c r="D12" t="s">
        <v>5</v>
      </c>
      <c r="E12">
        <v>4</v>
      </c>
    </row>
    <row r="13">
      <c r="B13" s="1">
        <v>42198</v>
      </c>
      <c r="C13" t="s">
        <v>10</v>
      </c>
      <c r="D13" t="s">
        <v>5</v>
      </c>
      <c r="E13">
        <v>8</v>
      </c>
    </row>
    <row r="14">
      <c r="B14" s="1">
        <v>42091</v>
      </c>
      <c r="C14" t="s">
        <v>10</v>
      </c>
      <c r="D14" t="s">
        <v>15</v>
      </c>
      <c r="E14">
        <v>1</v>
      </c>
    </row>
    <row r="15">
      <c r="B15" s="1">
        <v>42136</v>
      </c>
      <c r="C15" t="s">
        <v>10</v>
      </c>
      <c r="D15" t="s">
        <v>9</v>
      </c>
      <c r="E15">
        <v>9</v>
      </c>
    </row>
    <row r="16">
      <c r="B16" s="1">
        <v>42074</v>
      </c>
      <c r="C16" t="s">
        <v>10</v>
      </c>
      <c r="D16" t="s">
        <v>15</v>
      </c>
      <c r="E16">
        <v>4</v>
      </c>
    </row>
    <row r="17">
      <c r="B17" s="1">
        <v>42179</v>
      </c>
      <c r="C17" t="s">
        <v>10</v>
      </c>
      <c r="D17" t="s">
        <v>5</v>
      </c>
      <c r="E17">
        <v>3</v>
      </c>
    </row>
    <row r="18">
      <c r="B18" s="1">
        <v>42109</v>
      </c>
      <c r="C18" t="s">
        <v>10</v>
      </c>
      <c r="D18" t="s">
        <v>7</v>
      </c>
      <c r="E18">
        <v>9</v>
      </c>
    </row>
    <row r="19">
      <c r="B19" s="1">
        <v>42142</v>
      </c>
      <c r="C19" t="s">
        <v>10</v>
      </c>
      <c r="D19" t="s">
        <v>15</v>
      </c>
      <c r="E19">
        <v>5</v>
      </c>
    </row>
    <row r="20">
      <c r="B20" s="1">
        <v>42178</v>
      </c>
      <c r="C20" t="s">
        <v>10</v>
      </c>
      <c r="D20" t="s">
        <v>13</v>
      </c>
      <c r="E20">
        <v>6</v>
      </c>
    </row>
    <row r="21">
      <c r="B21" s="1">
        <v>42094</v>
      </c>
      <c r="C21" t="s">
        <v>10</v>
      </c>
      <c r="D21" t="s">
        <v>5</v>
      </c>
      <c r="E21">
        <v>2</v>
      </c>
    </row>
    <row r="22">
      <c r="B22" s="1">
        <v>42140</v>
      </c>
      <c r="C22" t="s">
        <v>10</v>
      </c>
      <c r="D22" t="s">
        <v>13</v>
      </c>
      <c r="E22">
        <v>1</v>
      </c>
    </row>
    <row r="23">
      <c r="B23" s="1">
        <v>42165</v>
      </c>
      <c r="C23" t="s">
        <v>10</v>
      </c>
      <c r="D23" t="s">
        <v>15</v>
      </c>
      <c r="E23">
        <v>3</v>
      </c>
    </row>
    <row r="24">
      <c r="B24" s="1">
        <v>42093</v>
      </c>
      <c r="C24" t="s">
        <v>10</v>
      </c>
      <c r="D24" t="s">
        <v>13</v>
      </c>
      <c r="E24">
        <v>5</v>
      </c>
    </row>
    <row r="25">
      <c r="B25" s="1">
        <v>42129</v>
      </c>
      <c r="C25" t="s">
        <v>10</v>
      </c>
      <c r="D25" t="s">
        <v>13</v>
      </c>
      <c r="E25">
        <v>2</v>
      </c>
    </row>
    <row r="26">
      <c r="B26" s="1">
        <v>42179</v>
      </c>
      <c r="C26" t="s">
        <v>10</v>
      </c>
      <c r="D26" t="s">
        <v>13</v>
      </c>
      <c r="E26">
        <v>2</v>
      </c>
    </row>
    <row r="27">
      <c r="B27" s="1">
        <v>42142</v>
      </c>
      <c r="C27" t="s">
        <v>10</v>
      </c>
      <c r="D27" t="s">
        <v>15</v>
      </c>
      <c r="E27">
        <v>3</v>
      </c>
    </row>
    <row r="28">
      <c r="B28" s="1">
        <v>42182</v>
      </c>
      <c r="C28" t="s">
        <v>10</v>
      </c>
      <c r="D28" t="s">
        <v>13</v>
      </c>
      <c r="E28">
        <v>8</v>
      </c>
    </row>
    <row r="29">
      <c r="B29" s="1">
        <v>42072</v>
      </c>
      <c r="C29" t="s">
        <v>10</v>
      </c>
      <c r="D29" t="s">
        <v>7</v>
      </c>
      <c r="E29">
        <v>8</v>
      </c>
    </row>
    <row r="30">
      <c r="B30" s="1">
        <v>42112</v>
      </c>
      <c r="C30" t="s">
        <v>10</v>
      </c>
      <c r="D30" t="s">
        <v>13</v>
      </c>
      <c r="E30">
        <v>3</v>
      </c>
    </row>
    <row r="31">
      <c r="B31" s="1">
        <v>42161</v>
      </c>
      <c r="C31" t="s">
        <v>10</v>
      </c>
      <c r="D31" t="s">
        <v>15</v>
      </c>
      <c r="E31">
        <v>2</v>
      </c>
    </row>
    <row r="32">
      <c r="B32" s="1">
        <v>42070</v>
      </c>
      <c r="C32" t="s">
        <v>4</v>
      </c>
      <c r="D32" t="s">
        <v>5</v>
      </c>
      <c r="E32">
        <v>30</v>
      </c>
    </row>
    <row r="33">
      <c r="B33" s="1">
        <v>42134</v>
      </c>
      <c r="C33" t="s">
        <v>4</v>
      </c>
      <c r="D33" t="s">
        <v>5</v>
      </c>
      <c r="E33">
        <v>29</v>
      </c>
    </row>
    <row r="34">
      <c r="B34" s="1">
        <v>42172</v>
      </c>
      <c r="C34" t="s">
        <v>4</v>
      </c>
      <c r="D34" t="s">
        <v>16</v>
      </c>
      <c r="E34">
        <v>15</v>
      </c>
    </row>
    <row r="35">
      <c r="B35" s="1">
        <v>42080</v>
      </c>
      <c r="C35" t="s">
        <v>4</v>
      </c>
      <c r="D35" t="s">
        <v>15</v>
      </c>
      <c r="E35">
        <v>19</v>
      </c>
    </row>
    <row r="36">
      <c r="B36" s="1">
        <v>42156</v>
      </c>
      <c r="C36" t="s">
        <v>4</v>
      </c>
      <c r="D36" t="s">
        <v>5</v>
      </c>
      <c r="E36">
        <v>10</v>
      </c>
    </row>
    <row r="37">
      <c r="B37" s="1">
        <v>42176</v>
      </c>
      <c r="C37" t="s">
        <v>4</v>
      </c>
      <c r="D37" t="s">
        <v>7</v>
      </c>
      <c r="E37">
        <v>16</v>
      </c>
    </row>
    <row r="38">
      <c r="B38" s="1">
        <v>42115</v>
      </c>
      <c r="C38" t="s">
        <v>4</v>
      </c>
      <c r="D38" t="s">
        <v>13</v>
      </c>
      <c r="E38">
        <v>10</v>
      </c>
    </row>
    <row r="39">
      <c r="B39" s="1">
        <v>42106</v>
      </c>
      <c r="C39" t="s">
        <v>4</v>
      </c>
      <c r="D39" t="s">
        <v>15</v>
      </c>
      <c r="E39">
        <v>8</v>
      </c>
    </row>
    <row r="40">
      <c r="B40" s="1">
        <v>42137</v>
      </c>
      <c r="C40" t="s">
        <v>4</v>
      </c>
      <c r="D40" t="s">
        <v>7</v>
      </c>
      <c r="E40">
        <v>2</v>
      </c>
    </row>
    <row r="41">
      <c r="B41" s="1">
        <v>42184</v>
      </c>
      <c r="C41" t="s">
        <v>4</v>
      </c>
      <c r="D41" t="s">
        <v>5</v>
      </c>
      <c r="E41">
        <v>7</v>
      </c>
    </row>
    <row r="42">
      <c r="B42" s="1">
        <v>42108</v>
      </c>
      <c r="C42" t="s">
        <v>4</v>
      </c>
      <c r="D42" t="s">
        <v>7</v>
      </c>
      <c r="E42">
        <v>1</v>
      </c>
    </row>
    <row r="43">
      <c r="B43" s="1">
        <v>42135</v>
      </c>
      <c r="C43" t="s">
        <v>4</v>
      </c>
      <c r="D43" t="s">
        <v>13</v>
      </c>
      <c r="E43">
        <v>2</v>
      </c>
    </row>
    <row r="44">
      <c r="B44" s="1">
        <v>42169</v>
      </c>
      <c r="C44" t="s">
        <v>4</v>
      </c>
      <c r="D44" t="s">
        <v>13</v>
      </c>
      <c r="E44">
        <v>7</v>
      </c>
    </row>
    <row r="45">
      <c r="B45" s="1">
        <v>42123</v>
      </c>
      <c r="C45" t="s">
        <v>4</v>
      </c>
      <c r="D45" t="s">
        <v>16</v>
      </c>
      <c r="E45">
        <v>1</v>
      </c>
    </row>
    <row r="46">
      <c r="B46" s="1">
        <v>42190</v>
      </c>
      <c r="C46" t="s">
        <v>4</v>
      </c>
      <c r="D46" t="s">
        <v>9</v>
      </c>
      <c r="E46">
        <v>2</v>
      </c>
    </row>
    <row r="47">
      <c r="B47" s="1">
        <v>42135</v>
      </c>
      <c r="C47" t="s">
        <v>4</v>
      </c>
      <c r="D47" t="s">
        <v>13</v>
      </c>
      <c r="E47">
        <v>8</v>
      </c>
    </row>
    <row r="48">
      <c r="B48" s="1">
        <v>42134</v>
      </c>
      <c r="C48" t="s">
        <v>4</v>
      </c>
      <c r="D48" t="s">
        <v>7</v>
      </c>
      <c r="E48">
        <v>1</v>
      </c>
    </row>
    <row r="49">
      <c r="B49" s="1">
        <v>42149</v>
      </c>
      <c r="C49" t="s">
        <v>4</v>
      </c>
      <c r="D49" t="s">
        <v>13</v>
      </c>
      <c r="E49">
        <v>3</v>
      </c>
    </row>
    <row r="50">
      <c r="B50" s="1">
        <v>42199</v>
      </c>
      <c r="C50" t="s">
        <v>4</v>
      </c>
      <c r="D50" t="s">
        <v>13</v>
      </c>
      <c r="E50">
        <v>7</v>
      </c>
    </row>
    <row r="51">
      <c r="B51" s="1">
        <v>42108</v>
      </c>
      <c r="C51" t="s">
        <v>4</v>
      </c>
      <c r="D51" t="s">
        <v>13</v>
      </c>
      <c r="E51">
        <v>6</v>
      </c>
    </row>
    <row r="52">
      <c r="B52" s="1">
        <v>42162</v>
      </c>
      <c r="C52" t="s">
        <v>4</v>
      </c>
      <c r="D52" t="s">
        <v>9</v>
      </c>
      <c r="E52">
        <v>2</v>
      </c>
    </row>
    <row r="53">
      <c r="B53" s="1">
        <v>42077</v>
      </c>
      <c r="C53" t="s">
        <v>4</v>
      </c>
      <c r="D53" t="s">
        <v>7</v>
      </c>
      <c r="E53">
        <v>1</v>
      </c>
    </row>
    <row r="54">
      <c r="B54" s="1">
        <v>42116</v>
      </c>
      <c r="C54" t="s">
        <v>4</v>
      </c>
      <c r="D54" t="s">
        <v>13</v>
      </c>
      <c r="E54">
        <v>3</v>
      </c>
    </row>
    <row r="55">
      <c r="B55" s="1">
        <v>42157</v>
      </c>
      <c r="C55" t="s">
        <v>4</v>
      </c>
      <c r="D55" t="s">
        <v>15</v>
      </c>
      <c r="E55">
        <v>3</v>
      </c>
    </row>
    <row r="56">
      <c r="B56" s="1">
        <v>42198</v>
      </c>
      <c r="C56" t="s">
        <v>4</v>
      </c>
      <c r="D56" t="s">
        <v>7</v>
      </c>
      <c r="E56">
        <v>6</v>
      </c>
    </row>
    <row r="57">
      <c r="B57" s="1">
        <v>42106</v>
      </c>
      <c r="C57" t="s">
        <v>4</v>
      </c>
      <c r="D57" t="s">
        <v>16</v>
      </c>
      <c r="E57">
        <v>5</v>
      </c>
    </row>
    <row r="58">
      <c r="B58" s="1">
        <v>42168</v>
      </c>
      <c r="C58" t="s">
        <v>4</v>
      </c>
      <c r="D58" t="s">
        <v>15</v>
      </c>
      <c r="E58">
        <v>4</v>
      </c>
    </row>
    <row r="59">
      <c r="B59" s="1">
        <v>42091</v>
      </c>
      <c r="C59" t="s">
        <v>4</v>
      </c>
      <c r="D59" t="s">
        <v>7</v>
      </c>
      <c r="E59">
        <v>2</v>
      </c>
    </row>
    <row r="60">
      <c r="B60" s="1">
        <v>42155</v>
      </c>
      <c r="C60" t="s">
        <v>4</v>
      </c>
      <c r="D60" t="s">
        <v>13</v>
      </c>
      <c r="E60">
        <v>4</v>
      </c>
    </row>
    <row r="61">
      <c r="B61" s="1">
        <v>42081</v>
      </c>
      <c r="C61" t="s">
        <v>11</v>
      </c>
      <c r="D61" t="s">
        <v>5</v>
      </c>
      <c r="E61">
        <v>30</v>
      </c>
    </row>
    <row r="62">
      <c r="B62" s="1">
        <v>42094</v>
      </c>
      <c r="C62" t="s">
        <v>11</v>
      </c>
      <c r="D62" t="s">
        <v>7</v>
      </c>
      <c r="E62">
        <v>11</v>
      </c>
    </row>
    <row r="63">
      <c r="B63" s="1">
        <v>42102</v>
      </c>
      <c r="C63" t="s">
        <v>11</v>
      </c>
      <c r="D63" t="s">
        <v>13</v>
      </c>
      <c r="E63">
        <v>10</v>
      </c>
    </row>
    <row r="64">
      <c r="B64" s="1">
        <v>42112</v>
      </c>
      <c r="C64" t="s">
        <v>11</v>
      </c>
      <c r="D64" t="s">
        <v>13</v>
      </c>
      <c r="E64">
        <v>10</v>
      </c>
    </row>
    <row r="65">
      <c r="B65" s="1">
        <v>42080</v>
      </c>
      <c r="C65" t="s">
        <v>11</v>
      </c>
      <c r="D65" t="s">
        <v>9</v>
      </c>
      <c r="E65">
        <v>2</v>
      </c>
    </row>
    <row r="66">
      <c r="B66" s="1">
        <v>42126</v>
      </c>
      <c r="C66" t="s">
        <v>11</v>
      </c>
      <c r="D66" t="s">
        <v>15</v>
      </c>
      <c r="E66">
        <v>2</v>
      </c>
    </row>
    <row r="67">
      <c r="B67" s="1">
        <v>42175</v>
      </c>
      <c r="C67" t="s">
        <v>11</v>
      </c>
      <c r="D67" t="s">
        <v>15</v>
      </c>
      <c r="E67">
        <v>5</v>
      </c>
    </row>
    <row r="68">
      <c r="B68" s="1">
        <v>42100</v>
      </c>
      <c r="C68" t="s">
        <v>11</v>
      </c>
      <c r="D68" t="s">
        <v>9</v>
      </c>
      <c r="E68">
        <v>1</v>
      </c>
    </row>
    <row r="69">
      <c r="B69" s="1">
        <v>42121</v>
      </c>
      <c r="C69" t="s">
        <v>11</v>
      </c>
      <c r="D69" t="s">
        <v>5</v>
      </c>
      <c r="E69">
        <v>1</v>
      </c>
    </row>
    <row r="70">
      <c r="B70" s="1">
        <v>42162</v>
      </c>
      <c r="C70" t="s">
        <v>11</v>
      </c>
      <c r="D70" t="s">
        <v>15</v>
      </c>
      <c r="E70">
        <v>3</v>
      </c>
    </row>
    <row r="71">
      <c r="B71" s="1">
        <v>42200</v>
      </c>
      <c r="C71" t="s">
        <v>11</v>
      </c>
      <c r="D71" t="s">
        <v>5</v>
      </c>
      <c r="E71">
        <v>9</v>
      </c>
    </row>
    <row r="72">
      <c r="B72" s="1">
        <v>42093</v>
      </c>
      <c r="C72" t="s">
        <v>11</v>
      </c>
      <c r="D72" t="s">
        <v>7</v>
      </c>
      <c r="E72">
        <v>5</v>
      </c>
    </row>
    <row r="73">
      <c r="B73" s="1">
        <v>42157</v>
      </c>
      <c r="C73" t="s">
        <v>11</v>
      </c>
      <c r="D73" t="s">
        <v>7</v>
      </c>
      <c r="E73">
        <v>1</v>
      </c>
    </row>
    <row r="74">
      <c r="B74" s="1">
        <v>42094</v>
      </c>
      <c r="C74" t="s">
        <v>11</v>
      </c>
      <c r="D74" t="s">
        <v>13</v>
      </c>
      <c r="E74">
        <v>1</v>
      </c>
    </row>
    <row r="75">
      <c r="B75" s="1">
        <v>42113</v>
      </c>
      <c r="C75" t="s">
        <v>11</v>
      </c>
      <c r="D75" t="s">
        <v>13</v>
      </c>
      <c r="E75">
        <v>5</v>
      </c>
    </row>
    <row r="76">
      <c r="B76" s="1">
        <v>42143</v>
      </c>
      <c r="C76" t="s">
        <v>11</v>
      </c>
      <c r="D76" t="s">
        <v>5</v>
      </c>
      <c r="E76">
        <v>1</v>
      </c>
    </row>
    <row r="77">
      <c r="B77" s="1">
        <v>42183</v>
      </c>
      <c r="C77" t="s">
        <v>11</v>
      </c>
      <c r="D77" t="s">
        <v>5</v>
      </c>
      <c r="E77">
        <v>5</v>
      </c>
    </row>
    <row r="78">
      <c r="B78" s="1">
        <v>42102</v>
      </c>
      <c r="C78" t="s">
        <v>11</v>
      </c>
      <c r="D78" t="s">
        <v>9</v>
      </c>
      <c r="E78">
        <v>5</v>
      </c>
    </row>
    <row r="79">
      <c r="B79" s="1">
        <v>42142</v>
      </c>
      <c r="C79" t="s">
        <v>11</v>
      </c>
      <c r="D79" t="s">
        <v>15</v>
      </c>
      <c r="E79">
        <v>9</v>
      </c>
    </row>
    <row r="80">
      <c r="B80" s="1">
        <v>42171</v>
      </c>
      <c r="C80" t="s">
        <v>11</v>
      </c>
      <c r="D80" t="s">
        <v>9</v>
      </c>
      <c r="E80">
        <v>2</v>
      </c>
    </row>
    <row r="81">
      <c r="B81" s="1">
        <v>42072</v>
      </c>
      <c r="C81" t="s">
        <v>11</v>
      </c>
      <c r="D81" t="s">
        <v>13</v>
      </c>
      <c r="E81">
        <v>2</v>
      </c>
    </row>
    <row r="82">
      <c r="B82" s="1">
        <v>42094</v>
      </c>
      <c r="C82" t="s">
        <v>11</v>
      </c>
      <c r="D82" t="s">
        <v>13</v>
      </c>
      <c r="E82">
        <v>2</v>
      </c>
    </row>
    <row r="83">
      <c r="B83" s="1">
        <v>42137</v>
      </c>
      <c r="C83" t="s">
        <v>11</v>
      </c>
      <c r="D83" t="s">
        <v>5</v>
      </c>
      <c r="E83">
        <v>7</v>
      </c>
    </row>
    <row r="84">
      <c r="B84" s="1">
        <v>42185</v>
      </c>
      <c r="C84" t="s">
        <v>11</v>
      </c>
      <c r="D84" t="s">
        <v>5</v>
      </c>
      <c r="E84">
        <v>1</v>
      </c>
    </row>
    <row r="85">
      <c r="B85" s="1">
        <v>42144</v>
      </c>
      <c r="C85" t="s">
        <v>11</v>
      </c>
      <c r="D85" t="s">
        <v>13</v>
      </c>
      <c r="E85">
        <v>1</v>
      </c>
    </row>
    <row r="86">
      <c r="B86" s="1">
        <v>42193</v>
      </c>
      <c r="C86" t="s">
        <v>11</v>
      </c>
      <c r="D86" t="s">
        <v>5</v>
      </c>
      <c r="E86">
        <v>4</v>
      </c>
    </row>
    <row r="87">
      <c r="B87" s="1">
        <v>42073</v>
      </c>
      <c r="C87" t="s">
        <v>11</v>
      </c>
      <c r="D87" t="s">
        <v>7</v>
      </c>
      <c r="E87">
        <v>3</v>
      </c>
    </row>
    <row r="88">
      <c r="B88" s="1">
        <v>42119</v>
      </c>
      <c r="C88" t="s">
        <v>11</v>
      </c>
      <c r="D88" t="s">
        <v>13</v>
      </c>
      <c r="E88">
        <v>2</v>
      </c>
    </row>
    <row r="89">
      <c r="B89" s="1">
        <v>42170</v>
      </c>
      <c r="C89" t="s">
        <v>11</v>
      </c>
      <c r="D89" t="s">
        <v>9</v>
      </c>
      <c r="E89">
        <v>3</v>
      </c>
    </row>
    <row r="90">
      <c r="B90" s="1">
        <v>42165</v>
      </c>
      <c r="C90" t="s">
        <v>8</v>
      </c>
      <c r="D90" t="s">
        <v>7</v>
      </c>
      <c r="E90">
        <v>22</v>
      </c>
    </row>
    <row r="91">
      <c r="B91" s="1">
        <v>42085</v>
      </c>
      <c r="C91" t="s">
        <v>8</v>
      </c>
      <c r="D91" t="s">
        <v>13</v>
      </c>
      <c r="E91">
        <v>50</v>
      </c>
    </row>
    <row r="92">
      <c r="B92" s="1">
        <v>42133</v>
      </c>
      <c r="C92" t="s">
        <v>8</v>
      </c>
      <c r="D92" t="s">
        <v>9</v>
      </c>
      <c r="E92">
        <v>14</v>
      </c>
    </row>
    <row r="93">
      <c r="B93" s="1">
        <v>42122</v>
      </c>
      <c r="C93" t="s">
        <v>8</v>
      </c>
      <c r="D93" t="s">
        <v>7</v>
      </c>
      <c r="E93">
        <v>12</v>
      </c>
    </row>
    <row r="94">
      <c r="B94" s="1">
        <v>42156</v>
      </c>
      <c r="C94" t="s">
        <v>8</v>
      </c>
      <c r="D94" t="s">
        <v>9</v>
      </c>
      <c r="E94">
        <v>10</v>
      </c>
    </row>
    <row r="95">
      <c r="B95" s="1">
        <v>42172</v>
      </c>
      <c r="C95" t="s">
        <v>8</v>
      </c>
      <c r="D95" t="s">
        <v>5</v>
      </c>
      <c r="E95">
        <v>10</v>
      </c>
    </row>
    <row r="96">
      <c r="B96" s="1">
        <v>42114</v>
      </c>
      <c r="C96" t="s">
        <v>8</v>
      </c>
      <c r="D96" t="s">
        <v>13</v>
      </c>
      <c r="E96">
        <v>5</v>
      </c>
    </row>
    <row r="97">
      <c r="B97" s="1">
        <v>42158</v>
      </c>
      <c r="C97" t="s">
        <v>8</v>
      </c>
      <c r="D97" t="s">
        <v>7</v>
      </c>
      <c r="E97">
        <v>1</v>
      </c>
    </row>
    <row r="98">
      <c r="B98" s="1">
        <v>42197</v>
      </c>
      <c r="C98" t="s">
        <v>8</v>
      </c>
      <c r="D98" t="s">
        <v>5</v>
      </c>
      <c r="E98">
        <v>2</v>
      </c>
    </row>
    <row r="99">
      <c r="B99" s="1">
        <v>42084</v>
      </c>
      <c r="C99" t="s">
        <v>8</v>
      </c>
      <c r="D99" t="s">
        <v>15</v>
      </c>
      <c r="E99">
        <v>2</v>
      </c>
    </row>
    <row r="100">
      <c r="B100" s="1">
        <v>42115</v>
      </c>
      <c r="C100" t="s">
        <v>8</v>
      </c>
      <c r="D100" t="s">
        <v>9</v>
      </c>
      <c r="E100">
        <v>5</v>
      </c>
    </row>
    <row r="101">
      <c r="B101" s="1">
        <v>42147</v>
      </c>
      <c r="C101" t="s">
        <v>8</v>
      </c>
      <c r="D101" t="s">
        <v>9</v>
      </c>
      <c r="E101">
        <v>4</v>
      </c>
    </row>
    <row r="102">
      <c r="B102" s="1">
        <v>42191</v>
      </c>
      <c r="C102" t="s">
        <v>8</v>
      </c>
      <c r="D102" t="s">
        <v>13</v>
      </c>
      <c r="E102">
        <v>2</v>
      </c>
    </row>
    <row r="103">
      <c r="B103" s="1">
        <v>42086</v>
      </c>
      <c r="C103" t="s">
        <v>8</v>
      </c>
      <c r="D103" t="s">
        <v>5</v>
      </c>
      <c r="E103">
        <v>5</v>
      </c>
    </row>
    <row r="104">
      <c r="B104" s="1">
        <v>42133</v>
      </c>
      <c r="C104" t="s">
        <v>8</v>
      </c>
      <c r="D104" t="s">
        <v>5</v>
      </c>
      <c r="E104">
        <v>6</v>
      </c>
    </row>
    <row r="105">
      <c r="B105" s="1">
        <v>42151</v>
      </c>
      <c r="C105" t="s">
        <v>8</v>
      </c>
      <c r="D105" t="s">
        <v>5</v>
      </c>
      <c r="E105">
        <v>6</v>
      </c>
    </row>
    <row r="106">
      <c r="B106" s="1">
        <v>42093</v>
      </c>
      <c r="C106" t="s">
        <v>8</v>
      </c>
      <c r="D106" t="s">
        <v>7</v>
      </c>
      <c r="E106">
        <v>1</v>
      </c>
    </row>
    <row r="107">
      <c r="B107" s="1">
        <v>42142</v>
      </c>
      <c r="C107" t="s">
        <v>8</v>
      </c>
      <c r="D107" t="s">
        <v>15</v>
      </c>
      <c r="E107">
        <v>2</v>
      </c>
    </row>
    <row r="108">
      <c r="B108" s="1">
        <v>42178</v>
      </c>
      <c r="C108" t="s">
        <v>8</v>
      </c>
      <c r="D108" t="s">
        <v>13</v>
      </c>
      <c r="E108">
        <v>4</v>
      </c>
    </row>
    <row r="109">
      <c r="B109" s="1">
        <v>42085</v>
      </c>
      <c r="C109" t="s">
        <v>8</v>
      </c>
      <c r="D109" t="s">
        <v>9</v>
      </c>
      <c r="E109">
        <v>3</v>
      </c>
    </row>
    <row r="110">
      <c r="B110" s="1">
        <v>42133</v>
      </c>
      <c r="C110" t="s">
        <v>8</v>
      </c>
      <c r="D110" t="s">
        <v>5</v>
      </c>
      <c r="E110">
        <v>3</v>
      </c>
    </row>
    <row r="111">
      <c r="B111" s="1">
        <v>42164</v>
      </c>
      <c r="C111" t="s">
        <v>8</v>
      </c>
      <c r="D111" t="s">
        <v>5</v>
      </c>
      <c r="E111">
        <v>2</v>
      </c>
    </row>
    <row r="112">
      <c r="B112" s="1">
        <v>42088</v>
      </c>
      <c r="C112" t="s">
        <v>8</v>
      </c>
      <c r="D112" t="s">
        <v>13</v>
      </c>
      <c r="E112">
        <v>1</v>
      </c>
    </row>
    <row r="113">
      <c r="B113" s="1">
        <v>42127</v>
      </c>
      <c r="C113" t="s">
        <v>8</v>
      </c>
      <c r="D113" t="s">
        <v>13</v>
      </c>
      <c r="E113">
        <v>3</v>
      </c>
    </row>
    <row r="114">
      <c r="B114" s="1">
        <v>42178</v>
      </c>
      <c r="C114" t="s">
        <v>8</v>
      </c>
      <c r="D114" t="s">
        <v>13</v>
      </c>
      <c r="E114">
        <v>5</v>
      </c>
    </row>
    <row r="115">
      <c r="B115" s="1">
        <v>42120</v>
      </c>
      <c r="C115" t="s">
        <v>8</v>
      </c>
      <c r="D115" t="s">
        <v>7</v>
      </c>
      <c r="E115">
        <v>4</v>
      </c>
    </row>
    <row r="116">
      <c r="B116" s="1">
        <v>42176</v>
      </c>
      <c r="C116" t="s">
        <v>8</v>
      </c>
      <c r="D116" t="s">
        <v>13</v>
      </c>
      <c r="E116">
        <v>2</v>
      </c>
    </row>
    <row r="117">
      <c r="B117" s="1">
        <v>42107</v>
      </c>
      <c r="C117" t="s">
        <v>8</v>
      </c>
      <c r="D117" t="s">
        <v>15</v>
      </c>
      <c r="E117">
        <v>2</v>
      </c>
    </row>
    <row r="118">
      <c r="B118" s="1">
        <v>42157</v>
      </c>
      <c r="C118" t="s">
        <v>8</v>
      </c>
      <c r="D118" t="s">
        <v>7</v>
      </c>
      <c r="E118">
        <v>6</v>
      </c>
    </row>
    <row r="119">
      <c r="B119" s="1">
        <v>42091</v>
      </c>
      <c r="C119" t="s">
        <v>6</v>
      </c>
      <c r="D119" t="s">
        <v>9</v>
      </c>
      <c r="E119">
        <v>21</v>
      </c>
    </row>
    <row r="120">
      <c r="B120" s="1">
        <v>42154</v>
      </c>
      <c r="C120" t="s">
        <v>6</v>
      </c>
      <c r="D120" t="s">
        <v>7</v>
      </c>
      <c r="E120">
        <v>21</v>
      </c>
    </row>
    <row r="121">
      <c r="B121" s="1">
        <v>42081</v>
      </c>
      <c r="C121" t="s">
        <v>6</v>
      </c>
      <c r="D121" t="s">
        <v>7</v>
      </c>
      <c r="E121">
        <v>11</v>
      </c>
    </row>
    <row r="122">
      <c r="B122" s="1">
        <v>42192</v>
      </c>
      <c r="C122" t="s">
        <v>6</v>
      </c>
      <c r="D122" t="s">
        <v>9</v>
      </c>
      <c r="E122">
        <v>10</v>
      </c>
    </row>
    <row r="123">
      <c r="B123" s="1">
        <v>42129</v>
      </c>
      <c r="C123" t="s">
        <v>6</v>
      </c>
      <c r="D123" t="s">
        <v>13</v>
      </c>
      <c r="E123">
        <v>10</v>
      </c>
    </row>
    <row r="124">
      <c r="B124" s="1">
        <v>42113</v>
      </c>
      <c r="C124" t="s">
        <v>6</v>
      </c>
      <c r="D124" t="s">
        <v>7</v>
      </c>
      <c r="E124">
        <v>4</v>
      </c>
    </row>
    <row r="125">
      <c r="B125" s="1">
        <v>42143</v>
      </c>
      <c r="C125" t="s">
        <v>6</v>
      </c>
      <c r="D125" t="s">
        <v>5</v>
      </c>
      <c r="E125">
        <v>8</v>
      </c>
    </row>
    <row r="126">
      <c r="B126" s="1">
        <v>42193</v>
      </c>
      <c r="C126" t="s">
        <v>6</v>
      </c>
      <c r="D126" t="s">
        <v>9</v>
      </c>
      <c r="E126">
        <v>4</v>
      </c>
    </row>
    <row r="127">
      <c r="B127" s="1">
        <v>42080</v>
      </c>
      <c r="C127" t="s">
        <v>6</v>
      </c>
      <c r="D127" t="s">
        <v>15</v>
      </c>
      <c r="E127">
        <v>3</v>
      </c>
    </row>
    <row r="128">
      <c r="B128" s="1">
        <v>42112</v>
      </c>
      <c r="C128" t="s">
        <v>6</v>
      </c>
      <c r="D128" t="s">
        <v>5</v>
      </c>
      <c r="E128">
        <v>2</v>
      </c>
    </row>
    <row r="129">
      <c r="B129" s="1">
        <v>42141</v>
      </c>
      <c r="C129" t="s">
        <v>6</v>
      </c>
      <c r="D129" t="s">
        <v>15</v>
      </c>
      <c r="E129">
        <v>6</v>
      </c>
    </row>
    <row r="130">
      <c r="B130" s="1">
        <v>42176</v>
      </c>
      <c r="C130" t="s">
        <v>6</v>
      </c>
      <c r="D130" t="s">
        <v>5</v>
      </c>
      <c r="E130">
        <v>3</v>
      </c>
    </row>
    <row r="131">
      <c r="B131" s="1">
        <v>42129</v>
      </c>
      <c r="C131" t="s">
        <v>6</v>
      </c>
      <c r="D131" t="s">
        <v>7</v>
      </c>
      <c r="E131">
        <v>5</v>
      </c>
    </row>
    <row r="132">
      <c r="B132" s="1">
        <v>42197</v>
      </c>
      <c r="C132" t="s">
        <v>6</v>
      </c>
      <c r="D132" t="s">
        <v>15</v>
      </c>
      <c r="E132">
        <v>2</v>
      </c>
    </row>
    <row r="133">
      <c r="B133" s="1">
        <v>42136</v>
      </c>
      <c r="C133" t="s">
        <v>6</v>
      </c>
      <c r="D133" t="s">
        <v>15</v>
      </c>
      <c r="E133">
        <v>3</v>
      </c>
    </row>
    <row r="134">
      <c r="B134" s="1">
        <v>42071</v>
      </c>
      <c r="C134" t="s">
        <v>6</v>
      </c>
      <c r="D134" t="s">
        <v>9</v>
      </c>
      <c r="E134">
        <v>5</v>
      </c>
    </row>
    <row r="135">
      <c r="B135" s="1">
        <v>42140</v>
      </c>
      <c r="C135" t="s">
        <v>6</v>
      </c>
      <c r="D135" t="s">
        <v>13</v>
      </c>
      <c r="E135">
        <v>5</v>
      </c>
    </row>
    <row r="136">
      <c r="B136" s="1">
        <v>42154</v>
      </c>
      <c r="C136" t="s">
        <v>6</v>
      </c>
      <c r="D136" t="s">
        <v>7</v>
      </c>
      <c r="E136">
        <v>1</v>
      </c>
    </row>
    <row r="137">
      <c r="B137" s="1">
        <v>42084</v>
      </c>
      <c r="C137" t="s">
        <v>6</v>
      </c>
      <c r="D137" t="s">
        <v>9</v>
      </c>
      <c r="E137">
        <v>2</v>
      </c>
    </row>
    <row r="138">
      <c r="B138" s="1">
        <v>42120</v>
      </c>
      <c r="C138" t="s">
        <v>6</v>
      </c>
      <c r="D138" t="s">
        <v>13</v>
      </c>
      <c r="E138">
        <v>5</v>
      </c>
    </row>
    <row r="139">
      <c r="B139" s="1">
        <v>42164</v>
      </c>
      <c r="C139" t="s">
        <v>6</v>
      </c>
      <c r="D139" t="s">
        <v>5</v>
      </c>
      <c r="E139">
        <v>4</v>
      </c>
    </row>
    <row r="140">
      <c r="B140" s="1">
        <v>42078</v>
      </c>
      <c r="C140" t="s">
        <v>6</v>
      </c>
      <c r="D140" t="s">
        <v>5</v>
      </c>
      <c r="E140">
        <v>2</v>
      </c>
    </row>
    <row r="141">
      <c r="B141" s="1">
        <v>42123</v>
      </c>
      <c r="C141" t="s">
        <v>6</v>
      </c>
      <c r="D141" t="s">
        <v>15</v>
      </c>
      <c r="E141">
        <v>1</v>
      </c>
    </row>
    <row r="142">
      <c r="B142" s="1">
        <v>42175</v>
      </c>
      <c r="C142" t="s">
        <v>6</v>
      </c>
      <c r="D142" t="s">
        <v>5</v>
      </c>
      <c r="E142">
        <v>3</v>
      </c>
    </row>
    <row r="143">
      <c r="B143" s="1">
        <v>42199</v>
      </c>
      <c r="C143" t="s">
        <v>6</v>
      </c>
      <c r="D143" t="s">
        <v>13</v>
      </c>
      <c r="E143">
        <v>9</v>
      </c>
    </row>
    <row r="144">
      <c r="B144" s="1">
        <v>42108</v>
      </c>
      <c r="C144" t="s">
        <v>6</v>
      </c>
      <c r="D144" t="s">
        <v>13</v>
      </c>
      <c r="E144">
        <v>6</v>
      </c>
    </row>
    <row r="145">
      <c r="B145" s="1">
        <v>42175</v>
      </c>
      <c r="C145" t="s">
        <v>6</v>
      </c>
      <c r="D145" t="s">
        <v>16</v>
      </c>
      <c r="E145">
        <v>1</v>
      </c>
    </row>
    <row r="146">
      <c r="B146" s="1">
        <v>42101</v>
      </c>
      <c r="C146" t="s">
        <v>6</v>
      </c>
      <c r="D146" t="s">
        <v>15</v>
      </c>
      <c r="E146">
        <v>1</v>
      </c>
    </row>
    <row r="147">
      <c r="B147" s="1">
        <v>42155</v>
      </c>
      <c r="C147" t="s">
        <v>6</v>
      </c>
      <c r="D147" t="s">
        <v>13</v>
      </c>
      <c r="E147">
        <v>3</v>
      </c>
    </row>
    <row r="148">
      <c r="B148" s="1">
        <v>42081</v>
      </c>
      <c r="C148" t="s">
        <v>12</v>
      </c>
      <c r="D148" t="s">
        <v>16</v>
      </c>
      <c r="E148">
        <v>30</v>
      </c>
    </row>
    <row r="149">
      <c r="B149" s="1">
        <v>42141</v>
      </c>
      <c r="C149" t="s">
        <v>12</v>
      </c>
      <c r="D149" t="s">
        <v>9</v>
      </c>
      <c r="E149">
        <v>13</v>
      </c>
    </row>
    <row r="150">
      <c r="B150" s="1">
        <v>42073</v>
      </c>
      <c r="C150" t="s">
        <v>12</v>
      </c>
      <c r="D150" t="s">
        <v>7</v>
      </c>
      <c r="E150">
        <v>13</v>
      </c>
    </row>
    <row r="151">
      <c r="B151" s="1">
        <v>42127</v>
      </c>
      <c r="C151" t="s">
        <v>12</v>
      </c>
      <c r="D151" t="s">
        <v>7</v>
      </c>
      <c r="E151">
        <v>13</v>
      </c>
    </row>
    <row r="152">
      <c r="B152" s="1">
        <v>42150</v>
      </c>
      <c r="C152" t="s">
        <v>12</v>
      </c>
      <c r="D152" t="s">
        <v>13</v>
      </c>
      <c r="E152">
        <v>12</v>
      </c>
    </row>
    <row r="153">
      <c r="B153" s="1">
        <v>42086</v>
      </c>
      <c r="C153" t="s">
        <v>12</v>
      </c>
      <c r="D153" t="s">
        <v>5</v>
      </c>
      <c r="E153">
        <v>15</v>
      </c>
    </row>
    <row r="154">
      <c r="B154" s="1">
        <v>42092</v>
      </c>
      <c r="C154" t="s">
        <v>12</v>
      </c>
      <c r="D154" t="s">
        <v>13</v>
      </c>
      <c r="E154">
        <v>6</v>
      </c>
    </row>
    <row r="155">
      <c r="B155" s="1">
        <v>42134</v>
      </c>
      <c r="C155" t="s">
        <v>12</v>
      </c>
      <c r="D155" t="s">
        <v>13</v>
      </c>
      <c r="E155">
        <v>3</v>
      </c>
    </row>
    <row r="156">
      <c r="B156" s="1">
        <v>42177</v>
      </c>
      <c r="C156" t="s">
        <v>12</v>
      </c>
      <c r="D156" t="s">
        <v>5</v>
      </c>
      <c r="E156">
        <v>3</v>
      </c>
    </row>
    <row r="157">
      <c r="B157" s="1">
        <v>42102</v>
      </c>
      <c r="C157" t="s">
        <v>12</v>
      </c>
      <c r="D157" t="s">
        <v>7</v>
      </c>
      <c r="E157">
        <v>1</v>
      </c>
    </row>
    <row r="158">
      <c r="B158" s="1">
        <v>42122</v>
      </c>
      <c r="C158" t="s">
        <v>12</v>
      </c>
      <c r="D158" t="s">
        <v>15</v>
      </c>
      <c r="E158">
        <v>2</v>
      </c>
    </row>
    <row r="159">
      <c r="B159" s="1">
        <v>42163</v>
      </c>
      <c r="C159" t="s">
        <v>12</v>
      </c>
      <c r="D159" t="s">
        <v>15</v>
      </c>
      <c r="E159">
        <v>4</v>
      </c>
    </row>
    <row r="160">
      <c r="B160" s="1">
        <v>42101</v>
      </c>
      <c r="C160" t="s">
        <v>12</v>
      </c>
      <c r="D160" t="s">
        <v>15</v>
      </c>
      <c r="E160">
        <v>2</v>
      </c>
    </row>
    <row r="161">
      <c r="B161" s="1">
        <v>42171</v>
      </c>
      <c r="C161" t="s">
        <v>12</v>
      </c>
      <c r="D161" t="s">
        <v>9</v>
      </c>
      <c r="E161">
        <v>3</v>
      </c>
    </row>
    <row r="162">
      <c r="B162" s="1">
        <v>42100</v>
      </c>
      <c r="C162" t="s">
        <v>12</v>
      </c>
      <c r="D162" t="s">
        <v>15</v>
      </c>
      <c r="E162">
        <v>1</v>
      </c>
    </row>
    <row r="163">
      <c r="B163" s="1">
        <v>42116</v>
      </c>
      <c r="C163" t="s">
        <v>12</v>
      </c>
      <c r="D163" t="s">
        <v>7</v>
      </c>
      <c r="E163">
        <v>1</v>
      </c>
    </row>
    <row r="164">
      <c r="B164" s="1">
        <v>42148</v>
      </c>
      <c r="C164" t="s">
        <v>12</v>
      </c>
      <c r="D164" t="s">
        <v>15</v>
      </c>
      <c r="E164">
        <v>1</v>
      </c>
    </row>
    <row r="165">
      <c r="B165" s="1">
        <v>42185</v>
      </c>
      <c r="C165" t="s">
        <v>12</v>
      </c>
      <c r="D165" t="s">
        <v>5</v>
      </c>
      <c r="E165">
        <v>8</v>
      </c>
    </row>
    <row r="166">
      <c r="B166" s="1">
        <v>42105</v>
      </c>
      <c r="C166" t="s">
        <v>12</v>
      </c>
      <c r="D166" t="s">
        <v>5</v>
      </c>
      <c r="E166">
        <v>3</v>
      </c>
    </row>
    <row r="167">
      <c r="B167" s="1">
        <v>42144</v>
      </c>
      <c r="C167" t="s">
        <v>12</v>
      </c>
      <c r="D167" t="s">
        <v>5</v>
      </c>
      <c r="E167">
        <v>2</v>
      </c>
    </row>
    <row r="168">
      <c r="B168" s="1">
        <v>42073</v>
      </c>
      <c r="C168" t="s">
        <v>12</v>
      </c>
      <c r="D168" t="s">
        <v>15</v>
      </c>
      <c r="E168">
        <v>2</v>
      </c>
    </row>
    <row r="169">
      <c r="B169" s="1">
        <v>42109</v>
      </c>
      <c r="C169" t="s">
        <v>12</v>
      </c>
      <c r="D169" t="s">
        <v>13</v>
      </c>
      <c r="E169">
        <v>2</v>
      </c>
    </row>
    <row r="170">
      <c r="B170" s="1">
        <v>42137</v>
      </c>
      <c r="C170" t="s">
        <v>12</v>
      </c>
      <c r="D170" t="s">
        <v>13</v>
      </c>
      <c r="E170">
        <v>8</v>
      </c>
    </row>
    <row r="171">
      <c r="B171" s="1">
        <v>42189</v>
      </c>
      <c r="C171" t="s">
        <v>12</v>
      </c>
      <c r="D171" t="s">
        <v>15</v>
      </c>
      <c r="E171">
        <v>3</v>
      </c>
    </row>
    <row r="172">
      <c r="B172" s="1">
        <v>42095</v>
      </c>
      <c r="C172" t="s">
        <v>12</v>
      </c>
      <c r="D172" t="s">
        <v>5</v>
      </c>
      <c r="E172">
        <v>2</v>
      </c>
    </row>
    <row r="173">
      <c r="B173" s="1">
        <v>42149</v>
      </c>
      <c r="C173" t="s">
        <v>12</v>
      </c>
      <c r="D173" t="s">
        <v>16</v>
      </c>
      <c r="E173">
        <v>7</v>
      </c>
    </row>
    <row r="174">
      <c r="B174" s="1">
        <v>42079</v>
      </c>
      <c r="C174" t="s">
        <v>12</v>
      </c>
      <c r="D174" t="s">
        <v>16</v>
      </c>
      <c r="E174">
        <v>3</v>
      </c>
    </row>
    <row r="175">
      <c r="B175" s="1">
        <v>42142</v>
      </c>
      <c r="C175" t="s">
        <v>12</v>
      </c>
      <c r="D175" t="s">
        <v>9</v>
      </c>
      <c r="E175">
        <v>2</v>
      </c>
    </row>
    <row r="176">
      <c r="B176" s="1">
        <v>42196</v>
      </c>
      <c r="C176" t="s">
        <v>12</v>
      </c>
      <c r="D176" t="s">
        <v>15</v>
      </c>
      <c r="E176">
        <v>2</v>
      </c>
    </row>
    <row r="177">
      <c r="B177" s="1">
        <v>42128</v>
      </c>
      <c r="C177" t="s">
        <v>14</v>
      </c>
      <c r="D177" t="s">
        <v>7</v>
      </c>
      <c r="E177">
        <v>21</v>
      </c>
    </row>
    <row r="178">
      <c r="B178" s="1">
        <v>42161</v>
      </c>
      <c r="C178" t="s">
        <v>14</v>
      </c>
      <c r="D178" t="s">
        <v>7</v>
      </c>
      <c r="E178">
        <v>10</v>
      </c>
    </row>
    <row r="179">
      <c r="B179" s="1">
        <v>42074</v>
      </c>
      <c r="C179" t="s">
        <v>14</v>
      </c>
      <c r="D179" t="s">
        <v>5</v>
      </c>
      <c r="E179">
        <v>15</v>
      </c>
    </row>
    <row r="180">
      <c r="B180" s="1">
        <v>42142</v>
      </c>
      <c r="C180" t="s">
        <v>14</v>
      </c>
      <c r="D180" t="s">
        <v>13</v>
      </c>
      <c r="E180">
        <v>15</v>
      </c>
    </row>
    <row r="181">
      <c r="B181" s="1">
        <v>42151</v>
      </c>
      <c r="C181" t="s">
        <v>14</v>
      </c>
      <c r="D181" t="s">
        <v>5</v>
      </c>
      <c r="E181">
        <v>11</v>
      </c>
    </row>
    <row r="182">
      <c r="B182" s="1">
        <v>42093</v>
      </c>
      <c r="C182" t="s">
        <v>14</v>
      </c>
      <c r="D182" t="s">
        <v>13</v>
      </c>
      <c r="E182">
        <v>14</v>
      </c>
    </row>
    <row r="183">
      <c r="B183" s="1">
        <v>42100</v>
      </c>
      <c r="C183" t="s">
        <v>14</v>
      </c>
      <c r="D183" t="s">
        <v>13</v>
      </c>
      <c r="E183">
        <v>1</v>
      </c>
    </row>
    <row r="184">
      <c r="B184" s="1">
        <v>42137</v>
      </c>
      <c r="C184" t="s">
        <v>14</v>
      </c>
      <c r="D184" t="s">
        <v>13</v>
      </c>
      <c r="E184">
        <v>3</v>
      </c>
    </row>
    <row r="185">
      <c r="B185" s="1">
        <v>42182</v>
      </c>
      <c r="C185" t="s">
        <v>14</v>
      </c>
      <c r="D185" t="s">
        <v>7</v>
      </c>
      <c r="E185">
        <v>1</v>
      </c>
    </row>
    <row r="186">
      <c r="B186" s="1">
        <v>42107</v>
      </c>
      <c r="C186" t="s">
        <v>14</v>
      </c>
      <c r="D186" t="s">
        <v>15</v>
      </c>
      <c r="E186">
        <v>5</v>
      </c>
    </row>
    <row r="187">
      <c r="B187" s="1">
        <v>42126</v>
      </c>
      <c r="C187" t="s">
        <v>14</v>
      </c>
      <c r="D187" t="s">
        <v>16</v>
      </c>
      <c r="E187">
        <v>1</v>
      </c>
    </row>
    <row r="188">
      <c r="B188" s="1">
        <v>42168</v>
      </c>
      <c r="C188" t="s">
        <v>14</v>
      </c>
      <c r="D188" t="s">
        <v>15</v>
      </c>
      <c r="E188">
        <v>5</v>
      </c>
    </row>
    <row r="189">
      <c r="B189" s="1">
        <v>42115</v>
      </c>
      <c r="C189" t="s">
        <v>14</v>
      </c>
      <c r="D189" t="s">
        <v>5</v>
      </c>
      <c r="E189">
        <v>2</v>
      </c>
    </row>
    <row r="190">
      <c r="B190" s="1">
        <v>42177</v>
      </c>
      <c r="C190" t="s">
        <v>14</v>
      </c>
      <c r="D190" t="s">
        <v>5</v>
      </c>
      <c r="E190">
        <v>2</v>
      </c>
    </row>
    <row r="191">
      <c r="B191" s="1">
        <v>42130</v>
      </c>
      <c r="C191" t="s">
        <v>14</v>
      </c>
      <c r="D191" t="s">
        <v>5</v>
      </c>
      <c r="E191">
        <v>2</v>
      </c>
    </row>
    <row r="192">
      <c r="B192" s="1">
        <v>42128</v>
      </c>
      <c r="C192" t="s">
        <v>14</v>
      </c>
      <c r="D192" t="s">
        <v>5</v>
      </c>
      <c r="E192">
        <v>1</v>
      </c>
    </row>
    <row r="193">
      <c r="B193" s="1">
        <v>42148</v>
      </c>
      <c r="C193" t="s">
        <v>14</v>
      </c>
      <c r="D193" t="s">
        <v>7</v>
      </c>
      <c r="E193">
        <v>2</v>
      </c>
    </row>
    <row r="194">
      <c r="B194" s="1">
        <v>42186</v>
      </c>
      <c r="C194" t="s">
        <v>14</v>
      </c>
      <c r="D194" t="s">
        <v>15</v>
      </c>
      <c r="E194">
        <v>2</v>
      </c>
    </row>
    <row r="195">
      <c r="B195" s="1">
        <v>42107</v>
      </c>
      <c r="C195" t="s">
        <v>14</v>
      </c>
      <c r="D195" t="s">
        <v>7</v>
      </c>
      <c r="E195">
        <v>4</v>
      </c>
    </row>
    <row r="196">
      <c r="B196" s="1">
        <v>42144</v>
      </c>
      <c r="C196" t="s">
        <v>14</v>
      </c>
      <c r="D196" t="s">
        <v>13</v>
      </c>
      <c r="E196">
        <v>3</v>
      </c>
    </row>
    <row r="197">
      <c r="B197" s="1">
        <v>42074</v>
      </c>
      <c r="C197" t="s">
        <v>14</v>
      </c>
      <c r="D197" t="s">
        <v>16</v>
      </c>
      <c r="E197">
        <v>1</v>
      </c>
    </row>
    <row r="198">
      <c r="B198" s="1">
        <v>42113</v>
      </c>
      <c r="C198" t="s">
        <v>14</v>
      </c>
      <c r="D198" t="s">
        <v>13</v>
      </c>
      <c r="E198">
        <v>6</v>
      </c>
    </row>
    <row r="199">
      <c r="B199" s="1">
        <v>42155</v>
      </c>
      <c r="C199" t="s">
        <v>14</v>
      </c>
      <c r="D199" t="s">
        <v>7</v>
      </c>
      <c r="E199">
        <v>2</v>
      </c>
    </row>
    <row r="200">
      <c r="B200" s="1">
        <v>42191</v>
      </c>
      <c r="C200" t="s">
        <v>14</v>
      </c>
      <c r="D200" t="s">
        <v>5</v>
      </c>
      <c r="E200">
        <v>3</v>
      </c>
    </row>
    <row r="201">
      <c r="B201" s="1">
        <v>42102</v>
      </c>
      <c r="C201" t="s">
        <v>14</v>
      </c>
      <c r="D201" t="s">
        <v>13</v>
      </c>
      <c r="E201">
        <v>2</v>
      </c>
    </row>
    <row r="202">
      <c r="B202" s="1">
        <v>42151</v>
      </c>
      <c r="C202" t="s">
        <v>14</v>
      </c>
      <c r="D202" t="s">
        <v>7</v>
      </c>
      <c r="E202">
        <v>1</v>
      </c>
    </row>
    <row r="203">
      <c r="B203" s="1">
        <v>42084</v>
      </c>
      <c r="C203" t="s">
        <v>14</v>
      </c>
      <c r="D203" t="s">
        <v>15</v>
      </c>
      <c r="E203">
        <v>5</v>
      </c>
    </row>
    <row r="204">
      <c r="B204" s="1">
        <v>42149</v>
      </c>
      <c r="C204" t="s">
        <v>14</v>
      </c>
      <c r="D204" t="s">
        <v>5</v>
      </c>
      <c r="E204">
        <v>9</v>
      </c>
    </row>
    <row r="205">
      <c r="B205" s="1">
        <v>42199</v>
      </c>
      <c r="C205" t="s">
        <v>14</v>
      </c>
      <c r="D205" t="s">
        <v>7</v>
      </c>
      <c r="E205">
        <v>3</v>
      </c>
    </row>
    <row r="206" spans="2:5">
      <c r="B206" s="1"/>
    </row>
    <row r="207" spans="2:5">
      <c r="B207" s="1"/>
    </row>
    <row r="208" spans="2:5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</sheetData>
  <sortState xmlns:xlrd2="http://schemas.microsoft.com/office/spreadsheetml/2017/richdata2" ref="B3:E205">
    <sortCondition ref="C3:C205"/>
    <sortCondition sortBy="icon" ref="E3:E205" iconSet="3TrafficLights1" iconId="2"/>
    <sortCondition sortBy="icon" ref="E3:E205" iconSet="3TrafficLights1" iconId="1"/>
    <sortCondition descending="1" sortBy="icon" ref="E3:E205" iconSet="3TrafficLights1" iconId="0"/>
  </sortState>
  <conditionalFormatting sqref="E3:E205">
    <cfRule type="iconSet" priority="1">
      <iconSet iconSet="3TrafficLights1">
        <cfvo type="percent" val="0"/>
        <cfvo type="num" val="10"/>
        <cfvo type="num" val="20" gte="0"/>
      </iconSet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03"/>
  <sheetViews>
    <sheetView tabSelected="1" workbookViewId="0">
      <selection activeCell="I4" sqref="I4"/>
    </sheetView>
  </sheetViews>
  <sheetFormatPr defaultRowHeight="15"/>
  <cols>
    <col min="2" max="2" width="11.42578125" customWidth="1"/>
    <col min="3" max="3" width="12.5703125" customWidth="1"/>
    <col min="4" max="4" width="14" customWidth="1"/>
    <col min="8" max="8" width="11.85546875" bestFit="1" customWidth="1"/>
    <col min="10" max="10" width="16.28515625" bestFit="1" customWidth="1"/>
    <col min="11" max="11" width="13.140625" customWidth="1"/>
    <col min="12" max="12" width="11.140625" customWidth="1"/>
    <col min="13" max="13" width="12" customWidth="1"/>
  </cols>
  <sheetData>
    <row r="2" spans="2:13">
      <c r="B2" s="2" t="s">
        <v>0</v>
      </c>
      <c r="C2" s="2" t="s">
        <v>1</v>
      </c>
      <c r="D2" s="2" t="s">
        <v>2</v>
      </c>
      <c r="E2" s="2" t="s">
        <v>3</v>
      </c>
      <c r="H2" s="9" t="s">
        <v>2</v>
      </c>
      <c r="I2" s="9" t="s">
        <v>1</v>
      </c>
      <c r="J2" s="4" t="s">
        <v>0</v>
      </c>
      <c r="K2" s="16" t="s">
        <v>0</v>
      </c>
      <c r="L2" s="4" t="s">
        <v>2</v>
      </c>
      <c r="M2" s="5" t="s">
        <v>2</v>
      </c>
    </row>
    <row r="3" spans="2:13">
      <c r="B3" s="1">
        <v>42070</v>
      </c>
      <c r="C3" t="s">
        <v>10</v>
      </c>
      <c r="D3" t="s">
        <v>5</v>
      </c>
      <c r="E3">
        <v>30</v>
      </c>
      <c r="H3" s="10" t="inlineStr">
        <is>
          <t xml:space="preserve">tiskárna</t>
        </is>
      </c>
      <c r="I3" s="10" t="s">
        <v>10</v>
      </c>
      <c r="J3" s="6" t="s">
        <v>17</v>
      </c>
      <c r="K3" s="1" t="s">
        <v>18</v>
      </c>
      <c r="L3" s="12" t="s">
        <v>15</v>
      </c>
      <c r="M3" s="13"/>
    </row>
    <row r="4" spans="2:13">
      <c r="B4" s="1">
        <v>42071</v>
      </c>
      <c r="C4" t="s">
        <v>19</v>
      </c>
      <c r="D4" t="s">
        <v>9</v>
      </c>
      <c r="E4">
        <v>5</v>
      </c>
      <c r="H4" s="11">
        <f>DSUM(B2:E205,E2,H2:H3)</f>
        <v>321</v>
      </c>
      <c r="I4" s="11">
        <f>DCOUNTA(B2:E205,C2,I2:I3)</f>
        <v>24</v>
      </c>
      <c r="J4" s="7">
        <f>DAVERAGE(Tabulka,E2,J2:K3)</f>
        <v>3.9069767441860463</v>
      </c>
      <c r="K4" s="3"/>
      <c r="L4" s="12"/>
      <c r="M4" s="13" t="s">
        <v>5</v>
      </c>
    </row>
    <row r="5" spans="2:13">
      <c r="B5" s="1">
        <v>42072</v>
      </c>
      <c r="C5" t="s">
        <v>20</v>
      </c>
      <c r="D5" t="s">
        <v>13</v>
      </c>
      <c r="E5">
        <v>2</v>
      </c>
      <c r="L5" s="14">
        <f>DSUM(Tabulka,E2,L2:M4)</f>
        <v>464</v>
      </c>
      <c r="M5" s="8"/>
    </row>
    <row r="6" spans="2:13">
      <c r="B6" s="1">
        <v>42072</v>
      </c>
      <c r="C6" t="s">
        <v>14</v>
      </c>
      <c r="D6" t="s">
        <v>7</v>
      </c>
      <c r="E6">
        <v>8</v>
      </c>
    </row>
    <row r="7" spans="2:13">
      <c r="B7" s="1">
        <v>42073</v>
      </c>
      <c r="C7" t="s">
        <v>11</v>
      </c>
      <c r="D7" t="s">
        <v>7</v>
      </c>
      <c r="E7">
        <v>13</v>
      </c>
      <c r="M7" s="15"/>
    </row>
    <row r="8" spans="2:13">
      <c r="B8" s="1">
        <v>42073</v>
      </c>
      <c r="C8" t="s">
        <v>20</v>
      </c>
      <c r="D8" t="s">
        <v>15</v>
      </c>
      <c r="E8">
        <v>2</v>
      </c>
    </row>
    <row r="9" spans="2:13">
      <c r="B9" s="1">
        <v>42073</v>
      </c>
      <c r="C9" t="s">
        <v>14</v>
      </c>
      <c r="D9" t="s">
        <v>7</v>
      </c>
      <c r="E9">
        <v>3</v>
      </c>
    </row>
    <row r="10" spans="2:13">
      <c r="B10" s="1">
        <v>42074</v>
      </c>
      <c r="C10" t="s">
        <v>11</v>
      </c>
      <c r="D10" t="s">
        <v>5</v>
      </c>
      <c r="E10">
        <v>15</v>
      </c>
    </row>
    <row r="11" spans="2:13">
      <c r="B11" s="1">
        <v>42074</v>
      </c>
      <c r="C11" t="s">
        <v>20</v>
      </c>
      <c r="D11" t="s">
        <v>16</v>
      </c>
      <c r="E11">
        <v>1</v>
      </c>
    </row>
    <row r="12" spans="2:13">
      <c r="B12" s="1">
        <v>42074</v>
      </c>
      <c r="C12" t="s">
        <v>8</v>
      </c>
      <c r="D12" t="s">
        <v>15</v>
      </c>
      <c r="E12">
        <v>4</v>
      </c>
    </row>
    <row r="13" spans="2:13">
      <c r="B13" s="1">
        <v>42077</v>
      </c>
      <c r="C13" t="s">
        <v>20</v>
      </c>
      <c r="D13" t="s">
        <v>7</v>
      </c>
      <c r="E13">
        <v>1</v>
      </c>
    </row>
    <row r="14" spans="2:13">
      <c r="B14" s="1">
        <v>42078</v>
      </c>
      <c r="C14" t="s">
        <v>20</v>
      </c>
      <c r="D14" t="s">
        <v>5</v>
      </c>
      <c r="E14">
        <v>2</v>
      </c>
    </row>
    <row r="15" spans="2:13">
      <c r="B15" s="1">
        <v>42079</v>
      </c>
      <c r="C15" t="s">
        <v>14</v>
      </c>
      <c r="D15" t="s">
        <v>16</v>
      </c>
      <c r="E15">
        <v>3</v>
      </c>
    </row>
    <row r="16" spans="2:13">
      <c r="B16" s="1">
        <v>42080</v>
      </c>
      <c r="C16" t="s">
        <v>11</v>
      </c>
      <c r="D16" t="s">
        <v>15</v>
      </c>
      <c r="E16">
        <v>19</v>
      </c>
    </row>
    <row r="17" spans="2:5">
      <c r="B17" s="1">
        <v>42080</v>
      </c>
      <c r="C17" t="s">
        <v>21</v>
      </c>
      <c r="D17" t="s">
        <v>15</v>
      </c>
      <c r="E17">
        <v>3</v>
      </c>
    </row>
    <row r="18" spans="2:5">
      <c r="B18" s="1">
        <v>42080</v>
      </c>
      <c r="C18" t="s">
        <v>10</v>
      </c>
      <c r="D18" t="s">
        <v>9</v>
      </c>
      <c r="E18">
        <v>2</v>
      </c>
    </row>
    <row r="19" spans="2:5">
      <c r="B19" s="1">
        <v>42081</v>
      </c>
      <c r="C19" t="s">
        <v>10</v>
      </c>
      <c r="D19" t="s">
        <v>7</v>
      </c>
      <c r="E19">
        <v>11</v>
      </c>
    </row>
    <row r="20" spans="2:5">
      <c r="B20" s="1">
        <v>42081</v>
      </c>
      <c r="C20" t="s">
        <v>19</v>
      </c>
      <c r="D20" t="s">
        <v>5</v>
      </c>
      <c r="E20">
        <v>30</v>
      </c>
    </row>
    <row r="21" spans="2:5">
      <c r="B21" s="1">
        <v>42081</v>
      </c>
      <c r="C21" t="s">
        <v>20</v>
      </c>
      <c r="D21" t="s">
        <v>16</v>
      </c>
      <c r="E21">
        <v>30</v>
      </c>
    </row>
    <row r="22" spans="2:5">
      <c r="B22" s="1">
        <v>42084</v>
      </c>
      <c r="C22" t="s">
        <v>14</v>
      </c>
      <c r="D22" t="s">
        <v>15</v>
      </c>
      <c r="E22">
        <v>5</v>
      </c>
    </row>
    <row r="23" spans="2:5">
      <c r="B23" s="1">
        <v>42084</v>
      </c>
      <c r="C23" t="s">
        <v>21</v>
      </c>
      <c r="D23" t="s">
        <v>15</v>
      </c>
      <c r="E23">
        <v>2</v>
      </c>
    </row>
    <row r="24" spans="2:5">
      <c r="B24" s="1">
        <v>42084</v>
      </c>
      <c r="C24" t="s">
        <v>12</v>
      </c>
      <c r="D24" t="s">
        <v>9</v>
      </c>
      <c r="E24">
        <v>2</v>
      </c>
    </row>
    <row r="25" spans="2:5">
      <c r="B25" s="1">
        <v>42085</v>
      </c>
      <c r="C25" t="s">
        <v>12</v>
      </c>
      <c r="D25" t="s">
        <v>9</v>
      </c>
      <c r="E25">
        <v>3</v>
      </c>
    </row>
    <row r="26" spans="2:5">
      <c r="B26" s="1">
        <v>42085</v>
      </c>
      <c r="C26" t="s">
        <v>22</v>
      </c>
      <c r="D26" t="s">
        <v>13</v>
      </c>
      <c r="E26">
        <v>50</v>
      </c>
    </row>
    <row r="27" spans="2:5">
      <c r="B27" s="1">
        <v>42086</v>
      </c>
      <c r="C27" t="s">
        <v>14</v>
      </c>
      <c r="D27" t="s">
        <v>5</v>
      </c>
      <c r="E27">
        <v>15</v>
      </c>
    </row>
    <row r="28" spans="2:5">
      <c r="B28" s="1">
        <v>42086</v>
      </c>
      <c r="C28" t="s">
        <v>11</v>
      </c>
      <c r="D28" t="s">
        <v>5</v>
      </c>
      <c r="E28">
        <v>5</v>
      </c>
    </row>
    <row r="29" spans="2:5">
      <c r="B29" s="1">
        <v>42088</v>
      </c>
      <c r="C29" t="s">
        <v>20</v>
      </c>
      <c r="D29" t="s">
        <v>13</v>
      </c>
      <c r="E29">
        <v>1</v>
      </c>
    </row>
    <row r="30" spans="2:5">
      <c r="B30" s="1">
        <v>42091</v>
      </c>
      <c r="C30" t="s">
        <v>14</v>
      </c>
      <c r="D30" t="s">
        <v>7</v>
      </c>
      <c r="E30">
        <v>2</v>
      </c>
    </row>
    <row r="31" spans="2:5">
      <c r="B31" s="1">
        <v>42091</v>
      </c>
      <c r="C31" t="s">
        <v>11</v>
      </c>
      <c r="D31" t="s">
        <v>15</v>
      </c>
      <c r="E31">
        <v>1</v>
      </c>
    </row>
    <row r="32" spans="2:5">
      <c r="B32" s="1">
        <v>42091</v>
      </c>
      <c r="C32" t="s">
        <v>21</v>
      </c>
      <c r="D32" t="s">
        <v>15</v>
      </c>
      <c r="E32">
        <v>4</v>
      </c>
    </row>
    <row r="33" spans="2:5">
      <c r="B33" s="1">
        <v>42091</v>
      </c>
      <c r="C33" t="s">
        <v>12</v>
      </c>
      <c r="D33" t="s">
        <v>9</v>
      </c>
      <c r="E33">
        <v>21</v>
      </c>
    </row>
    <row r="34" spans="2:5">
      <c r="B34" s="1">
        <v>42092</v>
      </c>
      <c r="C34" t="s">
        <v>10</v>
      </c>
      <c r="D34" t="s">
        <v>13</v>
      </c>
      <c r="E34">
        <v>6</v>
      </c>
    </row>
    <row r="35" spans="2:5">
      <c r="B35" s="1">
        <v>42093</v>
      </c>
      <c r="C35" t="s">
        <v>19</v>
      </c>
      <c r="D35" t="s">
        <v>7</v>
      </c>
      <c r="E35">
        <v>1</v>
      </c>
    </row>
    <row r="36" spans="2:5">
      <c r="B36" s="1">
        <v>42093</v>
      </c>
      <c r="C36" t="s">
        <v>20</v>
      </c>
      <c r="D36" t="s">
        <v>13</v>
      </c>
      <c r="E36">
        <v>5</v>
      </c>
    </row>
    <row r="37" spans="2:5">
      <c r="B37" s="1">
        <v>42093</v>
      </c>
      <c r="C37" t="s">
        <v>14</v>
      </c>
      <c r="D37" t="s">
        <v>13</v>
      </c>
      <c r="E37">
        <v>14</v>
      </c>
    </row>
    <row r="38" spans="2:5">
      <c r="B38" s="1">
        <v>42093</v>
      </c>
      <c r="C38" t="s">
        <v>11</v>
      </c>
      <c r="D38" t="s">
        <v>7</v>
      </c>
      <c r="E38">
        <v>5</v>
      </c>
    </row>
    <row r="39" spans="2:5">
      <c r="B39" s="1">
        <v>42094</v>
      </c>
      <c r="C39" t="s">
        <v>20</v>
      </c>
      <c r="D39" t="s">
        <v>13</v>
      </c>
      <c r="E39">
        <v>2</v>
      </c>
    </row>
    <row r="40" spans="2:5">
      <c r="B40" s="1">
        <v>42094</v>
      </c>
      <c r="C40" t="s">
        <v>8</v>
      </c>
      <c r="D40" t="s">
        <v>13</v>
      </c>
      <c r="E40">
        <v>1</v>
      </c>
    </row>
    <row r="41" spans="2:5">
      <c r="B41" s="1">
        <v>42094</v>
      </c>
      <c r="C41" t="s">
        <v>21</v>
      </c>
      <c r="D41" t="s">
        <v>7</v>
      </c>
      <c r="E41">
        <v>11</v>
      </c>
    </row>
    <row r="42" spans="2:5">
      <c r="B42" s="1">
        <v>42094</v>
      </c>
      <c r="C42" t="s">
        <v>12</v>
      </c>
      <c r="D42" t="s">
        <v>5</v>
      </c>
      <c r="E42">
        <v>2</v>
      </c>
    </row>
    <row r="43" spans="2:5">
      <c r="B43" s="1">
        <v>42095</v>
      </c>
      <c r="C43" t="s">
        <v>22</v>
      </c>
      <c r="D43" t="s">
        <v>5</v>
      </c>
      <c r="E43">
        <v>2</v>
      </c>
    </row>
    <row r="44" spans="2:5">
      <c r="B44" s="1">
        <v>42100</v>
      </c>
      <c r="C44" t="s">
        <v>8</v>
      </c>
      <c r="D44" t="s">
        <v>15</v>
      </c>
      <c r="E44">
        <v>1</v>
      </c>
    </row>
    <row r="45" spans="2:5">
      <c r="B45" s="1">
        <v>42100</v>
      </c>
      <c r="C45" t="s">
        <v>21</v>
      </c>
      <c r="D45" t="s">
        <v>9</v>
      </c>
      <c r="E45">
        <v>1</v>
      </c>
    </row>
    <row r="46" spans="2:5">
      <c r="B46" s="1">
        <v>42100</v>
      </c>
      <c r="C46" t="s">
        <v>10</v>
      </c>
      <c r="D46" t="s">
        <v>13</v>
      </c>
      <c r="E46">
        <v>1</v>
      </c>
    </row>
    <row r="47" spans="2:5">
      <c r="B47" s="1">
        <v>42101</v>
      </c>
      <c r="C47" t="s">
        <v>14</v>
      </c>
      <c r="D47" t="s">
        <v>15</v>
      </c>
      <c r="E47">
        <v>1</v>
      </c>
    </row>
    <row r="48" spans="2:5">
      <c r="B48" s="1">
        <v>42101</v>
      </c>
      <c r="C48" t="s">
        <v>11</v>
      </c>
      <c r="D48" t="s">
        <v>15</v>
      </c>
      <c r="E48">
        <v>2</v>
      </c>
    </row>
    <row r="49" spans="2:5">
      <c r="B49" s="1">
        <v>42102</v>
      </c>
      <c r="C49" t="s">
        <v>12</v>
      </c>
      <c r="D49" t="s">
        <v>9</v>
      </c>
      <c r="E49">
        <v>5</v>
      </c>
    </row>
    <row r="50" spans="2:5">
      <c r="B50" s="1">
        <v>42102</v>
      </c>
      <c r="C50" t="s">
        <v>12</v>
      </c>
      <c r="D50" t="s">
        <v>13</v>
      </c>
      <c r="E50">
        <v>10</v>
      </c>
    </row>
    <row r="51" spans="2:5">
      <c r="B51" s="1">
        <v>42102</v>
      </c>
      <c r="C51" t="s">
        <v>22</v>
      </c>
      <c r="D51" t="s">
        <v>13</v>
      </c>
      <c r="E51">
        <v>2</v>
      </c>
    </row>
    <row r="52" spans="2:5">
      <c r="B52" s="1">
        <v>42102</v>
      </c>
      <c r="C52" t="s">
        <v>21</v>
      </c>
      <c r="D52" t="s">
        <v>7</v>
      </c>
      <c r="E52">
        <v>1</v>
      </c>
    </row>
    <row r="53" spans="2:5">
      <c r="B53" s="1">
        <v>42105</v>
      </c>
      <c r="C53" t="s">
        <v>12</v>
      </c>
      <c r="D53" t="s">
        <v>5</v>
      </c>
      <c r="E53">
        <v>3</v>
      </c>
    </row>
    <row r="54" spans="2:5">
      <c r="B54" s="1">
        <v>42106</v>
      </c>
      <c r="C54" t="s">
        <v>22</v>
      </c>
      <c r="D54" t="s">
        <v>16</v>
      </c>
      <c r="E54">
        <v>5</v>
      </c>
    </row>
    <row r="55" spans="2:5">
      <c r="B55" s="1">
        <v>42106</v>
      </c>
      <c r="C55" t="s">
        <v>10</v>
      </c>
      <c r="D55" t="s">
        <v>15</v>
      </c>
      <c r="E55">
        <v>8</v>
      </c>
    </row>
    <row r="56" spans="2:5">
      <c r="B56" s="1">
        <v>42107</v>
      </c>
      <c r="C56" t="s">
        <v>14</v>
      </c>
      <c r="D56" t="s">
        <v>15</v>
      </c>
      <c r="E56">
        <v>2</v>
      </c>
    </row>
    <row r="57" spans="2:5">
      <c r="B57" s="1">
        <v>42107</v>
      </c>
      <c r="C57" t="s">
        <v>21</v>
      </c>
      <c r="D57" t="s">
        <v>15</v>
      </c>
      <c r="E57">
        <v>5</v>
      </c>
    </row>
    <row r="58" spans="2:5">
      <c r="B58" s="1">
        <v>42107</v>
      </c>
      <c r="C58" t="s">
        <v>12</v>
      </c>
      <c r="D58" t="s">
        <v>7</v>
      </c>
      <c r="E58">
        <v>4</v>
      </c>
    </row>
    <row r="59" spans="2:5">
      <c r="B59" s="1">
        <v>42108</v>
      </c>
      <c r="C59" t="s">
        <v>12</v>
      </c>
      <c r="D59" t="s">
        <v>13</v>
      </c>
      <c r="E59">
        <v>6</v>
      </c>
    </row>
    <row r="60" spans="2:5">
      <c r="B60" s="1">
        <v>42108</v>
      </c>
      <c r="C60" t="s">
        <v>22</v>
      </c>
      <c r="D60" t="s">
        <v>13</v>
      </c>
      <c r="E60">
        <v>6</v>
      </c>
    </row>
    <row r="61" spans="2:5">
      <c r="B61" s="1">
        <v>42108</v>
      </c>
      <c r="C61" t="s">
        <v>21</v>
      </c>
      <c r="D61" t="s">
        <v>7</v>
      </c>
      <c r="E61">
        <v>1</v>
      </c>
    </row>
    <row r="62" spans="2:5">
      <c r="B62" s="1">
        <v>42109</v>
      </c>
      <c r="C62" t="s">
        <v>19</v>
      </c>
      <c r="D62" t="s">
        <v>7</v>
      </c>
      <c r="E62">
        <v>9</v>
      </c>
    </row>
    <row r="63" spans="2:5">
      <c r="B63" s="1">
        <v>42109</v>
      </c>
      <c r="C63" t="s">
        <v>20</v>
      </c>
      <c r="D63" t="s">
        <v>13</v>
      </c>
      <c r="E63">
        <v>2</v>
      </c>
    </row>
    <row r="64" spans="2:5">
      <c r="B64" s="1">
        <v>42112</v>
      </c>
      <c r="C64" t="s">
        <v>14</v>
      </c>
      <c r="D64" t="s">
        <v>13</v>
      </c>
      <c r="E64">
        <v>3</v>
      </c>
    </row>
    <row r="65" spans="2:5">
      <c r="B65" s="1">
        <v>42112</v>
      </c>
      <c r="C65" t="s">
        <v>21</v>
      </c>
      <c r="D65" t="s">
        <v>5</v>
      </c>
      <c r="E65">
        <v>2</v>
      </c>
    </row>
    <row r="66" spans="2:5">
      <c r="B66" s="1">
        <v>42112</v>
      </c>
      <c r="C66" t="s">
        <v>22</v>
      </c>
      <c r="D66" t="s">
        <v>13</v>
      </c>
      <c r="E66">
        <v>10</v>
      </c>
    </row>
    <row r="67" spans="2:5">
      <c r="B67" s="1">
        <v>42113</v>
      </c>
      <c r="C67" t="s">
        <v>10</v>
      </c>
      <c r="D67" t="s">
        <v>7</v>
      </c>
      <c r="E67">
        <v>4</v>
      </c>
    </row>
    <row r="68" spans="2:5">
      <c r="B68" s="1">
        <v>42113</v>
      </c>
      <c r="C68" t="s">
        <v>19</v>
      </c>
      <c r="D68" t="s">
        <v>13</v>
      </c>
      <c r="E68">
        <v>5</v>
      </c>
    </row>
    <row r="69" spans="2:5">
      <c r="B69" s="1">
        <v>42113</v>
      </c>
      <c r="C69" t="s">
        <v>20</v>
      </c>
      <c r="D69" t="s">
        <v>13</v>
      </c>
      <c r="E69">
        <v>6</v>
      </c>
    </row>
    <row r="70" spans="2:5">
      <c r="B70" s="1">
        <v>42114</v>
      </c>
      <c r="C70" t="s">
        <v>10</v>
      </c>
      <c r="D70" t="s">
        <v>13</v>
      </c>
      <c r="E70">
        <v>5</v>
      </c>
    </row>
    <row r="71" spans="2:5">
      <c r="B71" s="1">
        <v>42115</v>
      </c>
      <c r="C71" t="s">
        <v>14</v>
      </c>
      <c r="D71" t="s">
        <v>13</v>
      </c>
      <c r="E71">
        <v>10</v>
      </c>
    </row>
    <row r="72" spans="2:5">
      <c r="B72" s="1">
        <v>42115</v>
      </c>
      <c r="C72" t="s">
        <v>11</v>
      </c>
      <c r="D72" t="s">
        <v>5</v>
      </c>
      <c r="E72">
        <v>2</v>
      </c>
    </row>
    <row r="73" spans="2:5">
      <c r="B73" s="1">
        <v>42115</v>
      </c>
      <c r="C73" t="s">
        <v>21</v>
      </c>
      <c r="D73" t="s">
        <v>9</v>
      </c>
      <c r="E73">
        <v>5</v>
      </c>
    </row>
    <row r="74" spans="2:5">
      <c r="B74" s="1">
        <v>42116</v>
      </c>
      <c r="C74" t="s">
        <v>10</v>
      </c>
      <c r="D74" t="s">
        <v>13</v>
      </c>
      <c r="E74">
        <v>6</v>
      </c>
    </row>
    <row r="75" spans="2:5">
      <c r="B75" s="1">
        <v>42116</v>
      </c>
      <c r="C75" t="s">
        <v>19</v>
      </c>
      <c r="D75" t="s">
        <v>7</v>
      </c>
      <c r="E75">
        <v>1</v>
      </c>
    </row>
    <row r="76" spans="2:5">
      <c r="B76" s="1">
        <v>42116</v>
      </c>
      <c r="C76" t="s">
        <v>20</v>
      </c>
      <c r="D76" t="s">
        <v>13</v>
      </c>
      <c r="E76">
        <v>3</v>
      </c>
    </row>
    <row r="77" spans="2:5">
      <c r="B77" s="1">
        <v>42119</v>
      </c>
      <c r="C77" t="s">
        <v>14</v>
      </c>
      <c r="D77" t="s">
        <v>13</v>
      </c>
      <c r="E77">
        <v>2</v>
      </c>
    </row>
    <row r="78" spans="2:5">
      <c r="B78" s="1">
        <v>42119</v>
      </c>
      <c r="C78" t="s">
        <v>21</v>
      </c>
      <c r="D78" t="s">
        <v>7</v>
      </c>
      <c r="E78">
        <v>1</v>
      </c>
    </row>
    <row r="79" spans="2:5">
      <c r="B79" s="1">
        <v>42120</v>
      </c>
      <c r="C79" t="s">
        <v>12</v>
      </c>
      <c r="D79" t="s">
        <v>13</v>
      </c>
      <c r="E79">
        <v>5</v>
      </c>
    </row>
    <row r="80" spans="2:5">
      <c r="B80" s="1">
        <v>42120</v>
      </c>
      <c r="C80" t="s">
        <v>22</v>
      </c>
      <c r="D80" t="s">
        <v>7</v>
      </c>
      <c r="E80">
        <v>4</v>
      </c>
    </row>
    <row r="81" spans="2:5">
      <c r="B81" s="1">
        <v>42121</v>
      </c>
      <c r="C81" t="s">
        <v>21</v>
      </c>
      <c r="D81" t="s">
        <v>5</v>
      </c>
      <c r="E81">
        <v>1</v>
      </c>
    </row>
    <row r="82" spans="2:5">
      <c r="B82" s="1">
        <v>42122</v>
      </c>
      <c r="C82" t="s">
        <v>8</v>
      </c>
      <c r="D82" t="s">
        <v>7</v>
      </c>
      <c r="E82">
        <v>12</v>
      </c>
    </row>
    <row r="83" spans="2:5">
      <c r="B83" s="1">
        <v>42122</v>
      </c>
      <c r="C83" t="s">
        <v>21</v>
      </c>
      <c r="D83" t="s">
        <v>15</v>
      </c>
      <c r="E83">
        <v>2</v>
      </c>
    </row>
    <row r="84" spans="2:5">
      <c r="B84" s="1">
        <v>42123</v>
      </c>
      <c r="C84" t="s">
        <v>11</v>
      </c>
      <c r="D84" t="s">
        <v>16</v>
      </c>
      <c r="E84">
        <v>1</v>
      </c>
    </row>
    <row r="85" spans="2:5">
      <c r="B85" s="1">
        <v>42123</v>
      </c>
      <c r="C85" t="s">
        <v>20</v>
      </c>
      <c r="D85" t="s">
        <v>15</v>
      </c>
      <c r="E85">
        <v>1</v>
      </c>
    </row>
    <row r="86" spans="2:5">
      <c r="B86" s="1">
        <v>42126</v>
      </c>
      <c r="C86" t="s">
        <v>21</v>
      </c>
      <c r="D86" t="s">
        <v>16</v>
      </c>
      <c r="E86">
        <v>1</v>
      </c>
    </row>
    <row r="87" spans="2:5">
      <c r="B87" s="1">
        <v>42126</v>
      </c>
      <c r="C87" t="s">
        <v>10</v>
      </c>
      <c r="D87" t="s">
        <v>15</v>
      </c>
      <c r="E87">
        <v>2</v>
      </c>
    </row>
    <row r="88" spans="2:5">
      <c r="B88" s="1">
        <v>42127</v>
      </c>
      <c r="C88" t="s">
        <v>19</v>
      </c>
      <c r="D88" t="s">
        <v>7</v>
      </c>
      <c r="E88">
        <v>13</v>
      </c>
    </row>
    <row r="89" spans="2:5">
      <c r="B89" s="1">
        <v>42127</v>
      </c>
      <c r="C89" t="s">
        <v>20</v>
      </c>
      <c r="D89" t="s">
        <v>13</v>
      </c>
      <c r="E89">
        <v>3</v>
      </c>
    </row>
    <row r="90" spans="2:5">
      <c r="B90" s="1">
        <v>42128</v>
      </c>
      <c r="C90" t="s">
        <v>20</v>
      </c>
      <c r="D90" t="s">
        <v>7</v>
      </c>
      <c r="E90">
        <v>21</v>
      </c>
    </row>
    <row r="91" spans="2:5">
      <c r="B91" s="1">
        <v>42128</v>
      </c>
      <c r="C91" t="s">
        <v>19</v>
      </c>
      <c r="D91" t="s">
        <v>5</v>
      </c>
      <c r="E91">
        <v>1</v>
      </c>
    </row>
    <row r="92" spans="2:5">
      <c r="B92" s="1">
        <v>42129</v>
      </c>
      <c r="C92" t="s">
        <v>20</v>
      </c>
      <c r="D92" t="s">
        <v>13</v>
      </c>
      <c r="E92">
        <v>2</v>
      </c>
    </row>
    <row r="93" spans="2:5">
      <c r="B93" s="1">
        <v>42129</v>
      </c>
      <c r="C93" t="s">
        <v>14</v>
      </c>
      <c r="D93" t="s">
        <v>13</v>
      </c>
      <c r="E93">
        <v>10</v>
      </c>
    </row>
    <row r="94" spans="2:5">
      <c r="B94" s="1">
        <v>42129</v>
      </c>
      <c r="C94" t="s">
        <v>11</v>
      </c>
      <c r="D94" t="s">
        <v>7</v>
      </c>
      <c r="E94">
        <v>5</v>
      </c>
    </row>
    <row r="95" spans="2:5">
      <c r="B95" s="1">
        <v>42130</v>
      </c>
      <c r="C95" t="s">
        <v>8</v>
      </c>
      <c r="D95" t="s">
        <v>5</v>
      </c>
      <c r="E95">
        <v>2</v>
      </c>
    </row>
    <row r="96" spans="2:5">
      <c r="B96" s="1">
        <v>42133</v>
      </c>
      <c r="C96" t="s">
        <v>12</v>
      </c>
      <c r="D96" t="s">
        <v>5</v>
      </c>
      <c r="E96">
        <v>3</v>
      </c>
    </row>
    <row r="97" spans="2:5">
      <c r="B97" s="1">
        <v>42133</v>
      </c>
      <c r="C97" t="s">
        <v>11</v>
      </c>
      <c r="D97" t="s">
        <v>5</v>
      </c>
      <c r="E97">
        <v>6</v>
      </c>
    </row>
    <row r="98" spans="2:5">
      <c r="B98" s="1">
        <v>42133</v>
      </c>
      <c r="C98" t="s">
        <v>10</v>
      </c>
      <c r="D98" t="s">
        <v>9</v>
      </c>
      <c r="E98">
        <v>14</v>
      </c>
    </row>
    <row r="99" spans="2:5">
      <c r="B99" s="1">
        <v>42134</v>
      </c>
      <c r="C99" t="s">
        <v>10</v>
      </c>
      <c r="D99" t="s">
        <v>13</v>
      </c>
      <c r="E99">
        <v>3</v>
      </c>
    </row>
    <row r="100" spans="2:5">
      <c r="B100" s="1">
        <v>42134</v>
      </c>
      <c r="C100" t="s">
        <v>19</v>
      </c>
      <c r="D100" t="s">
        <v>7</v>
      </c>
      <c r="E100">
        <v>1</v>
      </c>
    </row>
    <row r="101" spans="2:5">
      <c r="B101" s="1">
        <v>42134</v>
      </c>
      <c r="C101" t="s">
        <v>20</v>
      </c>
      <c r="D101" t="s">
        <v>5</v>
      </c>
      <c r="E101">
        <v>29</v>
      </c>
    </row>
    <row r="102" spans="2:5">
      <c r="B102" s="1">
        <v>42135</v>
      </c>
      <c r="C102" t="s">
        <v>8</v>
      </c>
      <c r="D102" t="s">
        <v>13</v>
      </c>
      <c r="E102">
        <v>8</v>
      </c>
    </row>
    <row r="103" spans="2:5">
      <c r="B103" s="1">
        <v>42135</v>
      </c>
      <c r="C103" t="s">
        <v>21</v>
      </c>
      <c r="D103" t="s">
        <v>13</v>
      </c>
      <c r="E103">
        <v>2</v>
      </c>
    </row>
    <row r="104" spans="2:5">
      <c r="B104" s="1">
        <v>42136</v>
      </c>
      <c r="C104" t="s">
        <v>8</v>
      </c>
      <c r="D104" t="s">
        <v>15</v>
      </c>
      <c r="E104">
        <v>3</v>
      </c>
    </row>
    <row r="105" spans="2:5">
      <c r="B105" s="1">
        <v>42136</v>
      </c>
      <c r="C105" t="s">
        <v>11</v>
      </c>
      <c r="D105" t="s">
        <v>9</v>
      </c>
      <c r="E105">
        <v>9</v>
      </c>
    </row>
    <row r="106" spans="2:5">
      <c r="B106" s="1">
        <v>42137</v>
      </c>
      <c r="C106" t="s">
        <v>20</v>
      </c>
      <c r="D106" t="s">
        <v>5</v>
      </c>
      <c r="E106">
        <v>7</v>
      </c>
    </row>
    <row r="107" spans="2:5">
      <c r="B107" s="1">
        <v>42137</v>
      </c>
      <c r="C107" t="s">
        <v>20</v>
      </c>
      <c r="D107" t="s">
        <v>13</v>
      </c>
      <c r="E107">
        <v>8</v>
      </c>
    </row>
    <row r="108" spans="2:5">
      <c r="B108" s="1">
        <v>42137</v>
      </c>
      <c r="C108" t="s">
        <v>10</v>
      </c>
      <c r="D108" t="s">
        <v>13</v>
      </c>
      <c r="E108">
        <v>3</v>
      </c>
    </row>
    <row r="109" spans="2:5">
      <c r="B109" s="1">
        <v>42137</v>
      </c>
      <c r="C109" t="s">
        <v>10</v>
      </c>
      <c r="D109" t="s">
        <v>7</v>
      </c>
      <c r="E109">
        <v>2</v>
      </c>
    </row>
    <row r="110" spans="2:5">
      <c r="B110" s="1">
        <v>42140</v>
      </c>
      <c r="C110" t="s">
        <v>12</v>
      </c>
      <c r="D110" t="s">
        <v>13</v>
      </c>
      <c r="E110">
        <v>1</v>
      </c>
    </row>
    <row r="111" spans="2:5">
      <c r="B111" s="1">
        <v>42140</v>
      </c>
      <c r="C111" t="s">
        <v>19</v>
      </c>
      <c r="D111" t="s">
        <v>13</v>
      </c>
      <c r="E111">
        <v>5</v>
      </c>
    </row>
    <row r="112" spans="2:5">
      <c r="B112" s="1">
        <v>42141</v>
      </c>
      <c r="C112" t="s">
        <v>21</v>
      </c>
      <c r="D112" t="s">
        <v>15</v>
      </c>
      <c r="E112">
        <v>6</v>
      </c>
    </row>
    <row r="113" spans="2:5">
      <c r="B113" s="1">
        <v>42141</v>
      </c>
      <c r="C113" t="s">
        <v>21</v>
      </c>
      <c r="D113" t="s">
        <v>9</v>
      </c>
      <c r="E113">
        <v>13</v>
      </c>
    </row>
    <row r="114" spans="2:5">
      <c r="B114" s="1">
        <v>42142</v>
      </c>
      <c r="C114" t="s">
        <v>19</v>
      </c>
      <c r="D114" t="s">
        <v>13</v>
      </c>
      <c r="E114">
        <v>15</v>
      </c>
    </row>
    <row r="115" spans="2:5">
      <c r="B115" s="1">
        <v>42142</v>
      </c>
      <c r="C115" t="s">
        <v>19</v>
      </c>
      <c r="D115" t="s">
        <v>15</v>
      </c>
      <c r="E115">
        <v>2</v>
      </c>
    </row>
    <row r="116" spans="2:5">
      <c r="B116" s="1">
        <v>42142</v>
      </c>
      <c r="C116" t="s">
        <v>19</v>
      </c>
      <c r="D116" t="s">
        <v>15</v>
      </c>
      <c r="E116">
        <v>5</v>
      </c>
    </row>
    <row r="117" spans="2:5">
      <c r="B117" s="1">
        <v>42142</v>
      </c>
      <c r="C117" t="s">
        <v>14</v>
      </c>
      <c r="D117" t="s">
        <v>9</v>
      </c>
      <c r="E117">
        <v>2</v>
      </c>
    </row>
    <row r="118" spans="2:5">
      <c r="B118" s="1">
        <v>42142</v>
      </c>
      <c r="C118" t="s">
        <v>22</v>
      </c>
      <c r="D118" t="s">
        <v>15</v>
      </c>
      <c r="E118">
        <v>3</v>
      </c>
    </row>
    <row r="119" spans="2:5">
      <c r="B119" s="1">
        <v>42142</v>
      </c>
      <c r="C119" t="s">
        <v>12</v>
      </c>
      <c r="D119" t="s">
        <v>15</v>
      </c>
      <c r="E119">
        <v>9</v>
      </c>
    </row>
    <row r="120" spans="2:5">
      <c r="B120" s="1">
        <v>42143</v>
      </c>
      <c r="C120" t="s">
        <v>10</v>
      </c>
      <c r="D120" t="s">
        <v>5</v>
      </c>
      <c r="E120">
        <v>8</v>
      </c>
    </row>
    <row r="121" spans="2:5">
      <c r="B121" s="1">
        <v>42143</v>
      </c>
      <c r="C121" t="s">
        <v>19</v>
      </c>
      <c r="D121" t="s">
        <v>5</v>
      </c>
      <c r="E121">
        <v>1</v>
      </c>
    </row>
    <row r="122" spans="2:5">
      <c r="B122" s="1">
        <v>42144</v>
      </c>
      <c r="C122" t="s">
        <v>12</v>
      </c>
      <c r="D122" t="s">
        <v>5</v>
      </c>
      <c r="E122">
        <v>2</v>
      </c>
    </row>
    <row r="123" spans="2:5">
      <c r="B123" s="1">
        <v>42144</v>
      </c>
      <c r="C123" t="s">
        <v>12</v>
      </c>
      <c r="D123" t="s">
        <v>13</v>
      </c>
      <c r="E123">
        <v>3</v>
      </c>
    </row>
    <row r="124" spans="2:5">
      <c r="B124" s="1">
        <v>42144</v>
      </c>
      <c r="C124" t="s">
        <v>22</v>
      </c>
      <c r="D124" t="s">
        <v>13</v>
      </c>
      <c r="E124">
        <v>1</v>
      </c>
    </row>
    <row r="125" spans="2:5">
      <c r="B125" s="1">
        <v>42147</v>
      </c>
      <c r="C125" t="s">
        <v>21</v>
      </c>
      <c r="D125" t="s">
        <v>9</v>
      </c>
      <c r="E125">
        <v>4</v>
      </c>
    </row>
    <row r="126" spans="2:5">
      <c r="B126" s="1">
        <v>42147</v>
      </c>
      <c r="C126" t="s">
        <v>10</v>
      </c>
      <c r="D126" t="s">
        <v>9</v>
      </c>
      <c r="E126">
        <v>12</v>
      </c>
    </row>
    <row r="127" spans="2:5">
      <c r="B127" s="1">
        <v>42148</v>
      </c>
      <c r="C127" t="s">
        <v>19</v>
      </c>
      <c r="D127" t="s">
        <v>15</v>
      </c>
      <c r="E127">
        <v>1</v>
      </c>
    </row>
    <row r="128" spans="2:5">
      <c r="B128" s="1">
        <v>42148</v>
      </c>
      <c r="C128" t="s">
        <v>19</v>
      </c>
      <c r="D128" t="s">
        <v>7</v>
      </c>
      <c r="E128">
        <v>2</v>
      </c>
    </row>
    <row r="129" spans="2:5">
      <c r="B129" s="1">
        <v>42149</v>
      </c>
      <c r="C129" t="s">
        <v>19</v>
      </c>
      <c r="D129" t="s">
        <v>13</v>
      </c>
      <c r="E129">
        <v>3</v>
      </c>
    </row>
    <row r="130" spans="2:5">
      <c r="B130" s="1">
        <v>42149</v>
      </c>
      <c r="C130" t="s">
        <v>14</v>
      </c>
      <c r="D130" t="s">
        <v>5</v>
      </c>
      <c r="E130">
        <v>9</v>
      </c>
    </row>
    <row r="131" spans="2:5">
      <c r="B131" s="1">
        <v>42149</v>
      </c>
      <c r="C131" t="s">
        <v>22</v>
      </c>
      <c r="D131" t="s">
        <v>16</v>
      </c>
      <c r="E131">
        <v>7</v>
      </c>
    </row>
    <row r="132" spans="2:5">
      <c r="B132" s="1">
        <v>42150</v>
      </c>
      <c r="C132" t="s">
        <v>12</v>
      </c>
      <c r="D132" t="s">
        <v>13</v>
      </c>
      <c r="E132">
        <v>12</v>
      </c>
    </row>
    <row r="133" spans="2:5">
      <c r="B133" s="1">
        <v>42151</v>
      </c>
      <c r="C133" t="s">
        <v>22</v>
      </c>
      <c r="D133" t="s">
        <v>7</v>
      </c>
      <c r="E133">
        <v>1</v>
      </c>
    </row>
    <row r="134" spans="2:5">
      <c r="B134" s="1">
        <v>42151</v>
      </c>
      <c r="C134" t="s">
        <v>21</v>
      </c>
      <c r="D134" t="s">
        <v>5</v>
      </c>
      <c r="E134">
        <v>4</v>
      </c>
    </row>
    <row r="135" spans="2:5">
      <c r="B135" s="1">
        <v>42151</v>
      </c>
      <c r="C135" t="s">
        <v>8</v>
      </c>
      <c r="D135" t="s">
        <v>5</v>
      </c>
      <c r="E135">
        <v>6</v>
      </c>
    </row>
    <row r="136" spans="2:5">
      <c r="B136" s="1">
        <v>42151</v>
      </c>
      <c r="C136" t="s">
        <v>12</v>
      </c>
      <c r="D136" t="s">
        <v>5</v>
      </c>
      <c r="E136">
        <v>11</v>
      </c>
    </row>
    <row r="137" spans="2:5">
      <c r="B137" s="1">
        <v>42154</v>
      </c>
      <c r="C137" t="s">
        <v>19</v>
      </c>
      <c r="D137" t="s">
        <v>7</v>
      </c>
      <c r="E137">
        <v>1</v>
      </c>
    </row>
    <row r="138" spans="2:5">
      <c r="B138" s="1">
        <v>42154</v>
      </c>
      <c r="C138" t="s">
        <v>20</v>
      </c>
      <c r="D138" t="s">
        <v>7</v>
      </c>
      <c r="E138">
        <v>21</v>
      </c>
    </row>
    <row r="139" spans="2:5">
      <c r="B139" s="1">
        <v>42155</v>
      </c>
      <c r="C139" t="s">
        <v>14</v>
      </c>
      <c r="D139" t="s">
        <v>13</v>
      </c>
      <c r="E139">
        <v>4</v>
      </c>
    </row>
    <row r="140" spans="2:5">
      <c r="B140" s="1">
        <v>42155</v>
      </c>
      <c r="C140" t="s">
        <v>20</v>
      </c>
      <c r="D140" t="s">
        <v>7</v>
      </c>
      <c r="E140">
        <v>2</v>
      </c>
    </row>
    <row r="141" spans="2:5">
      <c r="B141" s="1">
        <v>42155</v>
      </c>
      <c r="C141" t="s">
        <v>14</v>
      </c>
      <c r="D141" t="s">
        <v>13</v>
      </c>
      <c r="E141">
        <v>3</v>
      </c>
    </row>
    <row r="142" spans="2:5">
      <c r="B142" s="1">
        <v>42156</v>
      </c>
      <c r="C142" t="s">
        <v>19</v>
      </c>
      <c r="D142" t="s">
        <v>5</v>
      </c>
      <c r="E142">
        <v>10</v>
      </c>
    </row>
    <row r="143" spans="2:5">
      <c r="B143" s="1">
        <v>42156</v>
      </c>
      <c r="C143" t="s">
        <v>20</v>
      </c>
      <c r="D143" t="s">
        <v>9</v>
      </c>
      <c r="E143">
        <v>10</v>
      </c>
    </row>
    <row r="144" spans="2:5">
      <c r="B144" s="1">
        <v>42157</v>
      </c>
      <c r="C144" t="s">
        <v>20</v>
      </c>
      <c r="D144" t="s">
        <v>15</v>
      </c>
      <c r="E144">
        <v>3</v>
      </c>
    </row>
    <row r="145" spans="2:5">
      <c r="B145" s="1">
        <v>42157</v>
      </c>
      <c r="C145" t="s">
        <v>14</v>
      </c>
      <c r="D145" t="s">
        <v>7</v>
      </c>
      <c r="E145">
        <v>6</v>
      </c>
    </row>
    <row r="146" spans="2:5">
      <c r="B146" s="1">
        <v>42157</v>
      </c>
      <c r="C146" t="s">
        <v>11</v>
      </c>
      <c r="D146" t="s">
        <v>7</v>
      </c>
      <c r="E146">
        <v>1</v>
      </c>
    </row>
    <row r="147" spans="2:5">
      <c r="B147" s="1">
        <v>42158</v>
      </c>
      <c r="C147" t="s">
        <v>21</v>
      </c>
      <c r="D147" t="s">
        <v>13</v>
      </c>
      <c r="E147">
        <v>20</v>
      </c>
    </row>
    <row r="148" spans="2:5">
      <c r="B148" s="1">
        <v>42158</v>
      </c>
      <c r="C148" t="s">
        <v>10</v>
      </c>
      <c r="D148" t="s">
        <v>7</v>
      </c>
      <c r="E148">
        <v>1</v>
      </c>
    </row>
    <row r="149" spans="2:5">
      <c r="B149" s="1">
        <v>42161</v>
      </c>
      <c r="C149" t="s">
        <v>21</v>
      </c>
      <c r="D149" t="s">
        <v>7</v>
      </c>
      <c r="E149">
        <v>10</v>
      </c>
    </row>
    <row r="150" spans="2:5">
      <c r="B150" s="1">
        <v>42161</v>
      </c>
      <c r="C150" t="s">
        <v>14</v>
      </c>
      <c r="D150" t="s">
        <v>15</v>
      </c>
      <c r="E150">
        <v>2</v>
      </c>
    </row>
    <row r="151" spans="2:5">
      <c r="B151" s="1">
        <v>42161</v>
      </c>
      <c r="C151" t="s">
        <v>22</v>
      </c>
      <c r="D151" t="s">
        <v>15</v>
      </c>
      <c r="E151">
        <v>25</v>
      </c>
    </row>
    <row r="152" spans="2:5">
      <c r="B152" s="1">
        <v>42162</v>
      </c>
      <c r="C152" t="s">
        <v>12</v>
      </c>
      <c r="D152" t="s">
        <v>9</v>
      </c>
      <c r="E152">
        <v>2</v>
      </c>
    </row>
    <row r="153" spans="2:5">
      <c r="B153" s="1">
        <v>42162</v>
      </c>
      <c r="C153" t="s">
        <v>21</v>
      </c>
      <c r="D153" t="s">
        <v>15</v>
      </c>
      <c r="E153">
        <v>3</v>
      </c>
    </row>
    <row r="154" spans="2:5">
      <c r="B154" s="1">
        <v>42163</v>
      </c>
      <c r="C154" t="s">
        <v>21</v>
      </c>
      <c r="D154" t="s">
        <v>15</v>
      </c>
      <c r="E154">
        <v>4</v>
      </c>
    </row>
    <row r="155" spans="2:5">
      <c r="B155" s="1">
        <v>42164</v>
      </c>
      <c r="C155" t="s">
        <v>12</v>
      </c>
      <c r="D155" t="s">
        <v>5</v>
      </c>
      <c r="E155">
        <v>4</v>
      </c>
    </row>
    <row r="156" spans="2:5">
      <c r="B156" s="1">
        <v>42164</v>
      </c>
      <c r="C156" t="s">
        <v>12</v>
      </c>
      <c r="D156" t="s">
        <v>5</v>
      </c>
      <c r="E156">
        <v>2</v>
      </c>
    </row>
    <row r="157" spans="2:5">
      <c r="B157" s="1">
        <v>42165</v>
      </c>
      <c r="C157" t="s">
        <v>12</v>
      </c>
      <c r="D157" t="s">
        <v>7</v>
      </c>
      <c r="E157">
        <v>22</v>
      </c>
    </row>
    <row r="158" spans="2:5">
      <c r="B158" s="1">
        <v>42165</v>
      </c>
      <c r="C158" t="s">
        <v>12</v>
      </c>
      <c r="D158" t="s">
        <v>15</v>
      </c>
      <c r="E158">
        <v>3</v>
      </c>
    </row>
    <row r="159" spans="2:5">
      <c r="B159" s="1">
        <v>42168</v>
      </c>
      <c r="C159" t="s">
        <v>22</v>
      </c>
      <c r="D159" t="s">
        <v>15</v>
      </c>
      <c r="E159">
        <v>4</v>
      </c>
    </row>
    <row r="160" spans="2:5">
      <c r="B160" s="1">
        <v>42168</v>
      </c>
      <c r="C160" t="s">
        <v>21</v>
      </c>
      <c r="D160" t="s">
        <v>15</v>
      </c>
      <c r="E160">
        <v>5</v>
      </c>
    </row>
    <row r="161" spans="2:5">
      <c r="B161" s="1">
        <v>42169</v>
      </c>
      <c r="C161" t="s">
        <v>21</v>
      </c>
      <c r="D161" t="s">
        <v>13</v>
      </c>
      <c r="E161">
        <v>7</v>
      </c>
    </row>
    <row r="162" spans="2:5">
      <c r="B162" s="1">
        <v>42170</v>
      </c>
      <c r="C162" t="s">
        <v>10</v>
      </c>
      <c r="D162" t="s">
        <v>9</v>
      </c>
      <c r="E162">
        <v>8</v>
      </c>
    </row>
    <row r="163" spans="2:5">
      <c r="B163" s="1">
        <v>42170</v>
      </c>
      <c r="C163" t="s">
        <v>14</v>
      </c>
      <c r="D163" t="s">
        <v>9</v>
      </c>
      <c r="E163">
        <v>3</v>
      </c>
    </row>
    <row r="164" spans="2:5">
      <c r="B164" s="1">
        <v>42171</v>
      </c>
      <c r="C164" t="s">
        <v>11</v>
      </c>
      <c r="D164" t="s">
        <v>9</v>
      </c>
      <c r="E164">
        <v>3</v>
      </c>
    </row>
    <row r="165" spans="2:5">
      <c r="B165" s="1">
        <v>42171</v>
      </c>
      <c r="C165" t="s">
        <v>12</v>
      </c>
      <c r="D165" t="s">
        <v>9</v>
      </c>
      <c r="E165">
        <v>2</v>
      </c>
    </row>
    <row r="166" spans="2:5">
      <c r="B166" s="1">
        <v>42172</v>
      </c>
      <c r="C166" t="s">
        <v>14</v>
      </c>
      <c r="D166" t="s">
        <v>5</v>
      </c>
      <c r="E166">
        <v>10</v>
      </c>
    </row>
    <row r="167" spans="2:5">
      <c r="B167" s="1">
        <v>42172</v>
      </c>
      <c r="C167" t="s">
        <v>21</v>
      </c>
      <c r="D167" t="s">
        <v>16</v>
      </c>
      <c r="E167">
        <v>15</v>
      </c>
    </row>
    <row r="168" spans="2:5">
      <c r="B168" s="1">
        <v>42175</v>
      </c>
      <c r="C168" t="s">
        <v>20</v>
      </c>
      <c r="D168" t="s">
        <v>5</v>
      </c>
      <c r="E168">
        <v>3</v>
      </c>
    </row>
    <row r="169" spans="2:5">
      <c r="B169" s="1">
        <v>42175</v>
      </c>
      <c r="C169" t="s">
        <v>22</v>
      </c>
      <c r="D169" t="s">
        <v>16</v>
      </c>
      <c r="E169">
        <v>1</v>
      </c>
    </row>
    <row r="170" spans="2:5">
      <c r="B170" s="1">
        <v>42175</v>
      </c>
      <c r="C170" t="s">
        <v>10</v>
      </c>
      <c r="D170" t="s">
        <v>15</v>
      </c>
      <c r="E170">
        <v>5</v>
      </c>
    </row>
    <row r="171" spans="2:5">
      <c r="B171" s="1">
        <v>42176</v>
      </c>
      <c r="C171" t="s">
        <v>12</v>
      </c>
      <c r="D171" t="s">
        <v>7</v>
      </c>
      <c r="E171">
        <v>16</v>
      </c>
    </row>
    <row r="172" spans="2:5">
      <c r="B172" s="1">
        <v>42176</v>
      </c>
      <c r="C172" t="s">
        <v>22</v>
      </c>
      <c r="D172" t="s">
        <v>13</v>
      </c>
      <c r="E172">
        <v>2</v>
      </c>
    </row>
    <row r="173" spans="2:5">
      <c r="B173" s="1">
        <v>42176</v>
      </c>
      <c r="C173" t="s">
        <v>21</v>
      </c>
      <c r="D173" t="s">
        <v>5</v>
      </c>
      <c r="E173">
        <v>3</v>
      </c>
    </row>
    <row r="174" spans="2:5">
      <c r="B174" s="1">
        <v>42177</v>
      </c>
      <c r="C174" t="s">
        <v>11</v>
      </c>
      <c r="D174" t="s">
        <v>5</v>
      </c>
      <c r="E174">
        <v>2</v>
      </c>
    </row>
    <row r="175" spans="2:5">
      <c r="B175" s="1">
        <v>42177</v>
      </c>
      <c r="C175" t="s">
        <v>10</v>
      </c>
      <c r="D175" t="s">
        <v>5</v>
      </c>
      <c r="E175">
        <v>3</v>
      </c>
    </row>
    <row r="176" spans="2:5">
      <c r="B176" s="1">
        <v>42178</v>
      </c>
      <c r="C176" t="s">
        <v>19</v>
      </c>
      <c r="D176" t="s">
        <v>13</v>
      </c>
      <c r="E176">
        <v>4</v>
      </c>
    </row>
    <row r="177" spans="2:5">
      <c r="B177" s="1">
        <v>42178</v>
      </c>
      <c r="C177" t="s">
        <v>20</v>
      </c>
      <c r="D177" t="s">
        <v>13</v>
      </c>
      <c r="E177">
        <v>5</v>
      </c>
    </row>
    <row r="178" spans="2:5">
      <c r="B178" s="1">
        <v>42178</v>
      </c>
      <c r="C178" t="s">
        <v>19</v>
      </c>
      <c r="D178" t="s">
        <v>13</v>
      </c>
      <c r="E178">
        <v>6</v>
      </c>
    </row>
    <row r="179" spans="2:5">
      <c r="B179" s="1">
        <v>42179</v>
      </c>
      <c r="C179" t="s">
        <v>20</v>
      </c>
      <c r="D179" t="s">
        <v>13</v>
      </c>
      <c r="E179">
        <v>2</v>
      </c>
    </row>
    <row r="180" spans="2:5">
      <c r="B180" s="1">
        <v>42179</v>
      </c>
      <c r="C180" t="s">
        <v>8</v>
      </c>
      <c r="D180" t="s">
        <v>5</v>
      </c>
      <c r="E180">
        <v>3</v>
      </c>
    </row>
    <row r="181" spans="2:5">
      <c r="B181" s="1">
        <v>42182</v>
      </c>
      <c r="C181" t="s">
        <v>22</v>
      </c>
      <c r="D181" t="s">
        <v>13</v>
      </c>
      <c r="E181">
        <v>8</v>
      </c>
    </row>
    <row r="182" spans="2:5">
      <c r="B182" s="1">
        <v>42182</v>
      </c>
      <c r="C182" t="s">
        <v>10</v>
      </c>
      <c r="D182" t="s">
        <v>7</v>
      </c>
      <c r="E182">
        <v>1</v>
      </c>
    </row>
    <row r="183" spans="2:5">
      <c r="B183" s="1">
        <v>42183</v>
      </c>
      <c r="C183" t="s">
        <v>12</v>
      </c>
      <c r="D183" t="s">
        <v>5</v>
      </c>
      <c r="E183">
        <v>23</v>
      </c>
    </row>
    <row r="184" spans="2:5">
      <c r="B184" s="1">
        <v>42183</v>
      </c>
      <c r="C184" t="s">
        <v>19</v>
      </c>
      <c r="D184" t="s">
        <v>5</v>
      </c>
      <c r="E184">
        <v>5</v>
      </c>
    </row>
    <row r="185" spans="2:5">
      <c r="B185" s="1">
        <v>42184</v>
      </c>
      <c r="C185" t="s">
        <v>10</v>
      </c>
      <c r="D185" t="s">
        <v>5</v>
      </c>
      <c r="E185">
        <v>7</v>
      </c>
    </row>
    <row r="186" spans="2:5">
      <c r="B186" s="1">
        <v>42185</v>
      </c>
      <c r="C186" t="s">
        <v>19</v>
      </c>
      <c r="D186" t="s">
        <v>5</v>
      </c>
      <c r="E186">
        <v>8</v>
      </c>
    </row>
    <row r="187" spans="2:5">
      <c r="B187" s="1">
        <v>42185</v>
      </c>
      <c r="C187" t="s">
        <v>20</v>
      </c>
      <c r="D187" t="s">
        <v>5</v>
      </c>
      <c r="E187">
        <v>1</v>
      </c>
    </row>
    <row r="188" spans="2:5">
      <c r="B188" s="1">
        <v>42186</v>
      </c>
      <c r="C188" t="s">
        <v>19</v>
      </c>
      <c r="D188" t="s">
        <v>15</v>
      </c>
      <c r="E188">
        <v>2</v>
      </c>
    </row>
    <row r="189" spans="2:5">
      <c r="B189" s="1">
        <v>42189</v>
      </c>
      <c r="C189" t="s">
        <v>20</v>
      </c>
      <c r="D189" t="s">
        <v>15</v>
      </c>
      <c r="E189">
        <v>3</v>
      </c>
    </row>
    <row r="190" spans="2:5">
      <c r="B190" s="1">
        <v>42189</v>
      </c>
      <c r="C190" t="s">
        <v>20</v>
      </c>
      <c r="D190" t="s">
        <v>9</v>
      </c>
      <c r="E190">
        <v>11</v>
      </c>
    </row>
    <row r="191" spans="2:5">
      <c r="B191" s="1">
        <v>42190</v>
      </c>
      <c r="C191" t="s">
        <v>11</v>
      </c>
      <c r="D191" t="s">
        <v>9</v>
      </c>
      <c r="E191">
        <v>2</v>
      </c>
    </row>
    <row r="192" spans="2:5">
      <c r="B192" s="1">
        <v>42191</v>
      </c>
      <c r="C192" t="s">
        <v>20</v>
      </c>
      <c r="D192" t="s">
        <v>5</v>
      </c>
      <c r="E192">
        <v>3</v>
      </c>
    </row>
    <row r="193" spans="2:5">
      <c r="B193" s="1">
        <v>42191</v>
      </c>
      <c r="C193" t="s">
        <v>21</v>
      </c>
      <c r="D193" t="s">
        <v>13</v>
      </c>
      <c r="E193">
        <v>2</v>
      </c>
    </row>
    <row r="194" spans="2:5">
      <c r="B194" s="1">
        <v>42192</v>
      </c>
      <c r="C194" t="s">
        <v>11</v>
      </c>
      <c r="D194" t="s">
        <v>9</v>
      </c>
      <c r="E194">
        <v>10</v>
      </c>
    </row>
    <row r="195" spans="2:5">
      <c r="B195" s="1">
        <v>42193</v>
      </c>
      <c r="C195" t="s">
        <v>22</v>
      </c>
      <c r="D195" t="s">
        <v>5</v>
      </c>
      <c r="E195">
        <v>4</v>
      </c>
    </row>
    <row r="196" spans="2:5">
      <c r="B196" s="1">
        <v>42193</v>
      </c>
      <c r="C196" t="s">
        <v>10</v>
      </c>
      <c r="D196" t="s">
        <v>9</v>
      </c>
      <c r="E196">
        <v>4</v>
      </c>
    </row>
    <row r="197" spans="2:5">
      <c r="B197" s="1">
        <v>42196</v>
      </c>
      <c r="C197" t="s">
        <v>14</v>
      </c>
      <c r="D197" t="s">
        <v>15</v>
      </c>
      <c r="E197">
        <v>2</v>
      </c>
    </row>
    <row r="198" spans="2:5">
      <c r="B198" s="1">
        <v>42197</v>
      </c>
      <c r="C198" t="s">
        <v>11</v>
      </c>
      <c r="D198" t="s">
        <v>15</v>
      </c>
      <c r="E198">
        <v>2</v>
      </c>
    </row>
    <row r="199" spans="2:5">
      <c r="B199" s="1">
        <v>42197</v>
      </c>
      <c r="C199" t="s">
        <v>10</v>
      </c>
      <c r="D199" t="s">
        <v>5</v>
      </c>
      <c r="E199">
        <v>2</v>
      </c>
    </row>
    <row r="200" spans="2:5">
      <c r="B200" s="1">
        <v>42198</v>
      </c>
      <c r="C200" t="s">
        <v>20</v>
      </c>
      <c r="D200" t="s">
        <v>7</v>
      </c>
      <c r="E200">
        <v>6</v>
      </c>
    </row>
    <row r="201" spans="2:5">
      <c r="B201" s="1">
        <v>42198</v>
      </c>
      <c r="C201" t="s">
        <v>21</v>
      </c>
      <c r="D201" t="s">
        <v>5</v>
      </c>
      <c r="E201">
        <v>8</v>
      </c>
    </row>
    <row r="202" spans="2:5">
      <c r="B202" s="1">
        <v>42199</v>
      </c>
      <c r="C202" t="s">
        <v>19</v>
      </c>
      <c r="D202" t="s">
        <v>13</v>
      </c>
      <c r="E202">
        <v>7</v>
      </c>
    </row>
    <row r="203" spans="2:5">
      <c r="B203" s="1">
        <v>42199</v>
      </c>
      <c r="C203" t="s">
        <v>20</v>
      </c>
      <c r="D203" t="s">
        <v>13</v>
      </c>
      <c r="E203">
        <v>9</v>
      </c>
    </row>
    <row r="204" spans="2:5">
      <c r="B204" s="1">
        <v>42199</v>
      </c>
      <c r="C204" t="s">
        <v>14</v>
      </c>
      <c r="D204" t="s">
        <v>7</v>
      </c>
      <c r="E204">
        <v>3</v>
      </c>
    </row>
    <row r="205" spans="2:5">
      <c r="B205" s="1">
        <v>42200</v>
      </c>
      <c r="C205" t="s">
        <v>21</v>
      </c>
      <c r="D205" t="s">
        <v>5</v>
      </c>
      <c r="E205">
        <v>9</v>
      </c>
    </row>
    <row r="206" spans="2:5">
      <c r="B206" s="1"/>
    </row>
    <row r="207" spans="2:5">
      <c r="B207" s="1"/>
    </row>
    <row r="208" spans="2:5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>
      <selection activeCell="D3" sqref="D3:D9"/>
    </sheetView>
  </sheetViews>
  <sheetFormatPr outlineLevelRow="3" defaultRowHeight="15"/>
  <cols>
    <col min="2" max="3" width="11.42578125" customWidth="1"/>
    <col min="4" max="4" width="12.5703125" customWidth="1"/>
    <col min="5" max="5" width="14" customWidth="1"/>
  </cols>
  <sheetData>
    <row r="2" spans="2:9">
      <c r="B2" s="2" t="s">
        <v>0</v>
      </c>
      <c r="C2" s="2" t="s">
        <v>23</v>
      </c>
      <c r="D2" s="2" t="s">
        <v>1</v>
      </c>
      <c r="E2" s="2" t="s">
        <v>2</v>
      </c>
      <c r="F2" s="2" t="s">
        <v>3</v>
      </c>
      <c r="I2" s="2"/>
    </row>
    <row r="3" outlineLevel="3">
      <c r="B3" s="1">
        <v>42080</v>
      </c>
      <c r="C3" t="s">
        <v>24</v>
      </c>
      <c r="D3" t="s">
        <v>4</v>
      </c>
      <c r="E3" t="s">
        <v>15</v>
      </c>
      <c r="F3">
        <v>3</v>
      </c>
    </row>
    <row r="4" outlineLevel="3">
      <c r="B4" s="1">
        <v>42108</v>
      </c>
      <c r="C4" t="s">
        <v>24</v>
      </c>
      <c r="D4" t="s">
        <v>4</v>
      </c>
      <c r="E4" t="s">
        <v>7</v>
      </c>
      <c r="F4">
        <v>1</v>
      </c>
    </row>
    <row r="5" outlineLevel="3">
      <c r="B5" s="1">
        <v>42135</v>
      </c>
      <c r="C5" t="s">
        <v>24</v>
      </c>
      <c r="D5" t="s">
        <v>4</v>
      </c>
      <c r="E5" t="s">
        <v>13</v>
      </c>
      <c r="F5">
        <v>2</v>
      </c>
    </row>
    <row r="6" outlineLevel="3">
      <c r="B6" s="1">
        <v>42162</v>
      </c>
      <c r="C6" t="s">
        <v>24</v>
      </c>
      <c r="D6" t="s">
        <v>4</v>
      </c>
      <c r="E6" t="s">
        <v>15</v>
      </c>
      <c r="F6">
        <v>3</v>
      </c>
    </row>
    <row r="7" outlineLevel="3">
      <c r="B7" s="1">
        <v>42198</v>
      </c>
      <c r="C7" t="s">
        <v>24</v>
      </c>
      <c r="D7" t="s">
        <v>4</v>
      </c>
      <c r="E7" t="s">
        <v>5</v>
      </c>
      <c r="F7">
        <v>8</v>
      </c>
    </row>
    <row r="8" outlineLevel="3">
      <c r="B8" s="1">
        <v>42116</v>
      </c>
      <c r="C8" t="s">
        <v>24</v>
      </c>
      <c r="D8" t="s">
        <v>4</v>
      </c>
      <c r="E8" t="s">
        <v>7</v>
      </c>
      <c r="F8">
        <v>1</v>
      </c>
    </row>
    <row r="9" outlineLevel="3">
      <c r="B9" s="1">
        <v>42142</v>
      </c>
      <c r="C9" t="s">
        <v>24</v>
      </c>
      <c r="D9" t="s">
        <v>4</v>
      </c>
      <c r="E9" t="s">
        <v>15</v>
      </c>
      <c r="F9">
        <v>5</v>
      </c>
    </row>
    <row r="10" outlineLevel="3">
      <c r="B10" s="1">
        <v>42178</v>
      </c>
      <c r="C10" t="s">
        <v>24</v>
      </c>
      <c r="D10" t="s">
        <v>4</v>
      </c>
      <c r="E10" t="s">
        <v>13</v>
      </c>
      <c r="F10">
        <v>4</v>
      </c>
    </row>
    <row r="11" outlineLevel="3">
      <c r="B11" s="1">
        <v>42094</v>
      </c>
      <c r="C11" t="s">
        <v>24</v>
      </c>
      <c r="D11" t="s">
        <v>4</v>
      </c>
      <c r="E11" t="s">
        <v>13</v>
      </c>
      <c r="F11">
        <v>1</v>
      </c>
    </row>
    <row r="12" outlineLevel="3">
      <c r="B12" s="1">
        <v>42179</v>
      </c>
      <c r="C12" t="s">
        <v>24</v>
      </c>
      <c r="D12" t="s">
        <v>4</v>
      </c>
      <c r="E12" t="s">
        <v>5</v>
      </c>
      <c r="F12">
        <v>3</v>
      </c>
    </row>
    <row r="13" outlineLevel="3">
      <c r="B13" s="1">
        <v>42088</v>
      </c>
      <c r="C13" t="s">
        <v>24</v>
      </c>
      <c r="D13" t="s">
        <v>4</v>
      </c>
      <c r="E13" t="s">
        <v>13</v>
      </c>
      <c r="F13">
        <v>1</v>
      </c>
    </row>
    <row r="14" outlineLevel="3">
      <c r="B14" s="1">
        <v>42127</v>
      </c>
      <c r="C14" t="s">
        <v>24</v>
      </c>
      <c r="D14" t="s">
        <v>4</v>
      </c>
      <c r="E14" t="s">
        <v>13</v>
      </c>
      <c r="F14">
        <v>3</v>
      </c>
    </row>
    <row r="15" outlineLevel="3">
      <c r="B15" s="1">
        <v>42155</v>
      </c>
      <c r="C15" t="s">
        <v>24</v>
      </c>
      <c r="D15" t="s">
        <v>4</v>
      </c>
      <c r="E15" t="s">
        <v>7</v>
      </c>
      <c r="F15">
        <v>2</v>
      </c>
    </row>
    <row r="16" outlineLevel="3">
      <c r="B16" s="1">
        <v>42189</v>
      </c>
      <c r="C16" t="s">
        <v>24</v>
      </c>
      <c r="D16" t="s">
        <v>4</v>
      </c>
      <c r="E16" t="s">
        <v>15</v>
      </c>
      <c r="F16">
        <v>3</v>
      </c>
    </row>
    <row r="17" outlineLevel="3">
      <c r="B17" s="1">
        <v>42102</v>
      </c>
      <c r="C17" t="s">
        <v>24</v>
      </c>
      <c r="D17" t="s">
        <v>4</v>
      </c>
      <c r="E17" t="s">
        <v>13</v>
      </c>
      <c r="F17">
        <v>2</v>
      </c>
    </row>
    <row r="18" outlineLevel="3">
      <c r="B18" s="1">
        <v>42149</v>
      </c>
      <c r="C18" t="s">
        <v>24</v>
      </c>
      <c r="D18" t="s">
        <v>4</v>
      </c>
      <c r="E18" t="s">
        <v>16</v>
      </c>
      <c r="F18">
        <v>7</v>
      </c>
    </row>
    <row r="19" outlineLevel="3">
      <c r="B19" s="1">
        <v>42193</v>
      </c>
      <c r="C19" t="s">
        <v>24</v>
      </c>
      <c r="D19" t="s">
        <v>4</v>
      </c>
      <c r="E19" t="s">
        <v>5</v>
      </c>
      <c r="F19">
        <v>4</v>
      </c>
    </row>
    <row r="20" outlineLevel="3">
      <c r="B20" s="1">
        <v>42113</v>
      </c>
      <c r="C20" t="s">
        <v>24</v>
      </c>
      <c r="D20" t="s">
        <v>4</v>
      </c>
      <c r="E20" t="s">
        <v>7</v>
      </c>
      <c r="F20">
        <v>4</v>
      </c>
    </row>
    <row r="21" outlineLevel="3">
      <c r="B21" s="1">
        <v>42137</v>
      </c>
      <c r="C21" t="s">
        <v>24</v>
      </c>
      <c r="D21" t="s">
        <v>4</v>
      </c>
      <c r="E21" t="s">
        <v>7</v>
      </c>
      <c r="F21">
        <v>2</v>
      </c>
    </row>
    <row r="22" outlineLevel="3">
      <c r="B22" s="1">
        <v>42182</v>
      </c>
      <c r="C22" t="s">
        <v>24</v>
      </c>
      <c r="D22" t="s">
        <v>4</v>
      </c>
      <c r="E22" t="s">
        <v>7</v>
      </c>
      <c r="F22">
        <v>1</v>
      </c>
      <c r="K22" t="s">
        <v>4</v>
      </c>
      <c r="L22" t="s">
        <v>24</v>
      </c>
    </row>
    <row r="23" outlineLevel="3">
      <c r="B23" s="1">
        <v>42086</v>
      </c>
      <c r="C23" t="s">
        <v>24</v>
      </c>
      <c r="D23" t="s">
        <v>4</v>
      </c>
      <c r="E23" t="s">
        <v>5</v>
      </c>
      <c r="F23">
        <v>5</v>
      </c>
    </row>
    <row r="24" outlineLevel="3">
      <c r="B24" s="1">
        <v>42133</v>
      </c>
      <c r="C24" t="s">
        <v>24</v>
      </c>
      <c r="D24" t="s">
        <v>4</v>
      </c>
      <c r="E24" t="s">
        <v>5</v>
      </c>
      <c r="F24">
        <v>6</v>
      </c>
    </row>
    <row r="25" outlineLevel="3">
      <c r="B25" s="1">
        <v>42197</v>
      </c>
      <c r="C25" t="s">
        <v>24</v>
      </c>
      <c r="D25" t="s">
        <v>4</v>
      </c>
      <c r="E25" t="s">
        <v>15</v>
      </c>
      <c r="F25">
        <v>2</v>
      </c>
    </row>
    <row r="26" outlineLevel="3">
      <c r="B26" s="1">
        <v>42105</v>
      </c>
      <c r="C26" t="s">
        <v>24</v>
      </c>
      <c r="D26" t="s">
        <v>4</v>
      </c>
      <c r="E26" t="s">
        <v>5</v>
      </c>
      <c r="F26">
        <v>3</v>
      </c>
    </row>
    <row r="27" outlineLevel="3">
      <c r="B27" s="1">
        <v>42144</v>
      </c>
      <c r="C27" t="s">
        <v>24</v>
      </c>
      <c r="D27" t="s">
        <v>4</v>
      </c>
      <c r="E27" t="s">
        <v>5</v>
      </c>
      <c r="F27">
        <v>2</v>
      </c>
    </row>
    <row r="28" outlineLevel="3">
      <c r="B28" s="1">
        <v>42165</v>
      </c>
      <c r="C28" t="s">
        <v>24</v>
      </c>
      <c r="D28" t="s">
        <v>4</v>
      </c>
      <c r="E28" t="s">
        <v>7</v>
      </c>
      <c r="F28">
        <v>22</v>
      </c>
    </row>
    <row r="29" outlineLevel="3">
      <c r="B29" s="1">
        <v>42079</v>
      </c>
      <c r="C29" t="s">
        <v>24</v>
      </c>
      <c r="D29" t="s">
        <v>4</v>
      </c>
      <c r="E29" t="s">
        <v>16</v>
      </c>
      <c r="F29">
        <v>3</v>
      </c>
    </row>
    <row r="30" outlineLevel="3">
      <c r="B30" s="1">
        <v>42112</v>
      </c>
      <c r="C30" t="s">
        <v>24</v>
      </c>
      <c r="D30" t="s">
        <v>4</v>
      </c>
      <c r="E30" t="s">
        <v>13</v>
      </c>
      <c r="F30">
        <v>3</v>
      </c>
    </row>
    <row r="31" outlineLevel="3">
      <c r="B31" s="1">
        <v>42155</v>
      </c>
      <c r="C31" t="s">
        <v>24</v>
      </c>
      <c r="D31" t="s">
        <v>4</v>
      </c>
      <c r="E31" t="s">
        <v>13</v>
      </c>
      <c r="F31">
        <v>3</v>
      </c>
    </row>
    <row r="32" outlineLevel="2">
      <c r="D32" t="inlineStr" s="17">
        <is>
          <t xml:space="preserve">Karel Celkem</t>
        </is>
      </c>
      <c r="F32" s="17">
        <f>SUBTOTAL(9,F3:F31)</f>
      </c>
    </row>
    <row r="33" outlineLevel="3">
      <c r="B33" s="1">
        <v>42084</v>
      </c>
      <c r="C33" t="s">
        <v>24</v>
      </c>
      <c r="D33" t="s">
        <v>6</v>
      </c>
      <c r="E33" t="s">
        <v>15</v>
      </c>
      <c r="F33">
        <v>2</v>
      </c>
    </row>
    <row r="34" outlineLevel="3">
      <c r="B34" s="1">
        <v>42112</v>
      </c>
      <c r="C34" t="s">
        <v>24</v>
      </c>
      <c r="D34" t="s">
        <v>6</v>
      </c>
      <c r="E34" t="s">
        <v>5</v>
      </c>
      <c r="F34">
        <v>2</v>
      </c>
    </row>
    <row r="35" outlineLevel="3">
      <c r="B35" s="1">
        <v>42141</v>
      </c>
      <c r="C35" t="s">
        <v>24</v>
      </c>
      <c r="D35" t="s">
        <v>6</v>
      </c>
      <c r="E35" t="s">
        <v>15</v>
      </c>
      <c r="F35">
        <v>6</v>
      </c>
    </row>
    <row r="36" outlineLevel="3">
      <c r="B36" s="1">
        <v>42163</v>
      </c>
      <c r="C36" t="s">
        <v>24</v>
      </c>
      <c r="D36" t="s">
        <v>6</v>
      </c>
      <c r="E36" t="s">
        <v>15</v>
      </c>
      <c r="F36">
        <v>4</v>
      </c>
    </row>
    <row r="37" outlineLevel="3">
      <c r="B37" s="1">
        <v>42200</v>
      </c>
      <c r="C37" t="s">
        <v>24</v>
      </c>
      <c r="D37" t="s">
        <v>6</v>
      </c>
      <c r="E37" t="s">
        <v>5</v>
      </c>
      <c r="F37">
        <v>9</v>
      </c>
    </row>
    <row r="38" outlineLevel="3">
      <c r="B38" s="1">
        <v>42127</v>
      </c>
      <c r="C38" t="s">
        <v>24</v>
      </c>
      <c r="D38" t="s">
        <v>6</v>
      </c>
      <c r="E38" t="s">
        <v>7</v>
      </c>
      <c r="F38">
        <v>13</v>
      </c>
    </row>
    <row r="39" outlineLevel="3">
      <c r="B39" s="1">
        <v>42143</v>
      </c>
      <c r="C39" t="s">
        <v>24</v>
      </c>
      <c r="D39" t="s">
        <v>6</v>
      </c>
      <c r="E39" t="s">
        <v>5</v>
      </c>
      <c r="F39">
        <v>1</v>
      </c>
    </row>
    <row r="40" outlineLevel="3">
      <c r="B40" s="1">
        <v>42178</v>
      </c>
      <c r="C40" t="s">
        <v>24</v>
      </c>
      <c r="D40" t="s">
        <v>6</v>
      </c>
      <c r="E40" t="s">
        <v>13</v>
      </c>
      <c r="F40">
        <v>6</v>
      </c>
    </row>
    <row r="41" outlineLevel="3">
      <c r="B41" s="1">
        <v>42100</v>
      </c>
      <c r="C41" t="s">
        <v>24</v>
      </c>
      <c r="D41" t="s">
        <v>6</v>
      </c>
      <c r="E41" t="s">
        <v>15</v>
      </c>
      <c r="F41">
        <v>1</v>
      </c>
    </row>
    <row r="42" outlineLevel="3">
      <c r="B42" s="1">
        <v>42072</v>
      </c>
      <c r="C42" t="s">
        <v>24</v>
      </c>
      <c r="D42" t="s">
        <v>6</v>
      </c>
      <c r="E42" t="s">
        <v>13</v>
      </c>
      <c r="F42">
        <v>2</v>
      </c>
    </row>
    <row r="43" outlineLevel="3">
      <c r="B43" s="1">
        <v>42093</v>
      </c>
      <c r="C43" t="s">
        <v>24</v>
      </c>
      <c r="D43" t="s">
        <v>6</v>
      </c>
      <c r="E43" t="s">
        <v>13</v>
      </c>
      <c r="F43">
        <v>5</v>
      </c>
    </row>
    <row r="44" outlineLevel="3">
      <c r="B44" s="1">
        <v>42128</v>
      </c>
      <c r="C44" t="s">
        <v>24</v>
      </c>
      <c r="D44" t="s">
        <v>6</v>
      </c>
      <c r="E44" t="s">
        <v>7</v>
      </c>
      <c r="F44">
        <v>21</v>
      </c>
    </row>
    <row r="45" outlineLevel="3">
      <c r="B45" s="1">
        <v>42156</v>
      </c>
      <c r="C45" t="s">
        <v>24</v>
      </c>
      <c r="D45" t="s">
        <v>6</v>
      </c>
      <c r="E45" t="s">
        <v>9</v>
      </c>
      <c r="F45">
        <v>10</v>
      </c>
    </row>
    <row r="46" outlineLevel="3">
      <c r="B46" s="1">
        <v>42189</v>
      </c>
      <c r="C46" t="s">
        <v>24</v>
      </c>
      <c r="D46" t="s">
        <v>6</v>
      </c>
      <c r="E46" t="s">
        <v>9</v>
      </c>
      <c r="F46">
        <v>11</v>
      </c>
    </row>
    <row r="47" outlineLevel="3">
      <c r="B47" s="1">
        <v>42106</v>
      </c>
      <c r="C47" t="s">
        <v>24</v>
      </c>
      <c r="D47" t="s">
        <v>6</v>
      </c>
      <c r="E47" t="s">
        <v>16</v>
      </c>
      <c r="F47">
        <v>5</v>
      </c>
    </row>
    <row r="48" outlineLevel="3">
      <c r="B48" s="1">
        <v>42151</v>
      </c>
      <c r="C48" t="s">
        <v>24</v>
      </c>
      <c r="D48" t="s">
        <v>6</v>
      </c>
      <c r="E48" t="s">
        <v>7</v>
      </c>
      <c r="F48">
        <v>1</v>
      </c>
    </row>
    <row r="49" outlineLevel="3">
      <c r="B49" s="1">
        <v>42070</v>
      </c>
      <c r="C49" t="s">
        <v>24</v>
      </c>
      <c r="D49" t="s">
        <v>6</v>
      </c>
      <c r="E49" t="s">
        <v>5</v>
      </c>
      <c r="F49">
        <v>30</v>
      </c>
    </row>
    <row r="50" outlineLevel="3">
      <c r="B50" s="1">
        <v>42114</v>
      </c>
      <c r="C50" t="s">
        <v>24</v>
      </c>
      <c r="D50" t="s">
        <v>6</v>
      </c>
      <c r="E50" t="s">
        <v>13</v>
      </c>
      <c r="F50">
        <v>5</v>
      </c>
    </row>
    <row r="51" outlineLevel="3">
      <c r="B51" s="1">
        <v>42143</v>
      </c>
      <c r="C51" t="s">
        <v>24</v>
      </c>
      <c r="D51" t="s">
        <v>6</v>
      </c>
      <c r="E51" t="s">
        <v>5</v>
      </c>
      <c r="F51">
        <v>8</v>
      </c>
    </row>
    <row r="52" outlineLevel="3">
      <c r="B52" s="1">
        <v>42184</v>
      </c>
      <c r="C52" t="s">
        <v>24</v>
      </c>
      <c r="D52" t="s">
        <v>6</v>
      </c>
      <c r="E52" t="s">
        <v>5</v>
      </c>
      <c r="F52">
        <v>7</v>
      </c>
      <c r="K52" t="s">
        <v>6</v>
      </c>
      <c r="L52" t="s">
        <v>24</v>
      </c>
    </row>
    <row r="53" outlineLevel="3">
      <c r="B53" s="1">
        <v>42091</v>
      </c>
      <c r="C53" t="s">
        <v>24</v>
      </c>
      <c r="D53" t="s">
        <v>6</v>
      </c>
      <c r="E53" t="s">
        <v>15</v>
      </c>
      <c r="F53">
        <v>1</v>
      </c>
    </row>
    <row r="54" outlineLevel="3">
      <c r="B54" s="1">
        <v>42136</v>
      </c>
      <c r="C54" t="s">
        <v>24</v>
      </c>
      <c r="D54" t="s">
        <v>6</v>
      </c>
      <c r="E54" t="s">
        <v>9</v>
      </c>
      <c r="F54">
        <v>9</v>
      </c>
    </row>
    <row r="55" outlineLevel="3">
      <c r="B55" s="1">
        <v>42084</v>
      </c>
      <c r="C55" t="s">
        <v>24</v>
      </c>
      <c r="D55" t="s">
        <v>6</v>
      </c>
      <c r="E55" t="s">
        <v>9</v>
      </c>
      <c r="F55">
        <v>2</v>
      </c>
    </row>
    <row r="56" outlineLevel="3">
      <c r="B56" s="1">
        <v>42107</v>
      </c>
      <c r="C56" t="s">
        <v>24</v>
      </c>
      <c r="D56" t="s">
        <v>6</v>
      </c>
      <c r="E56" t="s">
        <v>7</v>
      </c>
      <c r="F56">
        <v>4</v>
      </c>
    </row>
    <row r="57" outlineLevel="3">
      <c r="B57" s="1">
        <v>42144</v>
      </c>
      <c r="C57" t="s">
        <v>24</v>
      </c>
      <c r="D57" t="s">
        <v>6</v>
      </c>
      <c r="E57" t="s">
        <v>13</v>
      </c>
      <c r="F57">
        <v>3</v>
      </c>
    </row>
    <row r="58" outlineLevel="3">
      <c r="B58" s="1">
        <v>42165</v>
      </c>
      <c r="C58" t="s">
        <v>24</v>
      </c>
      <c r="D58" t="s">
        <v>6</v>
      </c>
      <c r="E58" t="s">
        <v>15</v>
      </c>
      <c r="F58">
        <v>3</v>
      </c>
    </row>
    <row r="59" outlineLevel="3">
      <c r="B59" s="1">
        <v>42084</v>
      </c>
      <c r="C59" t="s">
        <v>24</v>
      </c>
      <c r="D59" t="s">
        <v>6</v>
      </c>
      <c r="E59" t="s">
        <v>15</v>
      </c>
      <c r="F59">
        <v>5</v>
      </c>
    </row>
    <row r="60" outlineLevel="3">
      <c r="B60" s="1">
        <v>42115</v>
      </c>
      <c r="C60" t="s">
        <v>24</v>
      </c>
      <c r="D60" t="s">
        <v>6</v>
      </c>
      <c r="E60" t="s">
        <v>13</v>
      </c>
      <c r="F60">
        <v>10</v>
      </c>
    </row>
    <row r="61" outlineLevel="3">
      <c r="B61" s="1">
        <v>42157</v>
      </c>
      <c r="C61" t="s">
        <v>24</v>
      </c>
      <c r="D61" t="s">
        <v>6</v>
      </c>
      <c r="E61" t="s">
        <v>7</v>
      </c>
      <c r="F61">
        <v>6</v>
      </c>
    </row>
    <row r="62" outlineLevel="2">
      <c r="D62" t="inlineStr" s="17">
        <is>
          <t xml:space="preserve">Pavla Celkem</t>
        </is>
      </c>
      <c r="F62" s="17">
        <f>SUBTOTAL(9,F33:F61)</f>
      </c>
    </row>
    <row r="63" outlineLevel="1">
      <c r="C63" t="inlineStr" s="17">
        <is>
          <t xml:space="preserve">Brno Celkem</t>
        </is>
      </c>
      <c r="F63" s="17">
        <f>SUBTOTAL(9,F3:F62)</f>
      </c>
    </row>
    <row r="64" outlineLevel="3">
      <c r="B64" s="1">
        <v>42094</v>
      </c>
      <c r="C64" t="s">
        <v>25</v>
      </c>
      <c r="D64" t="s">
        <v>10</v>
      </c>
      <c r="E64" t="s">
        <v>7</v>
      </c>
      <c r="F64">
        <v>11</v>
      </c>
    </row>
    <row r="65" outlineLevel="3">
      <c r="B65" s="1">
        <v>42119</v>
      </c>
      <c r="C65" t="s">
        <v>25</v>
      </c>
      <c r="D65" t="s">
        <v>10</v>
      </c>
      <c r="E65" t="s">
        <v>7</v>
      </c>
      <c r="F65">
        <v>1</v>
      </c>
    </row>
    <row r="66" outlineLevel="3">
      <c r="B66" s="1">
        <v>42147</v>
      </c>
      <c r="C66" t="s">
        <v>25</v>
      </c>
      <c r="D66" t="s">
        <v>10</v>
      </c>
      <c r="E66" t="s">
        <v>9</v>
      </c>
      <c r="F66">
        <v>4</v>
      </c>
    </row>
    <row r="67" outlineLevel="3">
      <c r="B67" s="1">
        <v>42169</v>
      </c>
      <c r="C67" t="s">
        <v>25</v>
      </c>
      <c r="D67" t="s">
        <v>10</v>
      </c>
      <c r="E67" t="s">
        <v>13</v>
      </c>
      <c r="F67">
        <v>7</v>
      </c>
    </row>
    <row r="68" outlineLevel="3">
      <c r="B68" s="1">
        <v>42081</v>
      </c>
      <c r="C68" t="s">
        <v>25</v>
      </c>
      <c r="D68" t="s">
        <v>10</v>
      </c>
      <c r="E68" t="s">
        <v>5</v>
      </c>
      <c r="F68">
        <v>30</v>
      </c>
    </row>
    <row r="69" outlineLevel="3">
      <c r="B69" s="1">
        <v>42134</v>
      </c>
      <c r="C69" t="s">
        <v>25</v>
      </c>
      <c r="D69" t="s">
        <v>10</v>
      </c>
      <c r="E69" t="s">
        <v>7</v>
      </c>
      <c r="F69">
        <v>1</v>
      </c>
    </row>
    <row r="70" outlineLevel="3">
      <c r="B70" s="1">
        <v>42148</v>
      </c>
      <c r="C70" t="s">
        <v>25</v>
      </c>
      <c r="D70" t="s">
        <v>10</v>
      </c>
      <c r="E70" t="s">
        <v>7</v>
      </c>
      <c r="F70">
        <v>2</v>
      </c>
    </row>
    <row r="71" outlineLevel="3">
      <c r="B71" s="1">
        <v>42185</v>
      </c>
      <c r="C71" t="s">
        <v>25</v>
      </c>
      <c r="D71" t="s">
        <v>10</v>
      </c>
      <c r="E71" t="s">
        <v>5</v>
      </c>
      <c r="F71">
        <v>8</v>
      </c>
    </row>
    <row r="72" outlineLevel="3">
      <c r="B72" s="1">
        <v>42130</v>
      </c>
      <c r="C72" t="s">
        <v>25</v>
      </c>
      <c r="D72" t="s">
        <v>10</v>
      </c>
      <c r="E72" t="s">
        <v>5</v>
      </c>
      <c r="F72">
        <v>2</v>
      </c>
    </row>
    <row r="73" outlineLevel="3">
      <c r="B73" s="1">
        <v>42074</v>
      </c>
      <c r="C73" t="s">
        <v>25</v>
      </c>
      <c r="D73" t="s">
        <v>10</v>
      </c>
      <c r="E73" t="s">
        <v>16</v>
      </c>
      <c r="F73">
        <v>1</v>
      </c>
    </row>
    <row r="74" outlineLevel="3">
      <c r="B74" s="1">
        <v>42109</v>
      </c>
      <c r="C74" t="s">
        <v>25</v>
      </c>
      <c r="D74" t="s">
        <v>10</v>
      </c>
      <c r="E74" t="s">
        <v>13</v>
      </c>
      <c r="F74">
        <v>2</v>
      </c>
    </row>
    <row r="75" outlineLevel="3">
      <c r="B75" s="1">
        <v>42134</v>
      </c>
      <c r="C75" t="s">
        <v>25</v>
      </c>
      <c r="D75" t="s">
        <v>10</v>
      </c>
      <c r="E75" t="s">
        <v>5</v>
      </c>
      <c r="F75">
        <v>29</v>
      </c>
    </row>
    <row r="76" outlineLevel="3">
      <c r="B76" s="1">
        <v>42175</v>
      </c>
      <c r="C76" t="s">
        <v>25</v>
      </c>
      <c r="D76" t="s">
        <v>10</v>
      </c>
      <c r="E76" t="s">
        <v>5</v>
      </c>
      <c r="F76">
        <v>3</v>
      </c>
    </row>
    <row r="77" outlineLevel="3">
      <c r="B77" s="1">
        <v>42198</v>
      </c>
      <c r="C77" t="s">
        <v>25</v>
      </c>
      <c r="D77" t="s">
        <v>10</v>
      </c>
      <c r="E77" t="s">
        <v>7</v>
      </c>
      <c r="F77">
        <v>6</v>
      </c>
    </row>
    <row r="78" outlineLevel="3">
      <c r="B78" s="1">
        <v>42112</v>
      </c>
      <c r="C78" t="s">
        <v>25</v>
      </c>
      <c r="D78" t="s">
        <v>10</v>
      </c>
      <c r="E78" t="s">
        <v>13</v>
      </c>
      <c r="F78">
        <v>10</v>
      </c>
    </row>
    <row r="79" outlineLevel="3">
      <c r="B79" s="1">
        <v>42168</v>
      </c>
      <c r="C79" t="s">
        <v>25</v>
      </c>
      <c r="D79" t="s">
        <v>10</v>
      </c>
      <c r="E79" t="s">
        <v>15</v>
      </c>
      <c r="F79">
        <v>4</v>
      </c>
    </row>
    <row r="80" outlineLevel="3">
      <c r="B80" s="1">
        <v>42081</v>
      </c>
      <c r="C80" t="s">
        <v>25</v>
      </c>
      <c r="D80" t="s">
        <v>10</v>
      </c>
      <c r="E80" t="s">
        <v>7</v>
      </c>
      <c r="F80">
        <v>11</v>
      </c>
    </row>
    <row r="81" outlineLevel="3">
      <c r="B81" s="1">
        <v>42126</v>
      </c>
      <c r="C81" t="s">
        <v>25</v>
      </c>
      <c r="D81" t="s">
        <v>10</v>
      </c>
      <c r="E81" t="s">
        <v>15</v>
      </c>
      <c r="F81">
        <v>2</v>
      </c>
    </row>
    <row r="82" outlineLevel="3">
      <c r="B82" s="1">
        <v>42158</v>
      </c>
      <c r="C82" t="s">
        <v>25</v>
      </c>
      <c r="D82" t="s">
        <v>10</v>
      </c>
      <c r="E82" t="s">
        <v>7</v>
      </c>
      <c r="F82">
        <v>1</v>
      </c>
    </row>
    <row r="83" outlineLevel="3">
      <c r="B83" s="1">
        <v>42197</v>
      </c>
      <c r="C83" t="s">
        <v>25</v>
      </c>
      <c r="D83" t="s">
        <v>10</v>
      </c>
      <c r="E83" t="s">
        <v>5</v>
      </c>
      <c r="F83">
        <v>2</v>
      </c>
      <c r="K83" t="s">
        <v>10</v>
      </c>
      <c r="L83" t="s">
        <v>25</v>
      </c>
    </row>
    <row r="84" outlineLevel="3">
      <c r="B84" s="1">
        <v>42101</v>
      </c>
      <c r="C84" t="s">
        <v>25</v>
      </c>
      <c r="D84" t="s">
        <v>10</v>
      </c>
      <c r="E84" t="s">
        <v>15</v>
      </c>
      <c r="F84">
        <v>2</v>
      </c>
    </row>
    <row r="85" outlineLevel="3">
      <c r="B85" s="1">
        <v>42171</v>
      </c>
      <c r="C85" t="s">
        <v>25</v>
      </c>
      <c r="D85" t="s">
        <v>10</v>
      </c>
      <c r="E85" t="s">
        <v>9</v>
      </c>
      <c r="F85">
        <v>3</v>
      </c>
    </row>
    <row r="86" outlineLevel="3">
      <c r="B86" s="1">
        <v>42091</v>
      </c>
      <c r="C86" t="s">
        <v>25</v>
      </c>
      <c r="D86" t="s">
        <v>10</v>
      </c>
      <c r="E86" t="s">
        <v>9</v>
      </c>
      <c r="F86">
        <v>21</v>
      </c>
    </row>
    <row r="87" outlineLevel="3">
      <c r="B87" s="1">
        <v>42120</v>
      </c>
      <c r="C87" t="s">
        <v>25</v>
      </c>
      <c r="D87" t="s">
        <v>10</v>
      </c>
      <c r="E87" t="s">
        <v>13</v>
      </c>
      <c r="F87">
        <v>5</v>
      </c>
    </row>
    <row r="88" outlineLevel="3">
      <c r="B88" s="1">
        <v>42151</v>
      </c>
      <c r="C88" t="s">
        <v>25</v>
      </c>
      <c r="D88" t="s">
        <v>10</v>
      </c>
      <c r="E88" t="s">
        <v>5</v>
      </c>
      <c r="F88">
        <v>11</v>
      </c>
    </row>
    <row r="89" outlineLevel="3">
      <c r="B89" s="1">
        <v>42176</v>
      </c>
      <c r="C89" t="s">
        <v>25</v>
      </c>
      <c r="D89" t="s">
        <v>10</v>
      </c>
      <c r="E89" t="s">
        <v>7</v>
      </c>
      <c r="F89">
        <v>16</v>
      </c>
    </row>
    <row r="90" outlineLevel="3">
      <c r="B90" s="1">
        <v>42091</v>
      </c>
      <c r="C90" t="s">
        <v>25</v>
      </c>
      <c r="D90" t="s">
        <v>10</v>
      </c>
      <c r="E90" t="s">
        <v>7</v>
      </c>
      <c r="F90">
        <v>2</v>
      </c>
    </row>
    <row r="91" outlineLevel="3">
      <c r="B91" s="1">
        <v>42129</v>
      </c>
      <c r="C91" t="s">
        <v>25</v>
      </c>
      <c r="D91" t="s">
        <v>10</v>
      </c>
      <c r="E91" t="s">
        <v>13</v>
      </c>
      <c r="F91">
        <v>10</v>
      </c>
    </row>
    <row r="92" outlineLevel="3">
      <c r="B92" s="1">
        <v>42170</v>
      </c>
      <c r="C92" t="s">
        <v>25</v>
      </c>
      <c r="D92" t="s">
        <v>10</v>
      </c>
      <c r="E92" t="s">
        <v>9</v>
      </c>
      <c r="F92">
        <v>3</v>
      </c>
    </row>
    <row r="93" outlineLevel="2">
      <c r="D93" t="inlineStr" s="17">
        <is>
          <t xml:space="preserve">Jitka Celkem</t>
        </is>
      </c>
      <c r="F93" s="17">
        <f>SUBTOTAL(9,F64:F92)</f>
      </c>
    </row>
    <row r="94" outlineLevel="3">
      <c r="B94" s="1">
        <v>42091</v>
      </c>
      <c r="C94" t="s">
        <v>25</v>
      </c>
      <c r="D94" t="s">
        <v>8</v>
      </c>
      <c r="E94" t="s">
        <v>15</v>
      </c>
      <c r="F94">
        <v>4</v>
      </c>
    </row>
    <row r="95" outlineLevel="3">
      <c r="B95" s="1">
        <v>42115</v>
      </c>
      <c r="C95" t="s">
        <v>25</v>
      </c>
      <c r="D95" t="s">
        <v>8</v>
      </c>
      <c r="E95" t="s">
        <v>9</v>
      </c>
      <c r="F95">
        <v>5</v>
      </c>
    </row>
    <row r="96" outlineLevel="3">
      <c r="B96" s="1">
        <v>42141</v>
      </c>
      <c r="C96" t="s">
        <v>25</v>
      </c>
      <c r="D96" t="s">
        <v>8</v>
      </c>
      <c r="E96" t="s">
        <v>9</v>
      </c>
      <c r="F96">
        <v>13</v>
      </c>
    </row>
    <row r="97" outlineLevel="3">
      <c r="B97" s="1">
        <v>42168</v>
      </c>
      <c r="C97" t="s">
        <v>25</v>
      </c>
      <c r="D97" t="s">
        <v>8</v>
      </c>
      <c r="E97" t="s">
        <v>15</v>
      </c>
      <c r="F97">
        <v>5</v>
      </c>
    </row>
    <row r="98" outlineLevel="3">
      <c r="B98" s="1">
        <v>42071</v>
      </c>
      <c r="C98" t="s">
        <v>25</v>
      </c>
      <c r="D98" t="s">
        <v>8</v>
      </c>
      <c r="E98" t="s">
        <v>9</v>
      </c>
      <c r="F98">
        <v>5</v>
      </c>
    </row>
    <row r="99" outlineLevel="3">
      <c r="B99" s="1">
        <v>42128</v>
      </c>
      <c r="C99" t="s">
        <v>25</v>
      </c>
      <c r="D99" t="s">
        <v>8</v>
      </c>
      <c r="E99" t="s">
        <v>5</v>
      </c>
      <c r="F99">
        <v>1</v>
      </c>
    </row>
    <row r="100" outlineLevel="3">
      <c r="B100" s="1">
        <v>42148</v>
      </c>
      <c r="C100" t="s">
        <v>25</v>
      </c>
      <c r="D100" t="s">
        <v>8</v>
      </c>
      <c r="E100" t="s">
        <v>15</v>
      </c>
      <c r="F100">
        <v>1</v>
      </c>
    </row>
    <row r="101" outlineLevel="3">
      <c r="B101" s="1">
        <v>42183</v>
      </c>
      <c r="C101" t="s">
        <v>25</v>
      </c>
      <c r="D101" t="s">
        <v>8</v>
      </c>
      <c r="E101" t="s">
        <v>5</v>
      </c>
      <c r="F101">
        <v>5</v>
      </c>
    </row>
    <row r="102" outlineLevel="3">
      <c r="B102" s="1">
        <v>42122</v>
      </c>
      <c r="C102" t="s">
        <v>25</v>
      </c>
      <c r="D102" t="s">
        <v>8</v>
      </c>
      <c r="E102" t="s">
        <v>7</v>
      </c>
      <c r="F102">
        <v>12</v>
      </c>
    </row>
    <row r="103" outlineLevel="3">
      <c r="B103" s="1">
        <v>42073</v>
      </c>
      <c r="C103" t="s">
        <v>25</v>
      </c>
      <c r="D103" t="s">
        <v>8</v>
      </c>
      <c r="E103" t="s">
        <v>15</v>
      </c>
      <c r="F103">
        <v>2</v>
      </c>
    </row>
    <row r="104" outlineLevel="3">
      <c r="B104" s="1">
        <v>42094</v>
      </c>
      <c r="C104" t="s">
        <v>25</v>
      </c>
      <c r="D104" t="s">
        <v>8</v>
      </c>
      <c r="E104" t="s">
        <v>13</v>
      </c>
      <c r="F104">
        <v>2</v>
      </c>
    </row>
    <row r="105" outlineLevel="3">
      <c r="B105" s="1">
        <v>42129</v>
      </c>
      <c r="C105" t="s">
        <v>25</v>
      </c>
      <c r="D105" t="s">
        <v>8</v>
      </c>
      <c r="E105" t="s">
        <v>13</v>
      </c>
      <c r="F105">
        <v>2</v>
      </c>
    </row>
    <row r="106" outlineLevel="3">
      <c r="B106" s="1">
        <v>42157</v>
      </c>
      <c r="C106" t="s">
        <v>25</v>
      </c>
      <c r="D106" t="s">
        <v>8</v>
      </c>
      <c r="E106" t="s">
        <v>15</v>
      </c>
      <c r="F106">
        <v>3</v>
      </c>
    </row>
    <row r="107" outlineLevel="3">
      <c r="B107" s="1">
        <v>42191</v>
      </c>
      <c r="C107" t="s">
        <v>25</v>
      </c>
      <c r="D107" t="s">
        <v>8</v>
      </c>
      <c r="E107" t="s">
        <v>5</v>
      </c>
      <c r="F107">
        <v>3</v>
      </c>
    </row>
    <row r="108" outlineLevel="3">
      <c r="B108" s="1">
        <v>42108</v>
      </c>
      <c r="C108" t="s">
        <v>25</v>
      </c>
      <c r="D108" t="s">
        <v>8</v>
      </c>
      <c r="E108" t="s">
        <v>13</v>
      </c>
      <c r="F108">
        <v>6</v>
      </c>
    </row>
    <row r="109" outlineLevel="3">
      <c r="B109" s="1">
        <v>42161</v>
      </c>
      <c r="C109" t="s">
        <v>25</v>
      </c>
      <c r="D109" t="s">
        <v>8</v>
      </c>
      <c r="E109" t="s">
        <v>15</v>
      </c>
      <c r="F109">
        <v>25</v>
      </c>
    </row>
    <row r="110" outlineLevel="3">
      <c r="B110" s="1">
        <v>42080</v>
      </c>
      <c r="C110" t="s">
        <v>25</v>
      </c>
      <c r="D110" t="s">
        <v>8</v>
      </c>
      <c r="E110" t="s">
        <v>9</v>
      </c>
      <c r="F110">
        <v>2</v>
      </c>
    </row>
    <row r="111" outlineLevel="3">
      <c r="B111" s="1">
        <v>42116</v>
      </c>
      <c r="C111" t="s">
        <v>25</v>
      </c>
      <c r="D111" t="s">
        <v>8</v>
      </c>
      <c r="E111" t="s">
        <v>13</v>
      </c>
      <c r="F111">
        <v>6</v>
      </c>
    </row>
    <row r="112" outlineLevel="3">
      <c r="B112" s="1">
        <v>42147</v>
      </c>
      <c r="C112" t="s">
        <v>25</v>
      </c>
      <c r="D112" t="s">
        <v>8</v>
      </c>
      <c r="E112" t="s">
        <v>9</v>
      </c>
      <c r="F112">
        <v>12</v>
      </c>
    </row>
    <row r="113" outlineLevel="3">
      <c r="B113" s="1">
        <v>42193</v>
      </c>
      <c r="C113" t="s">
        <v>25</v>
      </c>
      <c r="D113" t="s">
        <v>8</v>
      </c>
      <c r="E113" t="s">
        <v>9</v>
      </c>
      <c r="F113">
        <v>4</v>
      </c>
      <c r="K113" t="s">
        <v>8</v>
      </c>
      <c r="L113" t="s">
        <v>25</v>
      </c>
    </row>
    <row r="114" outlineLevel="3">
      <c r="B114" s="1">
        <v>42093</v>
      </c>
      <c r="C114" t="s">
        <v>25</v>
      </c>
      <c r="D114" t="s">
        <v>8</v>
      </c>
      <c r="E114" t="s">
        <v>7</v>
      </c>
      <c r="F114">
        <v>5</v>
      </c>
    </row>
    <row r="115" outlineLevel="3">
      <c r="B115" s="1">
        <v>42157</v>
      </c>
      <c r="C115" t="s">
        <v>25</v>
      </c>
      <c r="D115" t="s">
        <v>8</v>
      </c>
      <c r="E115" t="s">
        <v>7</v>
      </c>
      <c r="F115">
        <v>1</v>
      </c>
    </row>
    <row r="116" outlineLevel="3">
      <c r="B116" s="1">
        <v>42085</v>
      </c>
      <c r="C116" t="s">
        <v>25</v>
      </c>
      <c r="D116" t="s">
        <v>8</v>
      </c>
      <c r="E116" t="s">
        <v>9</v>
      </c>
      <c r="F116">
        <v>3</v>
      </c>
    </row>
    <row r="117" outlineLevel="3">
      <c r="B117" s="1">
        <v>42108</v>
      </c>
      <c r="C117" t="s">
        <v>25</v>
      </c>
      <c r="D117" t="s">
        <v>8</v>
      </c>
      <c r="E117" t="s">
        <v>13</v>
      </c>
      <c r="F117">
        <v>6</v>
      </c>
    </row>
    <row r="118" outlineLevel="3">
      <c r="B118" s="1">
        <v>42150</v>
      </c>
      <c r="C118" t="s">
        <v>25</v>
      </c>
      <c r="D118" t="s">
        <v>8</v>
      </c>
      <c r="E118" t="s">
        <v>13</v>
      </c>
      <c r="F118">
        <v>12</v>
      </c>
    </row>
    <row r="119" outlineLevel="3">
      <c r="B119" s="1">
        <v>42171</v>
      </c>
      <c r="C119" t="s">
        <v>25</v>
      </c>
      <c r="D119" t="s">
        <v>8</v>
      </c>
      <c r="E119" t="s">
        <v>9</v>
      </c>
      <c r="F119">
        <v>2</v>
      </c>
    </row>
    <row r="120" outlineLevel="3">
      <c r="B120" s="1">
        <v>42086</v>
      </c>
      <c r="C120" t="s">
        <v>25</v>
      </c>
      <c r="D120" t="s">
        <v>8</v>
      </c>
      <c r="E120" t="s">
        <v>5</v>
      </c>
      <c r="F120">
        <v>15</v>
      </c>
    </row>
    <row r="121" outlineLevel="3">
      <c r="B121" s="1">
        <v>42119</v>
      </c>
      <c r="C121" t="s">
        <v>25</v>
      </c>
      <c r="D121" t="s">
        <v>8</v>
      </c>
      <c r="E121" t="s">
        <v>13</v>
      </c>
      <c r="F121">
        <v>2</v>
      </c>
    </row>
    <row r="122" outlineLevel="3">
      <c r="B122" s="1">
        <v>42161</v>
      </c>
      <c r="C122" t="s">
        <v>25</v>
      </c>
      <c r="D122" t="s">
        <v>8</v>
      </c>
      <c r="E122" t="s">
        <v>15</v>
      </c>
      <c r="F122">
        <v>2</v>
      </c>
    </row>
    <row r="123" outlineLevel="2">
      <c r="D123" t="inlineStr" s="17">
        <is>
          <t xml:space="preserve">Marie Celkem</t>
        </is>
      </c>
      <c r="F123" s="17">
        <f>SUBTOTAL(9,F94:F122)</f>
      </c>
    </row>
    <row r="124" outlineLevel="1">
      <c r="C124" t="inlineStr" s="17">
        <is>
          <t xml:space="preserve">Liberec Celkem</t>
        </is>
      </c>
      <c r="F124" s="17">
        <f>SUBTOTAL(9,F64:F123)</f>
      </c>
    </row>
    <row r="125" outlineLevel="3">
      <c r="B125" s="1">
        <v>42100</v>
      </c>
      <c r="C125" t="s">
        <v>26</v>
      </c>
      <c r="D125" t="s">
        <v>11</v>
      </c>
      <c r="E125" t="s">
        <v>9</v>
      </c>
      <c r="F125">
        <v>1</v>
      </c>
    </row>
    <row r="126" outlineLevel="3">
      <c r="B126" s="1">
        <v>42121</v>
      </c>
      <c r="C126" t="s">
        <v>26</v>
      </c>
      <c r="D126" t="s">
        <v>11</v>
      </c>
      <c r="E126" t="s">
        <v>5</v>
      </c>
      <c r="F126">
        <v>1</v>
      </c>
    </row>
    <row r="127" outlineLevel="3">
      <c r="B127" s="1">
        <v>42151</v>
      </c>
      <c r="C127" t="s">
        <v>26</v>
      </c>
      <c r="D127" t="s">
        <v>11</v>
      </c>
      <c r="E127" t="s">
        <v>5</v>
      </c>
      <c r="F127">
        <v>4</v>
      </c>
    </row>
    <row r="128" outlineLevel="3">
      <c r="B128" s="1">
        <v>42172</v>
      </c>
      <c r="C128" t="s">
        <v>26</v>
      </c>
      <c r="D128" t="s">
        <v>11</v>
      </c>
      <c r="E128" t="s">
        <v>16</v>
      </c>
      <c r="F128">
        <v>15</v>
      </c>
    </row>
    <row r="129" outlineLevel="3">
      <c r="B129" s="1">
        <v>42093</v>
      </c>
      <c r="C129" t="s">
        <v>26</v>
      </c>
      <c r="D129" t="s">
        <v>11</v>
      </c>
      <c r="E129" t="s">
        <v>7</v>
      </c>
      <c r="F129">
        <v>1</v>
      </c>
    </row>
    <row r="130" outlineLevel="3">
      <c r="B130" s="1">
        <v>42140</v>
      </c>
      <c r="C130" t="s">
        <v>26</v>
      </c>
      <c r="D130" t="s">
        <v>11</v>
      </c>
      <c r="E130" t="s">
        <v>13</v>
      </c>
      <c r="F130">
        <v>5</v>
      </c>
    </row>
    <row r="131" outlineLevel="3">
      <c r="B131" s="1">
        <v>42149</v>
      </c>
      <c r="C131" t="s">
        <v>26</v>
      </c>
      <c r="D131" t="s">
        <v>11</v>
      </c>
      <c r="E131" t="s">
        <v>13</v>
      </c>
      <c r="F131">
        <v>3</v>
      </c>
    </row>
    <row r="132" outlineLevel="3">
      <c r="B132" s="1">
        <v>42186</v>
      </c>
      <c r="C132" t="s">
        <v>26</v>
      </c>
      <c r="D132" t="s">
        <v>11</v>
      </c>
      <c r="E132" t="s">
        <v>15</v>
      </c>
      <c r="F132">
        <v>2</v>
      </c>
    </row>
    <row r="133" outlineLevel="3">
      <c r="B133" s="1">
        <v>42135</v>
      </c>
      <c r="C133" t="s">
        <v>26</v>
      </c>
      <c r="D133" t="s">
        <v>11</v>
      </c>
      <c r="E133" t="s">
        <v>13</v>
      </c>
      <c r="F133">
        <v>8</v>
      </c>
    </row>
    <row r="134" outlineLevel="3">
      <c r="B134" s="1">
        <v>42077</v>
      </c>
      <c r="C134" t="s">
        <v>26</v>
      </c>
      <c r="D134" t="s">
        <v>11</v>
      </c>
      <c r="E134" t="s">
        <v>7</v>
      </c>
      <c r="F134">
        <v>1</v>
      </c>
    </row>
    <row r="135" outlineLevel="3">
      <c r="B135" s="1">
        <v>42113</v>
      </c>
      <c r="C135" t="s">
        <v>26</v>
      </c>
      <c r="D135" t="s">
        <v>11</v>
      </c>
      <c r="E135" t="s">
        <v>13</v>
      </c>
      <c r="F135">
        <v>6</v>
      </c>
    </row>
    <row r="136" outlineLevel="3">
      <c r="B136" s="1">
        <v>42137</v>
      </c>
      <c r="C136" t="s">
        <v>26</v>
      </c>
      <c r="D136" t="s">
        <v>11</v>
      </c>
      <c r="E136" t="s">
        <v>5</v>
      </c>
      <c r="F136">
        <v>7</v>
      </c>
    </row>
    <row r="137" outlineLevel="3">
      <c r="B137" s="1">
        <v>42178</v>
      </c>
      <c r="C137" t="s">
        <v>26</v>
      </c>
      <c r="D137" t="s">
        <v>11</v>
      </c>
      <c r="E137" t="s">
        <v>13</v>
      </c>
      <c r="F137">
        <v>5</v>
      </c>
    </row>
    <row r="138" outlineLevel="3">
      <c r="B138" s="1">
        <v>42199</v>
      </c>
      <c r="C138" t="s">
        <v>26</v>
      </c>
      <c r="D138" t="s">
        <v>11</v>
      </c>
      <c r="E138" t="s">
        <v>13</v>
      </c>
      <c r="F138">
        <v>9</v>
      </c>
    </row>
    <row r="139" outlineLevel="3">
      <c r="B139" s="1">
        <v>42120</v>
      </c>
      <c r="C139" t="s">
        <v>26</v>
      </c>
      <c r="D139" t="s">
        <v>11</v>
      </c>
      <c r="E139" t="s">
        <v>7</v>
      </c>
      <c r="F139">
        <v>4</v>
      </c>
    </row>
    <row r="140" outlineLevel="3">
      <c r="B140" s="1">
        <v>42175</v>
      </c>
      <c r="C140" t="s">
        <v>26</v>
      </c>
      <c r="D140" t="s">
        <v>11</v>
      </c>
      <c r="E140" t="s">
        <v>16</v>
      </c>
      <c r="F140">
        <v>1</v>
      </c>
    </row>
    <row r="141" outlineLevel="3">
      <c r="B141" s="1">
        <v>42092</v>
      </c>
      <c r="C141" t="s">
        <v>26</v>
      </c>
      <c r="D141" t="s">
        <v>11</v>
      </c>
      <c r="E141" t="s">
        <v>13</v>
      </c>
      <c r="F141">
        <v>6</v>
      </c>
    </row>
    <row r="142" outlineLevel="3">
      <c r="B142" s="1">
        <v>42133</v>
      </c>
      <c r="C142" t="s">
        <v>26</v>
      </c>
      <c r="D142" t="s">
        <v>11</v>
      </c>
      <c r="E142" t="s">
        <v>9</v>
      </c>
      <c r="F142">
        <v>14</v>
      </c>
    </row>
    <row r="143" outlineLevel="3">
      <c r="B143" s="1">
        <v>42170</v>
      </c>
      <c r="C143" t="s">
        <v>26</v>
      </c>
      <c r="D143" t="s">
        <v>11</v>
      </c>
      <c r="E143" t="s">
        <v>9</v>
      </c>
      <c r="F143">
        <v>8</v>
      </c>
    </row>
    <row r="144" outlineLevel="3">
      <c r="B144" s="1">
        <v>42073</v>
      </c>
      <c r="C144" t="s">
        <v>26</v>
      </c>
      <c r="D144" t="s">
        <v>11</v>
      </c>
      <c r="E144" t="s">
        <v>7</v>
      </c>
      <c r="F144">
        <v>13</v>
      </c>
      <c r="K144" t="s">
        <v>11</v>
      </c>
      <c r="L144" t="s">
        <v>26</v>
      </c>
    </row>
    <row r="145" outlineLevel="3">
      <c r="B145" s="1">
        <v>42115</v>
      </c>
      <c r="C145" t="s">
        <v>26</v>
      </c>
      <c r="D145" t="s">
        <v>11</v>
      </c>
      <c r="E145" t="s">
        <v>5</v>
      </c>
      <c r="F145">
        <v>2</v>
      </c>
    </row>
    <row r="146" outlineLevel="3">
      <c r="B146" s="1">
        <v>42177</v>
      </c>
      <c r="C146" t="s">
        <v>26</v>
      </c>
      <c r="D146" t="s">
        <v>11</v>
      </c>
      <c r="E146" t="s">
        <v>5</v>
      </c>
      <c r="F146">
        <v>2</v>
      </c>
    </row>
    <row r="147" outlineLevel="3">
      <c r="B147" s="1">
        <v>42094</v>
      </c>
      <c r="C147" t="s">
        <v>26</v>
      </c>
      <c r="D147" t="s">
        <v>11</v>
      </c>
      <c r="E147" t="s">
        <v>5</v>
      </c>
      <c r="F147">
        <v>2</v>
      </c>
    </row>
    <row r="148" outlineLevel="3">
      <c r="B148" s="1">
        <v>42133</v>
      </c>
      <c r="C148" t="s">
        <v>26</v>
      </c>
      <c r="D148" t="s">
        <v>11</v>
      </c>
      <c r="E148" t="s">
        <v>5</v>
      </c>
      <c r="F148">
        <v>3</v>
      </c>
    </row>
    <row r="149" outlineLevel="3">
      <c r="B149" s="1">
        <v>42162</v>
      </c>
      <c r="C149" t="s">
        <v>26</v>
      </c>
      <c r="D149" t="s">
        <v>11</v>
      </c>
      <c r="E149" t="s">
        <v>9</v>
      </c>
      <c r="F149">
        <v>2</v>
      </c>
    </row>
    <row r="150" outlineLevel="3">
      <c r="B150" s="1">
        <v>42183</v>
      </c>
      <c r="C150" t="s">
        <v>26</v>
      </c>
      <c r="D150" t="s">
        <v>11</v>
      </c>
      <c r="E150" t="s">
        <v>5</v>
      </c>
      <c r="F150">
        <v>23</v>
      </c>
    </row>
    <row r="151" outlineLevel="3">
      <c r="B151" s="1">
        <v>42093</v>
      </c>
      <c r="C151" t="s">
        <v>26</v>
      </c>
      <c r="D151" t="s">
        <v>11</v>
      </c>
      <c r="E151" t="s">
        <v>13</v>
      </c>
      <c r="F151">
        <v>14</v>
      </c>
    </row>
    <row r="152" outlineLevel="3">
      <c r="B152" s="1">
        <v>42142</v>
      </c>
      <c r="C152" t="s">
        <v>26</v>
      </c>
      <c r="D152" t="s">
        <v>11</v>
      </c>
      <c r="E152" t="s">
        <v>9</v>
      </c>
      <c r="F152">
        <v>2</v>
      </c>
    </row>
    <row r="153" outlineLevel="3">
      <c r="B153" s="1">
        <v>42172</v>
      </c>
      <c r="C153" t="s">
        <v>26</v>
      </c>
      <c r="D153" t="s">
        <v>11</v>
      </c>
      <c r="E153" t="s">
        <v>5</v>
      </c>
      <c r="F153">
        <v>10</v>
      </c>
    </row>
    <row r="154" outlineLevel="2">
      <c r="D154" t="inlineStr" s="17">
        <is>
          <t xml:space="preserve">Marek Celkem</t>
        </is>
      </c>
      <c r="F154" s="17">
        <f>SUBTOTAL(9,F125:F153)</f>
      </c>
    </row>
    <row r="155" outlineLevel="3">
      <c r="B155" s="1">
        <v>42102</v>
      </c>
      <c r="C155" t="s">
        <v>26</v>
      </c>
      <c r="D155" t="s">
        <v>12</v>
      </c>
      <c r="E155" t="s">
        <v>7</v>
      </c>
      <c r="F155">
        <v>1</v>
      </c>
    </row>
    <row r="156" outlineLevel="3">
      <c r="B156" s="1">
        <v>42122</v>
      </c>
      <c r="C156" t="s">
        <v>26</v>
      </c>
      <c r="D156" t="s">
        <v>12</v>
      </c>
      <c r="E156" t="s">
        <v>15</v>
      </c>
      <c r="F156">
        <v>2</v>
      </c>
    </row>
    <row r="157" outlineLevel="3">
      <c r="B157" s="1">
        <v>42158</v>
      </c>
      <c r="C157" t="s">
        <v>26</v>
      </c>
      <c r="D157" t="s">
        <v>12</v>
      </c>
      <c r="E157" t="s">
        <v>13</v>
      </c>
      <c r="F157">
        <v>20</v>
      </c>
    </row>
    <row r="158" outlineLevel="3">
      <c r="B158" s="1">
        <v>42176</v>
      </c>
      <c r="C158" t="s">
        <v>26</v>
      </c>
      <c r="D158" t="s">
        <v>12</v>
      </c>
      <c r="E158" t="s">
        <v>5</v>
      </c>
      <c r="F158">
        <v>3</v>
      </c>
    </row>
    <row r="159" outlineLevel="3">
      <c r="B159" s="1">
        <v>42109</v>
      </c>
      <c r="C159" t="s">
        <v>26</v>
      </c>
      <c r="D159" t="s">
        <v>12</v>
      </c>
      <c r="E159" t="s">
        <v>7</v>
      </c>
      <c r="F159">
        <v>9</v>
      </c>
    </row>
    <row r="160" outlineLevel="3">
      <c r="B160" s="1">
        <v>42142</v>
      </c>
      <c r="C160" t="s">
        <v>26</v>
      </c>
      <c r="D160" t="s">
        <v>12</v>
      </c>
      <c r="E160" t="s">
        <v>13</v>
      </c>
      <c r="F160">
        <v>15</v>
      </c>
    </row>
    <row r="161" outlineLevel="3">
      <c r="B161" s="1">
        <v>42154</v>
      </c>
      <c r="C161" t="s">
        <v>26</v>
      </c>
      <c r="D161" t="s">
        <v>12</v>
      </c>
      <c r="E161" t="s">
        <v>7</v>
      </c>
      <c r="F161">
        <v>1</v>
      </c>
    </row>
    <row r="162" outlineLevel="3">
      <c r="B162" s="1">
        <v>42199</v>
      </c>
      <c r="C162" t="s">
        <v>26</v>
      </c>
      <c r="D162" t="s">
        <v>12</v>
      </c>
      <c r="E162" t="s">
        <v>13</v>
      </c>
      <c r="F162">
        <v>7</v>
      </c>
    </row>
    <row r="163" outlineLevel="3">
      <c r="B163" s="1">
        <v>42136</v>
      </c>
      <c r="C163" t="s">
        <v>26</v>
      </c>
      <c r="D163" t="s">
        <v>12</v>
      </c>
      <c r="E163" t="s">
        <v>15</v>
      </c>
      <c r="F163">
        <v>3</v>
      </c>
    </row>
    <row r="164" outlineLevel="3">
      <c r="B164" s="1">
        <v>42078</v>
      </c>
      <c r="C164" t="s">
        <v>26</v>
      </c>
      <c r="D164" t="s">
        <v>12</v>
      </c>
      <c r="E164" t="s">
        <v>5</v>
      </c>
      <c r="F164">
        <v>2</v>
      </c>
    </row>
    <row r="165" outlineLevel="3">
      <c r="B165" s="1">
        <v>42116</v>
      </c>
      <c r="C165" t="s">
        <v>26</v>
      </c>
      <c r="D165" t="s">
        <v>12</v>
      </c>
      <c r="E165" t="s">
        <v>13</v>
      </c>
      <c r="F165">
        <v>3</v>
      </c>
    </row>
    <row r="166" outlineLevel="3">
      <c r="B166" s="1">
        <v>42137</v>
      </c>
      <c r="C166" t="s">
        <v>26</v>
      </c>
      <c r="D166" t="s">
        <v>12</v>
      </c>
      <c r="E166" t="s">
        <v>13</v>
      </c>
      <c r="F166">
        <v>8</v>
      </c>
    </row>
    <row r="167" outlineLevel="3">
      <c r="B167" s="1">
        <v>42179</v>
      </c>
      <c r="C167" t="s">
        <v>26</v>
      </c>
      <c r="D167" t="s">
        <v>12</v>
      </c>
      <c r="E167" t="s">
        <v>13</v>
      </c>
      <c r="F167">
        <v>2</v>
      </c>
    </row>
    <row r="168" outlineLevel="3">
      <c r="B168" s="1">
        <v>42085</v>
      </c>
      <c r="C168" t="s">
        <v>26</v>
      </c>
      <c r="D168" t="s">
        <v>12</v>
      </c>
      <c r="E168" t="s">
        <v>13</v>
      </c>
      <c r="F168">
        <v>50</v>
      </c>
    </row>
    <row r="169" outlineLevel="3">
      <c r="B169" s="1">
        <v>42142</v>
      </c>
      <c r="C169" t="s">
        <v>26</v>
      </c>
      <c r="D169" t="s">
        <v>12</v>
      </c>
      <c r="E169" t="s">
        <v>15</v>
      </c>
      <c r="F169">
        <v>3</v>
      </c>
    </row>
    <row r="170" outlineLevel="3">
      <c r="B170" s="1">
        <v>42176</v>
      </c>
      <c r="C170" t="s">
        <v>26</v>
      </c>
      <c r="D170" t="s">
        <v>12</v>
      </c>
      <c r="E170" t="s">
        <v>13</v>
      </c>
      <c r="F170">
        <v>2</v>
      </c>
    </row>
    <row r="171" outlineLevel="3">
      <c r="B171" s="1">
        <v>42100</v>
      </c>
      <c r="C171" t="s">
        <v>26</v>
      </c>
      <c r="D171" t="s">
        <v>12</v>
      </c>
      <c r="E171" t="s">
        <v>13</v>
      </c>
      <c r="F171">
        <v>1</v>
      </c>
    </row>
    <row r="172" outlineLevel="3">
      <c r="B172" s="1">
        <v>42134</v>
      </c>
      <c r="C172" t="s">
        <v>26</v>
      </c>
      <c r="D172" t="s">
        <v>12</v>
      </c>
      <c r="E172" t="s">
        <v>13</v>
      </c>
      <c r="F172">
        <v>3</v>
      </c>
    </row>
    <row r="173" outlineLevel="3">
      <c r="B173" s="1">
        <v>42175</v>
      </c>
      <c r="C173" t="s">
        <v>26</v>
      </c>
      <c r="D173" t="s">
        <v>12</v>
      </c>
      <c r="E173" t="s">
        <v>15</v>
      </c>
      <c r="F173">
        <v>5</v>
      </c>
    </row>
    <row r="174" outlineLevel="3">
      <c r="B174" s="1">
        <v>42074</v>
      </c>
      <c r="C174" t="s">
        <v>26</v>
      </c>
      <c r="D174" t="s">
        <v>12</v>
      </c>
      <c r="E174" t="s">
        <v>5</v>
      </c>
      <c r="F174">
        <v>15</v>
      </c>
      <c r="K174" t="s">
        <v>12</v>
      </c>
      <c r="L174" t="s">
        <v>26</v>
      </c>
    </row>
    <row r="175" outlineLevel="3">
      <c r="B175" s="1">
        <v>42123</v>
      </c>
      <c r="C175" t="s">
        <v>26</v>
      </c>
      <c r="D175" t="s">
        <v>12</v>
      </c>
      <c r="E175" t="s">
        <v>16</v>
      </c>
      <c r="F175">
        <v>1</v>
      </c>
    </row>
    <row r="176" outlineLevel="3">
      <c r="B176" s="1">
        <v>42190</v>
      </c>
      <c r="C176" t="s">
        <v>26</v>
      </c>
      <c r="D176" t="s">
        <v>12</v>
      </c>
      <c r="E176" t="s">
        <v>9</v>
      </c>
      <c r="F176">
        <v>2</v>
      </c>
    </row>
    <row r="177" outlineLevel="3">
      <c r="B177" s="1">
        <v>42102</v>
      </c>
      <c r="C177" t="s">
        <v>26</v>
      </c>
      <c r="D177" t="s">
        <v>12</v>
      </c>
      <c r="E177" t="s">
        <v>9</v>
      </c>
      <c r="F177">
        <v>5</v>
      </c>
    </row>
    <row r="178" outlineLevel="3">
      <c r="B178" s="1">
        <v>42140</v>
      </c>
      <c r="C178" t="s">
        <v>26</v>
      </c>
      <c r="D178" t="s">
        <v>12</v>
      </c>
      <c r="E178" t="s">
        <v>13</v>
      </c>
      <c r="F178">
        <v>1</v>
      </c>
    </row>
    <row r="179" outlineLevel="3">
      <c r="B179" s="1">
        <v>42164</v>
      </c>
      <c r="C179" t="s">
        <v>26</v>
      </c>
      <c r="D179" t="s">
        <v>12</v>
      </c>
      <c r="E179" t="s">
        <v>5</v>
      </c>
      <c r="F179">
        <v>4</v>
      </c>
    </row>
    <row r="180" outlineLevel="3">
      <c r="B180" s="1">
        <v>42072</v>
      </c>
      <c r="C180" t="s">
        <v>26</v>
      </c>
      <c r="D180" t="s">
        <v>12</v>
      </c>
      <c r="E180" t="s">
        <v>7</v>
      </c>
      <c r="F180">
        <v>8</v>
      </c>
    </row>
    <row r="181" outlineLevel="3">
      <c r="B181" s="1">
        <v>42101</v>
      </c>
      <c r="C181" t="s">
        <v>26</v>
      </c>
      <c r="D181" t="s">
        <v>12</v>
      </c>
      <c r="E181" t="s">
        <v>15</v>
      </c>
      <c r="F181">
        <v>1</v>
      </c>
    </row>
    <row r="182" outlineLevel="3">
      <c r="B182" s="1">
        <v>42149</v>
      </c>
      <c r="C182" t="s">
        <v>26</v>
      </c>
      <c r="D182" t="s">
        <v>12</v>
      </c>
      <c r="E182" t="s">
        <v>5</v>
      </c>
      <c r="F182">
        <v>9</v>
      </c>
    </row>
    <row r="183" outlineLevel="3">
      <c r="B183" s="1">
        <v>42196</v>
      </c>
      <c r="C183" t="s">
        <v>26</v>
      </c>
      <c r="D183" t="s">
        <v>12</v>
      </c>
      <c r="E183" t="s">
        <v>15</v>
      </c>
      <c r="F183">
        <v>2</v>
      </c>
    </row>
    <row r="184" outlineLevel="2">
      <c r="D184" t="inlineStr" s="17">
        <is>
          <t xml:space="preserve">Petr Celkem</t>
        </is>
      </c>
      <c r="F184" s="17">
        <f>SUBTOTAL(9,F155:F183)</f>
      </c>
    </row>
    <row r="185" outlineLevel="3">
      <c r="B185" s="1">
        <v>42107</v>
      </c>
      <c r="C185" t="s">
        <v>26</v>
      </c>
      <c r="D185" t="s">
        <v>14</v>
      </c>
      <c r="E185" t="s">
        <v>15</v>
      </c>
      <c r="F185">
        <v>5</v>
      </c>
    </row>
    <row r="186" outlineLevel="3">
      <c r="B186" s="1">
        <v>42126</v>
      </c>
      <c r="C186" t="s">
        <v>26</v>
      </c>
      <c r="D186" t="s">
        <v>14</v>
      </c>
      <c r="E186" t="s">
        <v>16</v>
      </c>
      <c r="F186">
        <v>1</v>
      </c>
    </row>
    <row r="187" outlineLevel="3">
      <c r="B187" s="1">
        <v>42161</v>
      </c>
      <c r="C187" t="s">
        <v>26</v>
      </c>
      <c r="D187" t="s">
        <v>14</v>
      </c>
      <c r="E187" t="s">
        <v>7</v>
      </c>
      <c r="F187">
        <v>10</v>
      </c>
    </row>
    <row r="188" outlineLevel="3">
      <c r="B188" s="1">
        <v>42191</v>
      </c>
      <c r="C188" t="s">
        <v>26</v>
      </c>
      <c r="D188" t="s">
        <v>14</v>
      </c>
      <c r="E188" t="s">
        <v>13</v>
      </c>
      <c r="F188">
        <v>2</v>
      </c>
    </row>
    <row r="189" outlineLevel="3">
      <c r="B189" s="1">
        <v>42113</v>
      </c>
      <c r="C189" t="s">
        <v>26</v>
      </c>
      <c r="D189" t="s">
        <v>14</v>
      </c>
      <c r="E189" t="s">
        <v>13</v>
      </c>
      <c r="F189">
        <v>5</v>
      </c>
    </row>
    <row r="190" outlineLevel="3">
      <c r="B190" s="1">
        <v>42142</v>
      </c>
      <c r="C190" t="s">
        <v>26</v>
      </c>
      <c r="D190" t="s">
        <v>14</v>
      </c>
      <c r="E190" t="s">
        <v>15</v>
      </c>
      <c r="F190">
        <v>2</v>
      </c>
    </row>
    <row r="191" outlineLevel="3">
      <c r="B191" s="1">
        <v>42156</v>
      </c>
      <c r="C191" t="s">
        <v>26</v>
      </c>
      <c r="D191" t="s">
        <v>14</v>
      </c>
      <c r="E191" t="s">
        <v>5</v>
      </c>
      <c r="F191">
        <v>10</v>
      </c>
    </row>
    <row r="192" outlineLevel="3">
      <c r="B192" s="1">
        <v>42074</v>
      </c>
      <c r="C192" t="s">
        <v>26</v>
      </c>
      <c r="D192" t="s">
        <v>14</v>
      </c>
      <c r="E192" t="s">
        <v>15</v>
      </c>
      <c r="F192">
        <v>4</v>
      </c>
    </row>
    <row r="193" outlineLevel="3">
      <c r="B193" s="1">
        <v>42151</v>
      </c>
      <c r="C193" t="s">
        <v>26</v>
      </c>
      <c r="D193" t="s">
        <v>14</v>
      </c>
      <c r="E193" t="s">
        <v>5</v>
      </c>
      <c r="F193">
        <v>6</v>
      </c>
    </row>
    <row r="194" outlineLevel="3">
      <c r="B194" s="1">
        <v>42081</v>
      </c>
      <c r="C194" t="s">
        <v>26</v>
      </c>
      <c r="D194" t="s">
        <v>14</v>
      </c>
      <c r="E194" t="s">
        <v>16</v>
      </c>
      <c r="F194">
        <v>30</v>
      </c>
    </row>
    <row r="195" outlineLevel="3">
      <c r="B195" s="1">
        <v>42123</v>
      </c>
      <c r="C195" t="s">
        <v>26</v>
      </c>
      <c r="D195" t="s">
        <v>14</v>
      </c>
      <c r="E195" t="s">
        <v>15</v>
      </c>
      <c r="F195">
        <v>1</v>
      </c>
    </row>
    <row r="196" outlineLevel="3">
      <c r="B196" s="1">
        <v>42154</v>
      </c>
      <c r="C196" t="s">
        <v>26</v>
      </c>
      <c r="D196" t="s">
        <v>14</v>
      </c>
      <c r="E196" t="s">
        <v>7</v>
      </c>
      <c r="F196">
        <v>21</v>
      </c>
    </row>
    <row r="197" outlineLevel="3">
      <c r="B197" s="1">
        <v>42185</v>
      </c>
      <c r="C197" t="s">
        <v>26</v>
      </c>
      <c r="D197" t="s">
        <v>14</v>
      </c>
      <c r="E197" t="s">
        <v>5</v>
      </c>
      <c r="F197">
        <v>1</v>
      </c>
    </row>
    <row r="198" outlineLevel="3">
      <c r="B198" s="1">
        <v>42095</v>
      </c>
      <c r="C198" t="s">
        <v>26</v>
      </c>
      <c r="D198" t="s">
        <v>14</v>
      </c>
      <c r="E198" t="s">
        <v>5</v>
      </c>
      <c r="F198">
        <v>2</v>
      </c>
    </row>
    <row r="199" outlineLevel="3">
      <c r="B199" s="1">
        <v>42144</v>
      </c>
      <c r="C199" t="s">
        <v>26</v>
      </c>
      <c r="D199" t="s">
        <v>14</v>
      </c>
      <c r="E199" t="s">
        <v>13</v>
      </c>
      <c r="F199">
        <v>1</v>
      </c>
    </row>
    <row r="200" outlineLevel="3">
      <c r="B200" s="1">
        <v>42182</v>
      </c>
      <c r="C200" t="s">
        <v>26</v>
      </c>
      <c r="D200" t="s">
        <v>14</v>
      </c>
      <c r="E200" t="s">
        <v>13</v>
      </c>
      <c r="F200">
        <v>8</v>
      </c>
    </row>
    <row r="201" outlineLevel="3">
      <c r="B201" s="1">
        <v>42106</v>
      </c>
      <c r="C201" t="s">
        <v>26</v>
      </c>
      <c r="D201" t="s">
        <v>14</v>
      </c>
      <c r="E201" t="s">
        <v>15</v>
      </c>
      <c r="F201">
        <v>8</v>
      </c>
    </row>
    <row r="202" outlineLevel="3">
      <c r="B202" s="1">
        <v>42137</v>
      </c>
      <c r="C202" t="s">
        <v>26</v>
      </c>
      <c r="D202" t="s">
        <v>14</v>
      </c>
      <c r="E202" t="s">
        <v>13</v>
      </c>
      <c r="F202">
        <v>3</v>
      </c>
    </row>
    <row r="203" outlineLevel="3">
      <c r="B203" s="1">
        <v>42177</v>
      </c>
      <c r="C203" t="s">
        <v>26</v>
      </c>
      <c r="D203" t="s">
        <v>14</v>
      </c>
      <c r="E203" t="s">
        <v>5</v>
      </c>
      <c r="F203">
        <v>3</v>
      </c>
    </row>
    <row r="204" outlineLevel="3">
      <c r="B204" s="1">
        <v>42080</v>
      </c>
      <c r="C204" t="s">
        <v>26</v>
      </c>
      <c r="D204" t="s">
        <v>14</v>
      </c>
      <c r="E204" t="s">
        <v>15</v>
      </c>
      <c r="F204">
        <v>19</v>
      </c>
      <c r="K204" t="s">
        <v>14</v>
      </c>
      <c r="L204" t="s">
        <v>26</v>
      </c>
    </row>
    <row r="205" outlineLevel="3">
      <c r="B205" s="1">
        <v>42129</v>
      </c>
      <c r="C205" t="s">
        <v>26</v>
      </c>
      <c r="D205" t="s">
        <v>14</v>
      </c>
      <c r="E205" t="s">
        <v>7</v>
      </c>
      <c r="F205">
        <v>5</v>
      </c>
    </row>
    <row r="206" outlineLevel="3">
      <c r="B206" s="1">
        <v>42192</v>
      </c>
      <c r="C206" t="s">
        <v>26</v>
      </c>
      <c r="D206" t="s">
        <v>14</v>
      </c>
      <c r="E206" t="s">
        <v>9</v>
      </c>
      <c r="F206">
        <v>10</v>
      </c>
    </row>
    <row r="207" outlineLevel="3">
      <c r="B207" s="1">
        <v>42102</v>
      </c>
      <c r="C207" t="s">
        <v>26</v>
      </c>
      <c r="D207" t="s">
        <v>14</v>
      </c>
      <c r="E207" t="s">
        <v>13</v>
      </c>
      <c r="F207">
        <v>10</v>
      </c>
    </row>
    <row r="208" outlineLevel="3">
      <c r="B208" s="1">
        <v>42142</v>
      </c>
      <c r="C208" t="s">
        <v>26</v>
      </c>
      <c r="D208" t="s">
        <v>14</v>
      </c>
      <c r="E208" t="s">
        <v>15</v>
      </c>
      <c r="F208">
        <v>9</v>
      </c>
    </row>
    <row r="209" outlineLevel="3">
      <c r="B209" s="1">
        <v>42164</v>
      </c>
      <c r="C209" t="s">
        <v>26</v>
      </c>
      <c r="D209" t="s">
        <v>14</v>
      </c>
      <c r="E209" t="s">
        <v>5</v>
      </c>
      <c r="F209">
        <v>2</v>
      </c>
    </row>
    <row r="210" outlineLevel="3">
      <c r="B210" s="1">
        <v>42073</v>
      </c>
      <c r="C210" t="s">
        <v>26</v>
      </c>
      <c r="D210" t="s">
        <v>14</v>
      </c>
      <c r="E210" t="s">
        <v>7</v>
      </c>
      <c r="F210">
        <v>3</v>
      </c>
    </row>
    <row r="211" outlineLevel="3">
      <c r="B211" s="1">
        <v>42107</v>
      </c>
      <c r="C211" t="s">
        <v>26</v>
      </c>
      <c r="D211" t="s">
        <v>14</v>
      </c>
      <c r="E211" t="s">
        <v>15</v>
      </c>
      <c r="F211">
        <v>2</v>
      </c>
    </row>
    <row r="212" outlineLevel="3">
      <c r="B212" s="1">
        <v>42155</v>
      </c>
      <c r="C212" t="s">
        <v>26</v>
      </c>
      <c r="D212" t="s">
        <v>14</v>
      </c>
      <c r="E212" t="s">
        <v>13</v>
      </c>
      <c r="F212">
        <v>4</v>
      </c>
    </row>
    <row r="213" outlineLevel="3">
      <c r="B213" s="1">
        <v>42199</v>
      </c>
      <c r="C213" t="s">
        <v>26</v>
      </c>
      <c r="D213" t="s">
        <v>14</v>
      </c>
      <c r="E213" t="s">
        <v>7</v>
      </c>
      <c r="F213">
        <v>3</v>
      </c>
    </row>
    <row r="214" outlineLevel="2">
      <c r="D214" t="inlineStr" s="17">
        <is>
          <t xml:space="preserve">Vladimír Celkem</t>
        </is>
      </c>
      <c r="F214" s="17">
        <f>SUBTOTAL(9,F185:F213)</f>
      </c>
    </row>
    <row r="215" outlineLevel="1">
      <c r="C215" t="inlineStr" s="17">
        <is>
          <t xml:space="preserve">Praha Celkem</t>
        </is>
      </c>
      <c r="F215" s="17">
        <f>SUBTOTAL(9,F125:F214)</f>
      </c>
    </row>
    <row r="216">
      <c r="C216" t="inlineStr" s="17">
        <is>
          <t xml:space="preserve">Celkový součet</t>
        </is>
      </c>
      <c r="F216" s="17">
        <f>SUBTOTAL(9,F3:F215)</f>
      </c>
    </row>
    <row r="217" spans="2:6">
      <c r="B217" s="1"/>
      <c r="C217" s="1"/>
    </row>
    <row r="218" spans="2:6">
      <c r="B218" s="1"/>
      <c r="C218" s="1"/>
    </row>
    <row r="219" spans="2:6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</sheetData>
  <sortState xmlns:xlrd2="http://schemas.microsoft.com/office/spreadsheetml/2017/richdata2" ref="B3:F205">
    <sortCondition ref="C3:C205"/>
    <sortCondition ref="D3:D205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Bures Michal</dc:creator>
  <cp:keywords/>
  <dc:description/>
  <cp:lastModifiedBy>Karel Hlas</cp:lastModifiedBy>
  <cp:revision/>
  <dcterms:created xsi:type="dcterms:W3CDTF">2015-07-14T11:21:15Z</dcterms:created>
  <dcterms:modified xsi:type="dcterms:W3CDTF">2025-10-19T21:16:48Z</dcterms:modified>
  <cp:category/>
  <cp:contentStatus/>
</cp:coreProperties>
</file>