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ento_sešit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upravené/"/>
    </mc:Choice>
  </mc:AlternateContent>
  <xr:revisionPtr revIDLastSave="0" documentId="13_ncr:1_{C778A9CA-1F58-FB4F-803A-3D44CC4B929A}" xr6:coauthVersionLast="47" xr6:coauthVersionMax="47" xr10:uidLastSave="{00000000-0000-0000-0000-000000000000}"/>
  <bookViews>
    <workbookView xWindow="-38420" yWindow="-9900" windowWidth="38400" windowHeight="20980" activeTab="11" xr2:uid="{37F9DB81-0483-F84B-9710-C88A31B30C7C}"/>
  </bookViews>
  <sheets>
    <sheet name="separace obsahu a formátu" sheetId="16" r:id="rId1"/>
    <sheet name="Velikost buňky" sheetId="1" r:id="rId2"/>
    <sheet name="Sloupce a listy" sheetId="2" r:id="rId3"/>
    <sheet name="Formátování" sheetId="12" r:id="rId4"/>
    <sheet name="Šachovnice" sheetId="15" r:id="rId5"/>
    <sheet name="Komentáře" sheetId="7" r:id="rId6"/>
    <sheet name="Řady" sheetId="8" r:id="rId7"/>
    <sheet name="Vlastní řady" sheetId="9" r:id="rId8"/>
    <sheet name="Kalendářní řady+formátování" sheetId="13" r:id="rId9"/>
    <sheet name="Vložit jinak" sheetId="10" r:id="rId10"/>
    <sheet name="Oblasti" sheetId="11" r:id="rId11"/>
    <sheet name="Stavový řádek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1" l="1"/>
  <c r="F9" i="11"/>
  <c r="E9" i="11"/>
  <c r="D9" i="11"/>
  <c r="C9" i="11"/>
  <c r="B9" i="11"/>
  <c r="G8" i="11"/>
  <c r="G7" i="11"/>
  <c r="G6" i="11"/>
  <c r="G5" i="11"/>
  <c r="G4" i="11"/>
  <c r="G9" i="7"/>
  <c r="F9" i="7"/>
  <c r="E9" i="7"/>
  <c r="D9" i="7"/>
  <c r="C9" i="7"/>
  <c r="B9" i="7"/>
  <c r="G8" i="7"/>
  <c r="G7" i="7"/>
  <c r="G6" i="7"/>
  <c r="G5" i="7"/>
  <c r="G4" i="7"/>
  <c r="E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Josef Pecinovský</author>
    <author>Autor úlohy</author>
  </authors>
  <commentList>
    <comment ref="A3" authorId="0" shapeId="0" xr:uid="{4DBE4889-E086-3D4E-BACE-C0679088459F}">
      <text>
        <r>
          <rPr>
            <b/>
            <sz val="8"/>
            <color rgb="FF000000"/>
            <rFont val="Tahoma"/>
            <family val="2"/>
            <charset val="238"/>
          </rPr>
          <t>Vyplňte oblast A3:A10 stejným obsahem - číslem 10 VE FORMÁTU TEXT! (tak, aby se číslo zobrazilo jako text!)</t>
        </r>
        <r>
          <rPr>
            <sz val="8"/>
            <color rgb="FF000000"/>
            <rFont val="Tahoma"/>
            <family val="2"/>
            <charset val="238"/>
          </rPr>
          <t xml:space="preserve">
</t>
        </r>
      </text>
    </comment>
    <comment ref="B3" authorId="0" shapeId="0" xr:uid="{CA6ECC05-BE40-0644-B716-913172E49C27}">
      <text>
        <r>
          <rPr>
            <b/>
            <sz val="8"/>
            <color indexed="81"/>
            <rFont val="Tahoma"/>
            <family val="2"/>
            <charset val="238"/>
          </rPr>
          <t>Vyplňte oblast B3:B10 lineární řadou s krokem 2; počáteční hodnota v buňce B3 nechť je  5 (tj. řadu začněte 5)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C3" authorId="0" shapeId="0" xr:uid="{1E549298-7F6E-4343-B155-5AD3206CE980}">
      <text>
        <r>
          <rPr>
            <b/>
            <sz val="8"/>
            <color indexed="81"/>
            <rFont val="Tahoma"/>
            <family val="2"/>
            <charset val="238"/>
          </rPr>
          <t xml:space="preserve">Vyplňte oblast C3:C10 řadou s jmény kalendářních dnů; počáteční hodnota v buňce C3 nechť je  pondělí (tj. řadu začněte slovem </t>
        </r>
        <r>
          <rPr>
            <b/>
            <i/>
            <sz val="8"/>
            <color indexed="81"/>
            <rFont val="Tahoma"/>
            <family val="2"/>
          </rPr>
          <t>pondělí</t>
        </r>
        <r>
          <rPr>
            <b/>
            <sz val="8"/>
            <color indexed="81"/>
            <rFont val="Tahoma"/>
            <family val="2"/>
            <charset val="238"/>
          </rPr>
          <t>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D3" authorId="1" shapeId="0" xr:uid="{329140C6-B860-8746-B97F-F7D2811683F0}">
      <text>
        <r>
          <rPr>
            <b/>
            <sz val="9"/>
            <color indexed="81"/>
            <rFont val="Tahoma"/>
            <family val="2"/>
            <charset val="238"/>
          </rPr>
          <t>Vyplňte oblast D3:D20 řadou s jmény měsíců; počáteční hodnota v buňce D3 nechť je  leden (tj. řadu začněte slovem leden)</t>
        </r>
      </text>
    </comment>
    <comment ref="E3" authorId="0" shapeId="0" xr:uid="{9CF02C6E-1095-4F45-8FBF-A85433FB4ADA}">
      <text>
        <r>
          <rPr>
            <b/>
            <sz val="8"/>
            <color indexed="81"/>
            <rFont val="Tahoma"/>
            <family val="2"/>
            <charset val="238"/>
          </rPr>
          <t>Vyplňte oblast E3:E10 geometrickou řadou s krokem 5; počáteční hodnota v buňce E3 nechť je  1 (tj. řadu začněte 1)</t>
        </r>
        <r>
          <rPr>
            <sz val="8"/>
            <color indexed="81"/>
            <rFont val="Tahoma"/>
            <family val="2"/>
            <charset val="238"/>
          </rPr>
          <t xml:space="preserve">
</t>
        </r>
      </text>
    </comment>
    <comment ref="F3" authorId="1" shapeId="0" xr:uid="{029D2848-4C0A-6C40-BC92-17EEDEFAC71A}">
      <text>
        <r>
          <rPr>
            <b/>
            <sz val="9"/>
            <color indexed="81"/>
            <rFont val="Tahoma"/>
            <family val="2"/>
            <charset val="238"/>
          </rPr>
          <t>Vyplňte oblast F3:F20 kalendářní řadou s počátečním - dnešním datumem
Dále zajistěte, aby byly vidět v daných buňkách i dny v týdnu a letopočet...</t>
        </r>
      </text>
    </comment>
  </commentList>
</comments>
</file>

<file path=xl/sharedStrings.xml><?xml version="1.0" encoding="utf-8"?>
<sst xmlns="http://schemas.openxmlformats.org/spreadsheetml/2006/main" count="165" uniqueCount="142">
  <si>
    <t>Výborně, výška řádku je upravena správně</t>
  </si>
  <si>
    <t>Výborně!
Máte pro 
Excel
talent!</t>
  </si>
  <si>
    <t>Kašpar</t>
  </si>
  <si>
    <t>Jablko</t>
  </si>
  <si>
    <t>Melichar</t>
  </si>
  <si>
    <t>Baltazar</t>
  </si>
  <si>
    <t>Měli pralidé ve svých prasešitech pralinky?</t>
  </si>
  <si>
    <t>Jaro</t>
  </si>
  <si>
    <t>Léto</t>
  </si>
  <si>
    <t>Podzim</t>
  </si>
  <si>
    <t>Zima</t>
  </si>
  <si>
    <t>2. Skryjte sloupec G a řádek 10.</t>
  </si>
  <si>
    <t>4. Vložte do tohoto sešitu nový list. Pojmenujte jej "Ukrytý list" a skryjte jej.</t>
  </si>
  <si>
    <t xml:space="preserve">1. Zobrazte skrytý sloupec C a skrytý řádek 9. </t>
  </si>
  <si>
    <t>3. Vytvořte kopii tohoto listu a umístěte jí tak, aby byla 2. v pořadí za 1. listem a současně před ostatními listy.</t>
  </si>
  <si>
    <t>žánr</t>
  </si>
  <si>
    <t>r. 1994</t>
  </si>
  <si>
    <t>r. 1995</t>
  </si>
  <si>
    <t>r. 1996</t>
  </si>
  <si>
    <t>r. 1997</t>
  </si>
  <si>
    <t>r. 1998</t>
  </si>
  <si>
    <t>součet</t>
  </si>
  <si>
    <t>sci-fi</t>
  </si>
  <si>
    <t>detektivky</t>
  </si>
  <si>
    <t>westerny</t>
  </si>
  <si>
    <t>počítačové</t>
  </si>
  <si>
    <t>ostatní</t>
  </si>
  <si>
    <t>Do buněk  A4, G4, B9, G9 vložte komentář s popisem, co buňky obsahují</t>
  </si>
  <si>
    <t>Nastavte trvalé zobrazení komentářů</t>
  </si>
  <si>
    <t>Umístěte komentáře tak, aby nezakrývaly tabulku</t>
  </si>
  <si>
    <t>Vložte do tabulky komentáře podle pokynů uvedených pod tabulkou.</t>
  </si>
  <si>
    <t>Změňte písmo v komentářích na Times New Roman, velikost 12 a zarovnejte text komentářů na střed</t>
  </si>
  <si>
    <t>Vyplňte sloupce A, B, C a D až po buňku v řádku 10 (včetně) obsahem podle pokynů zapsaných v komentářích buněk v řádku 3.</t>
  </si>
  <si>
    <t>Praha</t>
  </si>
  <si>
    <t>země</t>
  </si>
  <si>
    <t>hlavní město</t>
  </si>
  <si>
    <t>Česká republika</t>
  </si>
  <si>
    <t>Zboží</t>
  </si>
  <si>
    <t xml:space="preserve">Cena </t>
  </si>
  <si>
    <t>Kleště</t>
  </si>
  <si>
    <t>Kladívko</t>
  </si>
  <si>
    <t>Šroubovák</t>
  </si>
  <si>
    <t>Nebozez</t>
  </si>
  <si>
    <t>Pilník</t>
  </si>
  <si>
    <t>Snížit o:</t>
  </si>
  <si>
    <t>Zvýšit o:</t>
  </si>
  <si>
    <t>Pojmenujte buňku A1 jako Titulek</t>
  </si>
  <si>
    <t>Pojmenujte oblast A9:G9 jako Součty</t>
  </si>
  <si>
    <t>Pojmenujte oblast A3:G9 jako Tabulka</t>
  </si>
  <si>
    <t>JMÉNO/TÉMA</t>
  </si>
  <si>
    <t>U dané tabulky proveďte následující úpravy:</t>
  </si>
  <si>
    <t>LEDEN</t>
  </si>
  <si>
    <t>ÚNOR</t>
  </si>
  <si>
    <t>Pomocí stavového řádku zjistěte z tabulky:</t>
  </si>
  <si>
    <t>POČET PRODANÝCH BALENÍ</t>
  </si>
  <si>
    <t>Datum</t>
  </si>
  <si>
    <t>Novák</t>
  </si>
  <si>
    <t>Drábek</t>
  </si>
  <si>
    <t>Kolouch</t>
  </si>
  <si>
    <t>Upravte výšku řádků a šířku sloupců tak, aby byl dostupný text v řádku 10 a ve sloupci E.</t>
  </si>
  <si>
    <t>3. zužte sloupce se známkami studentů (číselnými hodnotami) na polovinu.</t>
  </si>
  <si>
    <r>
      <t xml:space="preserve">Pomocí funkce </t>
    </r>
    <r>
      <rPr>
        <b/>
        <i/>
        <sz val="12"/>
        <color indexed="10"/>
        <rFont val="Arial CE"/>
        <family val="2"/>
        <charset val="238"/>
      </rPr>
      <t>Vložit jinak</t>
    </r>
    <r>
      <rPr>
        <b/>
        <sz val="12"/>
        <color indexed="10"/>
        <rFont val="Arial CE"/>
        <family val="2"/>
        <charset val="238"/>
      </rPr>
      <t xml:space="preserve"> upravte ceny zboží ve sloupci B o hodnoty ze sloupců D, E.</t>
    </r>
  </si>
  <si>
    <t>Pojmenujte oblasti tabulky podle pokynů uvedených pod tabulkou.</t>
  </si>
  <si>
    <t>1. celkové množství prodaných balení.</t>
  </si>
  <si>
    <t>2. průměrné množství prodaných balení.</t>
  </si>
  <si>
    <t>3. největší množství prodaných balení.</t>
  </si>
  <si>
    <t>4. nejmenší množství prodaných balení.</t>
  </si>
  <si>
    <t>středa</t>
  </si>
  <si>
    <t>vzor:</t>
  </si>
  <si>
    <r>
      <t xml:space="preserve">Ve dvojicích sloupců B a C, E a F, H a I vytvořte od řádku 8 níže 3 kalendářní řady tak, aby jednotlivé dny byly v tomto formátu: 1.leden 2003 středa. Datum bude situováno v 1. sloupci dvojice, název dne ve 2. sloupci dvojice. Kalendářní rady ukončete vždy posledním dnem měsíce. Formát kalendáře prvního čtvrtletí roku 2003 vytvořeného z kalendářních řad nastavte jednotně podle vzoru v oblasti B3:C4 (oblast je nazvána </t>
    </r>
    <r>
      <rPr>
        <b/>
        <i/>
        <sz val="12"/>
        <color indexed="10"/>
        <rFont val="Arial"/>
        <family val="2"/>
        <charset val="238"/>
      </rPr>
      <t>vzor</t>
    </r>
    <r>
      <rPr>
        <b/>
        <sz val="12"/>
        <color indexed="10"/>
        <rFont val="Arial"/>
        <family val="2"/>
      </rPr>
      <t>).</t>
    </r>
  </si>
  <si>
    <t>(využijte poklep na patřičném rozhraní sloupce/řádku)</t>
  </si>
  <si>
    <t>4. celé tabulce definujte vnitřní ohraničení červenou tenkou čarou</t>
  </si>
  <si>
    <t>5. celé tabulce definujte střídání světle šedých a bílých řádků</t>
  </si>
  <si>
    <t xml:space="preserve">Vytvořte vlastní řady tak, že sloupce A a B vyplníte názvy zemí sousedících s Českou republikou a jmény jejich hlavních měst. </t>
  </si>
  <si>
    <t>Výsledky zapište postupně v příslušném pořadí do žlutě vybarvených buněk sloupce I.</t>
  </si>
  <si>
    <t>V rozmezí červeného ohraničení vytvořte čtvercové buňky o straně 25 pixelů</t>
  </si>
  <si>
    <t>Vyplňte čtvercové buňky výplní vzoru šachovnice - střídání žlutých a červených polí.</t>
  </si>
  <si>
    <t>1. pro buňky prvního sloupce tabulky (A10:A37) použijte žlutou barvu výplně (stínování).</t>
  </si>
  <si>
    <t>6. nad tabulkou (řádek 9) slučte buňky do společného záhlaví sloupců, vhodně upravte výšku řádku a nazvěte: "dosažené známky"</t>
  </si>
  <si>
    <t>Do oblasti  B27:G34 přeneste z B7:G14 pouze formát buněk</t>
  </si>
  <si>
    <t>Do oblasti  B37:G44 přeneste z B7:G14 pouze obsah buněk</t>
  </si>
  <si>
    <t>Příjmení</t>
  </si>
  <si>
    <t>Jméno</t>
  </si>
  <si>
    <t>Datum narození</t>
  </si>
  <si>
    <t>Obor</t>
  </si>
  <si>
    <t>Ročník</t>
  </si>
  <si>
    <t>Šimečka</t>
  </si>
  <si>
    <t>Karel</t>
  </si>
  <si>
    <t>B IT</t>
  </si>
  <si>
    <t>Svobodová</t>
  </si>
  <si>
    <t>Klára</t>
  </si>
  <si>
    <t>Lejtner</t>
  </si>
  <si>
    <t>Alois</t>
  </si>
  <si>
    <t>Pokorná</t>
  </si>
  <si>
    <t>Adéla</t>
  </si>
  <si>
    <t>Levandulová</t>
  </si>
  <si>
    <t>Běta</t>
  </si>
  <si>
    <t>Novotný</t>
  </si>
  <si>
    <t>Emil</t>
  </si>
  <si>
    <t>Zimečková</t>
  </si>
  <si>
    <t>Zlata</t>
  </si>
  <si>
    <t>učitel</t>
  </si>
  <si>
    <t>ředitel</t>
  </si>
  <si>
    <t>zástupce</t>
  </si>
  <si>
    <t>školník</t>
  </si>
  <si>
    <t>uklízečka</t>
  </si>
  <si>
    <t>kuchařka</t>
  </si>
  <si>
    <t>poradce</t>
  </si>
  <si>
    <t>sekretářka</t>
  </si>
  <si>
    <t>účetní</t>
  </si>
  <si>
    <t>opravář</t>
  </si>
  <si>
    <t>Importujte řady ve sloupcích A, B a G jako vlastní seznamy.</t>
  </si>
  <si>
    <t>Přeneste formát z tabulky B7:G14 na tabulku B17:G24   (Kopírovat formát nebo Vložit jinak…)</t>
  </si>
  <si>
    <t>2. text v buňkách prvního sloupce tabulky (A10:A37) rozdělte do dvou sloupců - oddělte příjmení od křestního jména</t>
  </si>
  <si>
    <t>Beneš Kamil</t>
  </si>
  <si>
    <t>Benešová Eva</t>
  </si>
  <si>
    <t>Beranová Petra</t>
  </si>
  <si>
    <t>Brožek Jindřich</t>
  </si>
  <si>
    <t>Devátý Zdeněk</t>
  </si>
  <si>
    <t>Dítě Ladislav</t>
  </si>
  <si>
    <t>Gumal Jan</t>
  </si>
  <si>
    <t>Halas Daniel</t>
  </si>
  <si>
    <t>Havlíček Jan</t>
  </si>
  <si>
    <t>Hezoučký Petr</t>
  </si>
  <si>
    <t>Koukol Milan</t>
  </si>
  <si>
    <t>Liška Stanislav</t>
  </si>
  <si>
    <t>Ludvíková Leona</t>
  </si>
  <si>
    <t>Malá Hana</t>
  </si>
  <si>
    <t>Martínek Ivo</t>
  </si>
  <si>
    <t>Matásek Jiří</t>
  </si>
  <si>
    <t>Navrátil Miroslav</t>
  </si>
  <si>
    <t>Novák František</t>
  </si>
  <si>
    <t>Nováková Naděžda</t>
  </si>
  <si>
    <t>Peterka Jan</t>
  </si>
  <si>
    <t>Souček Jiří</t>
  </si>
  <si>
    <t>Stará Jana</t>
  </si>
  <si>
    <t>Syrová Leopolda</t>
  </si>
  <si>
    <t>Tejnský Robert</t>
  </si>
  <si>
    <t>Trávníček Jaromír</t>
  </si>
  <si>
    <t>Tůmová Jana</t>
  </si>
  <si>
    <t>Urbánková Jarmila</t>
  </si>
  <si>
    <t>Zaoral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</si>
</sst>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5]d/mmm/yy;@"/>
    <numFmt numFmtId="166" formatCode="[$-F800]dddd\,\ mmmm\ dd\,\ yyyy"/>
    <numFmt numFmtId="167" formatCode="m/d/yyyy;@"/>
  </numFmts>
  <fonts count="34">
    <font>
      <sz val="10"/>
      <name val="Arial CE"/>
      <family val="2"/>
      <charset val="238"/>
    </font>
    <font>
      <sz val="10"/>
      <name val="Arial CE"/>
      <charset val="238"/>
    </font>
    <font>
      <b/>
      <sz val="12"/>
      <name val="Arial CE"/>
      <family val="2"/>
      <charset val="238"/>
    </font>
    <font>
      <sz val="50"/>
      <name val="Arial CE"/>
      <family val="2"/>
      <charset val="238"/>
    </font>
    <font>
      <sz val="30"/>
      <name val="Arial CE"/>
      <family val="2"/>
      <charset val="238"/>
    </font>
    <font>
      <b/>
      <i/>
      <sz val="10"/>
      <name val="Arial CE"/>
      <family val="2"/>
      <charset val="238"/>
    </font>
    <font>
      <b/>
      <sz val="12"/>
      <color indexed="10"/>
      <name val="Arial CE"/>
      <family val="2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sz val="10"/>
      <color indexed="10"/>
      <name val="Arial CE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b/>
      <i/>
      <sz val="8"/>
      <color indexed="81"/>
      <name val="Tahoma"/>
      <family val="2"/>
    </font>
    <font>
      <b/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b/>
      <sz val="12"/>
      <color indexed="10"/>
      <name val="Arial"/>
      <family val="2"/>
    </font>
    <font>
      <b/>
      <sz val="10"/>
      <color indexed="51"/>
      <name val="Arial"/>
      <family val="2"/>
      <charset val="238"/>
    </font>
    <font>
      <b/>
      <sz val="10"/>
      <color indexed="62"/>
      <name val="Arial"/>
      <family val="2"/>
      <charset val="238"/>
    </font>
    <font>
      <b/>
      <sz val="14"/>
      <color indexed="10"/>
      <name val="Arial"/>
      <family val="2"/>
      <charset val="238"/>
    </font>
    <font>
      <b/>
      <i/>
      <sz val="12"/>
      <color indexed="10"/>
      <name val="Arial CE"/>
      <family val="2"/>
      <charset val="238"/>
    </font>
    <font>
      <b/>
      <i/>
      <sz val="12"/>
      <color indexed="10"/>
      <name val="Arial"/>
      <family val="2"/>
      <charset val="238"/>
    </font>
    <font>
      <b/>
      <sz val="10"/>
      <name val="Arial CE"/>
      <charset val="238"/>
    </font>
    <font>
      <b/>
      <sz val="9"/>
      <color indexed="81"/>
      <name val="Tahoma"/>
      <family val="2"/>
      <charset val="238"/>
    </font>
    <font>
      <i/>
      <sz val="10"/>
      <name val="Arial CE"/>
      <charset val="238"/>
    </font>
    <font>
      <sz val="14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i/>
      <sz val="10"/>
      <color rgb="FF000000"/>
      <name val="Arial"/>
      <family val="2"/>
      <charset val="238"/>
    </font>
    <font>
      <sz val="10"/>
      <color rgb="FFFF0000"/>
      <name val="Arial CE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  <font>
      <sz val="8"/>
      <color rgb="FF000000"/>
      <name val="Tahom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9CB9C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dotted">
        <color rgb="FF0000FF"/>
      </left>
      <right style="dotted">
        <color rgb="FF0000FF"/>
      </right>
      <top style="thin">
        <color rgb="FFFF0000"/>
      </top>
      <bottom style="dotted">
        <color rgb="FF0000FF"/>
      </bottom>
      <diagonal/>
    </border>
    <border>
      <left style="dotted">
        <color rgb="FF0000FF"/>
      </left>
      <right style="thin">
        <color rgb="FFFF0000"/>
      </right>
      <top style="thin">
        <color rgb="FFFF0000"/>
      </top>
      <bottom style="dotted">
        <color rgb="FF0000FF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dotted">
        <color rgb="FF0000FF"/>
      </right>
      <top style="dotted">
        <color rgb="FF0000FF"/>
      </top>
      <bottom style="dotted">
        <color rgb="FF0000FF"/>
      </bottom>
      <diagonal/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  <diagonal/>
    </border>
    <border>
      <left style="dotted">
        <color rgb="FF0000FF"/>
      </left>
      <right style="thin">
        <color rgb="FFFF0000"/>
      </right>
      <top style="dotted">
        <color rgb="FF0000FF"/>
      </top>
      <bottom style="dotted">
        <color rgb="FF0000FF"/>
      </bottom>
      <diagonal/>
    </border>
    <border>
      <left style="thin">
        <color rgb="FFFF0000"/>
      </left>
      <right style="dotted">
        <color rgb="FF0000FF"/>
      </right>
      <top style="dotted">
        <color rgb="FF0000FF"/>
      </top>
      <bottom style="thin">
        <color rgb="FFFF0000"/>
      </bottom>
      <diagonal/>
    </border>
    <border>
      <left style="dotted">
        <color rgb="FF0000FF"/>
      </left>
      <right style="dotted">
        <color rgb="FF0000FF"/>
      </right>
      <top style="dotted">
        <color rgb="FF0000FF"/>
      </top>
      <bottom style="thin">
        <color rgb="FFFF0000"/>
      </bottom>
      <diagonal/>
    </border>
    <border>
      <left style="dotted">
        <color rgb="FF0000FF"/>
      </left>
      <right style="thin">
        <color rgb="FFFF0000"/>
      </right>
      <top style="dotted">
        <color rgb="FF0000FF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 diagonalUp="1" diagonalDown="1">
      <left style="thin">
        <color rgb="FFFF0000"/>
      </left>
      <right style="dotted">
        <color rgb="FF0000FF"/>
      </right>
      <top style="thin">
        <color rgb="FFFF0000"/>
      </top>
      <bottom style="dotted">
        <color rgb="FF0000FF"/>
      </bottom>
      <diagonal style="thick">
        <color rgb="FF0070C0"/>
      </diagonal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</borders>
  <cellStyleXfs count="10">
    <xf numFmtId="0" fontId="0" fillId="0" borderId="0"/>
    <xf numFmtId="0" fontId="1" fillId="0" borderId="0"/>
    <xf numFmtId="0" fontId="8" fillId="0" borderId="0"/>
    <xf numFmtId="0" fontId="9" fillId="0" borderId="0"/>
    <xf numFmtId="0" fontId="8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2" fillId="2" borderId="1">
      <alignment horizontal="center"/>
    </xf>
  </cellStyleXfs>
  <cellXfs count="95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9" fillId="0" borderId="0" xfId="8"/>
    <xf numFmtId="0" fontId="10" fillId="0" borderId="0" xfId="4" applyFont="1"/>
    <xf numFmtId="0" fontId="8" fillId="0" borderId="0" xfId="4"/>
    <xf numFmtId="0" fontId="7" fillId="0" borderId="0" xfId="4" applyFont="1"/>
    <xf numFmtId="0" fontId="7" fillId="0" borderId="0" xfId="4" applyFont="1" applyAlignment="1">
      <alignment horizontal="center"/>
    </xf>
    <xf numFmtId="0" fontId="6" fillId="0" borderId="0" xfId="2" applyFont="1"/>
    <xf numFmtId="15" fontId="8" fillId="0" borderId="0" xfId="4" applyNumberFormat="1"/>
    <xf numFmtId="0" fontId="5" fillId="0" borderId="0" xfId="4" applyFont="1"/>
    <xf numFmtId="0" fontId="6" fillId="0" borderId="0" xfId="4" applyFont="1"/>
    <xf numFmtId="0" fontId="1" fillId="0" borderId="0" xfId="1"/>
    <xf numFmtId="0" fontId="5" fillId="0" borderId="0" xfId="1" applyFont="1"/>
    <xf numFmtId="0" fontId="6" fillId="0" borderId="0" xfId="1" applyFont="1"/>
    <xf numFmtId="0" fontId="1" fillId="0" borderId="0" xfId="5"/>
    <xf numFmtId="0" fontId="7" fillId="0" borderId="0" xfId="5" applyFont="1"/>
    <xf numFmtId="0" fontId="5" fillId="0" borderId="0" xfId="5" applyFont="1"/>
    <xf numFmtId="0" fontId="6" fillId="0" borderId="0" xfId="5" applyFont="1"/>
    <xf numFmtId="0" fontId="9" fillId="0" borderId="0" xfId="7"/>
    <xf numFmtId="0" fontId="15" fillId="0" borderId="0" xfId="7" applyFont="1"/>
    <xf numFmtId="0" fontId="17" fillId="0" borderId="0" xfId="7" applyFont="1"/>
    <xf numFmtId="0" fontId="14" fillId="0" borderId="0" xfId="6" applyFont="1"/>
    <xf numFmtId="0" fontId="9" fillId="0" borderId="0" xfId="6"/>
    <xf numFmtId="0" fontId="18" fillId="3" borderId="0" xfId="6" applyFont="1" applyFill="1"/>
    <xf numFmtId="0" fontId="9" fillId="3" borderId="0" xfId="6" applyFill="1"/>
    <xf numFmtId="164" fontId="19" fillId="4" borderId="2" xfId="6" applyNumberFormat="1" applyFont="1" applyFill="1" applyBorder="1"/>
    <xf numFmtId="0" fontId="17" fillId="0" borderId="0" xfId="6" applyFont="1"/>
    <xf numFmtId="0" fontId="17" fillId="0" borderId="0" xfId="3" applyFont="1"/>
    <xf numFmtId="0" fontId="9" fillId="0" borderId="0" xfId="3"/>
    <xf numFmtId="0" fontId="9" fillId="4" borderId="3" xfId="3" applyFill="1" applyBorder="1" applyAlignment="1">
      <alignment horizontal="center"/>
    </xf>
    <xf numFmtId="0" fontId="9" fillId="4" borderId="4" xfId="3" applyFill="1" applyBorder="1" applyAlignment="1">
      <alignment horizontal="center"/>
    </xf>
    <xf numFmtId="0" fontId="15" fillId="4" borderId="4" xfId="3" applyFont="1" applyFill="1" applyBorder="1" applyAlignment="1">
      <alignment horizontal="center"/>
    </xf>
    <xf numFmtId="0" fontId="15" fillId="4" borderId="5" xfId="3" applyFont="1" applyFill="1" applyBorder="1" applyAlignment="1">
      <alignment horizontal="center"/>
    </xf>
    <xf numFmtId="14" fontId="9" fillId="0" borderId="6" xfId="3" applyNumberFormat="1" applyBorder="1"/>
    <xf numFmtId="0" fontId="9" fillId="0" borderId="7" xfId="3" applyBorder="1"/>
    <xf numFmtId="0" fontId="9" fillId="0" borderId="7" xfId="3" applyBorder="1" applyAlignment="1">
      <alignment horizontal="center"/>
    </xf>
    <xf numFmtId="0" fontId="9" fillId="0" borderId="8" xfId="3" applyBorder="1" applyAlignment="1">
      <alignment horizontal="center"/>
    </xf>
    <xf numFmtId="14" fontId="9" fillId="0" borderId="9" xfId="3" applyNumberFormat="1" applyBorder="1"/>
    <xf numFmtId="0" fontId="9" fillId="0" borderId="10" xfId="3" applyBorder="1"/>
    <xf numFmtId="0" fontId="9" fillId="0" borderId="10" xfId="3" applyBorder="1" applyAlignment="1">
      <alignment horizontal="center"/>
    </xf>
    <xf numFmtId="0" fontId="9" fillId="0" borderId="11" xfId="3" applyBorder="1" applyAlignment="1">
      <alignment horizontal="center"/>
    </xf>
    <xf numFmtId="14" fontId="9" fillId="0" borderId="12" xfId="3" applyNumberFormat="1" applyBorder="1"/>
    <xf numFmtId="0" fontId="9" fillId="0" borderId="13" xfId="3" applyBorder="1"/>
    <xf numFmtId="0" fontId="9" fillId="0" borderId="13" xfId="3" applyBorder="1" applyAlignment="1">
      <alignment horizontal="center"/>
    </xf>
    <xf numFmtId="0" fontId="9" fillId="0" borderId="14" xfId="3" applyBorder="1" applyAlignment="1">
      <alignment horizontal="center"/>
    </xf>
    <xf numFmtId="166" fontId="15" fillId="4" borderId="15" xfId="6" applyNumberFormat="1" applyFont="1" applyFill="1" applyBorder="1"/>
    <xf numFmtId="0" fontId="23" fillId="0" borderId="0" xfId="1" applyFont="1"/>
    <xf numFmtId="0" fontId="9" fillId="5" borderId="10" xfId="3" applyFill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27" fillId="6" borderId="21" xfId="0" applyFont="1" applyFill="1" applyBorder="1" applyAlignment="1">
      <alignment horizontal="center" vertical="center" wrapText="1"/>
    </xf>
    <xf numFmtId="0" fontId="27" fillId="6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wrapText="1"/>
    </xf>
    <xf numFmtId="0" fontId="28" fillId="7" borderId="24" xfId="0" applyFont="1" applyFill="1" applyBorder="1" applyAlignment="1">
      <alignment horizontal="center" wrapText="1"/>
    </xf>
    <xf numFmtId="0" fontId="0" fillId="8" borderId="25" xfId="0" applyFill="1" applyBorder="1" applyAlignment="1">
      <alignment wrapText="1"/>
    </xf>
    <xf numFmtId="167" fontId="0" fillId="8" borderId="25" xfId="0" applyNumberFormat="1" applyFill="1" applyBorder="1" applyAlignment="1">
      <alignment wrapText="1"/>
    </xf>
    <xf numFmtId="0" fontId="0" fillId="8" borderId="25" xfId="0" applyFill="1" applyBorder="1" applyAlignment="1">
      <alignment horizontal="center" wrapText="1"/>
    </xf>
    <xf numFmtId="0" fontId="0" fillId="8" borderId="26" xfId="0" applyFill="1" applyBorder="1" applyAlignment="1">
      <alignment horizontal="center" wrapText="1"/>
    </xf>
    <xf numFmtId="0" fontId="28" fillId="7" borderId="27" xfId="0" applyFont="1" applyFill="1" applyBorder="1" applyAlignment="1">
      <alignment horizontal="center" wrapText="1"/>
    </xf>
    <xf numFmtId="0" fontId="0" fillId="8" borderId="28" xfId="0" applyFill="1" applyBorder="1" applyAlignment="1">
      <alignment wrapText="1"/>
    </xf>
    <xf numFmtId="167" fontId="0" fillId="8" borderId="28" xfId="0" applyNumberFormat="1" applyFill="1" applyBorder="1" applyAlignment="1">
      <alignment wrapText="1"/>
    </xf>
    <xf numFmtId="0" fontId="0" fillId="8" borderId="28" xfId="0" applyFill="1" applyBorder="1" applyAlignment="1">
      <alignment horizontal="center" wrapText="1"/>
    </xf>
    <xf numFmtId="0" fontId="0" fillId="8" borderId="29" xfId="0" applyFill="1" applyBorder="1" applyAlignment="1">
      <alignment horizontal="center" wrapText="1"/>
    </xf>
    <xf numFmtId="0" fontId="0" fillId="0" borderId="30" xfId="0" applyBorder="1" applyAlignment="1">
      <alignment wrapText="1"/>
    </xf>
    <xf numFmtId="0" fontId="0" fillId="0" borderId="0" xfId="0" applyAlignment="1">
      <alignment horizontal="center" wrapText="1"/>
    </xf>
    <xf numFmtId="0" fontId="25" fillId="8" borderId="25" xfId="0" applyFont="1" applyFill="1" applyBorder="1" applyAlignment="1">
      <alignment wrapText="1"/>
    </xf>
    <xf numFmtId="0" fontId="25" fillId="8" borderId="28" xfId="0" applyFont="1" applyFill="1" applyBorder="1" applyAlignment="1">
      <alignment wrapText="1"/>
    </xf>
    <xf numFmtId="0" fontId="0" fillId="9" borderId="31" xfId="0" applyFill="1" applyBorder="1" applyAlignment="1">
      <alignment wrapText="1"/>
    </xf>
    <xf numFmtId="0" fontId="0" fillId="0" borderId="0" xfId="4" applyFont="1"/>
    <xf numFmtId="0" fontId="26" fillId="0" borderId="0" xfId="7" applyFont="1" applyAlignment="1">
      <alignment horizontal="center" vertical="center"/>
    </xf>
    <xf numFmtId="0" fontId="9" fillId="0" borderId="0" xfId="7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16" fillId="0" borderId="0" xfId="7" applyNumberFormat="1" applyFont="1"/>
    <xf numFmtId="0" fontId="29" fillId="0" borderId="32" xfId="0" applyFont="1" applyBorder="1"/>
    <xf numFmtId="0" fontId="0" fillId="0" borderId="33" xfId="0" applyBorder="1"/>
    <xf numFmtId="0" fontId="29" fillId="0" borderId="33" xfId="0" applyFont="1" applyBorder="1"/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29" fillId="0" borderId="34" xfId="0" applyFont="1" applyBorder="1"/>
    <xf numFmtId="0" fontId="29" fillId="0" borderId="0" xfId="0" applyFont="1"/>
    <xf numFmtId="0" fontId="29" fillId="0" borderId="39" xfId="0" applyFont="1" applyBorder="1"/>
    <xf numFmtId="0" fontId="0" fillId="0" borderId="37" xfId="0" applyBorder="1"/>
    <xf numFmtId="0" fontId="29" fillId="0" borderId="37" xfId="0" applyFont="1" applyBorder="1"/>
    <xf numFmtId="0" fontId="0" fillId="0" borderId="38" xfId="0" applyBorder="1"/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20" fillId="4" borderId="16" xfId="3" applyFont="1" applyFill="1" applyBorder="1" applyAlignment="1">
      <alignment horizontal="center"/>
    </xf>
    <xf numFmtId="0" fontId="20" fillId="4" borderId="17" xfId="3" applyFont="1" applyFill="1" applyBorder="1" applyAlignment="1">
      <alignment horizontal="center"/>
    </xf>
    <xf numFmtId="0" fontId="20" fillId="4" borderId="18" xfId="3" applyFont="1" applyFill="1" applyBorder="1" applyAlignment="1">
      <alignment horizontal="center"/>
    </xf>
  </cellXfs>
  <cellStyles count="10">
    <cellStyle name="Normální" xfId="0" builtinId="0"/>
    <cellStyle name="normální_Bunky" xfId="1" xr:uid="{DB0A6A0B-A80C-C84E-B6A2-FD9524A7D200}"/>
    <cellStyle name="normální_Cvičná tabulka 1" xfId="2" xr:uid="{D42A7FBF-CA5D-8048-A373-B9D23BD09988}"/>
    <cellStyle name="normální_informace" xfId="3" xr:uid="{47C25E78-4ADF-4E4C-A5CB-CE0A47EF5F9D}"/>
    <cellStyle name="normální_Pokusný sešit 1" xfId="4" xr:uid="{CBF879AC-BFDC-454C-8388-CCEF09CFC5D1}"/>
    <cellStyle name="normální_Pokusný sešit 1_1" xfId="5" xr:uid="{50228424-30B3-B048-AED4-C80154E55456}"/>
    <cellStyle name="normální_s_kalendar" xfId="6" xr:uid="{53711DC0-2E82-EE41-81A0-4B7156BC3E82}"/>
    <cellStyle name="normální_s_vzhled" xfId="7" xr:uid="{F62AE894-A7B1-FB49-B3C3-5701D28F37A5}"/>
    <cellStyle name="normální_Sešit1" xfId="8" xr:uid="{D6F60872-8885-AF44-8B13-668755E1CCF8}"/>
    <cellStyle name="Nový styl" xfId="9" xr:uid="{C20A59B6-EF12-644F-885A-562289B75B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D84C-9BBE-1747-83EB-26B91CA93165}">
  <dimension ref="A1:K34"/>
  <sheetViews>
    <sheetView workbookViewId="0">
      <selection activeCell="B17" sqref="B17:G24"/>
    </sheetView>
  </sheetViews>
  <sheetFormatPr baseColWidth="10" defaultRowHeight="13"/>
  <cols>
    <col min="1" max="2" width="8.83203125" customWidth="1"/>
    <col min="3" max="3" width="13" customWidth="1"/>
    <col min="4" max="256" width="8.83203125" customWidth="1"/>
  </cols>
  <sheetData>
    <row r="1" spans="1:11" ht="23.25" customHeight="1">
      <c r="A1" s="90" t="s">
        <v>112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23.25" customHeight="1">
      <c r="A2" s="90" t="s">
        <v>79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ht="23.25" customHeight="1">
      <c r="A3" s="90" t="s">
        <v>80</v>
      </c>
      <c r="B3" s="90"/>
      <c r="C3" s="90"/>
      <c r="D3" s="90"/>
      <c r="E3" s="90"/>
      <c r="F3" s="90"/>
      <c r="G3" s="90"/>
      <c r="H3" s="90"/>
      <c r="I3" s="90"/>
      <c r="J3" s="90"/>
      <c r="K3" s="90"/>
    </row>
    <row r="4" spans="1:11" ht="16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16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</row>
    <row r="6" spans="1:11">
      <c r="A6" s="6"/>
      <c r="B6" s="53"/>
      <c r="C6" s="53"/>
      <c r="D6" s="53"/>
      <c r="E6" s="53"/>
      <c r="F6" s="53"/>
      <c r="G6" s="53"/>
      <c r="H6" s="6"/>
      <c r="I6" s="6"/>
      <c r="J6" s="6"/>
      <c r="K6" s="6"/>
    </row>
    <row r="7" spans="1:11" ht="39" customHeight="1">
      <c r="A7" s="54"/>
      <c r="B7" s="72"/>
      <c r="C7" s="55" t="s">
        <v>81</v>
      </c>
      <c r="D7" s="55" t="s">
        <v>82</v>
      </c>
      <c r="E7" s="55" t="s">
        <v>83</v>
      </c>
      <c r="F7" s="55" t="s">
        <v>84</v>
      </c>
      <c r="G7" s="56" t="s">
        <v>85</v>
      </c>
      <c r="H7" s="57"/>
      <c r="I7" s="6"/>
      <c r="J7" s="6"/>
      <c r="K7" s="6"/>
    </row>
    <row r="8" spans="1:11" ht="17.25" customHeight="1">
      <c r="A8" s="54"/>
      <c r="B8" s="58">
        <v>1</v>
      </c>
      <c r="C8" s="59" t="s">
        <v>86</v>
      </c>
      <c r="D8" s="70" t="s">
        <v>87</v>
      </c>
      <c r="E8" s="60">
        <v>32551</v>
      </c>
      <c r="F8" s="61" t="s">
        <v>88</v>
      </c>
      <c r="G8" s="62">
        <v>1</v>
      </c>
      <c r="H8" s="57"/>
      <c r="I8" s="6"/>
      <c r="J8" s="6"/>
      <c r="K8" s="6"/>
    </row>
    <row r="9" spans="1:11" ht="17.25" customHeight="1">
      <c r="A9" s="54"/>
      <c r="B9" s="58">
        <v>2</v>
      </c>
      <c r="C9" s="59" t="s">
        <v>89</v>
      </c>
      <c r="D9" s="70" t="s">
        <v>90</v>
      </c>
      <c r="E9" s="60">
        <v>33740</v>
      </c>
      <c r="F9" s="61" t="s">
        <v>88</v>
      </c>
      <c r="G9" s="62">
        <v>1</v>
      </c>
      <c r="H9" s="57"/>
      <c r="I9" s="6"/>
      <c r="J9" s="6"/>
      <c r="K9" s="6"/>
    </row>
    <row r="10" spans="1:11" ht="17.25" customHeight="1">
      <c r="A10" s="54"/>
      <c r="B10" s="58">
        <v>3</v>
      </c>
      <c r="C10" s="59" t="s">
        <v>91</v>
      </c>
      <c r="D10" s="70" t="s">
        <v>92</v>
      </c>
      <c r="E10" s="60">
        <v>34096</v>
      </c>
      <c r="F10" s="61" t="s">
        <v>88</v>
      </c>
      <c r="G10" s="62">
        <v>1</v>
      </c>
      <c r="H10" s="57"/>
      <c r="I10" s="6"/>
      <c r="J10" s="6"/>
      <c r="K10" s="6"/>
    </row>
    <row r="11" spans="1:11" ht="17.25" customHeight="1">
      <c r="A11" s="54"/>
      <c r="B11" s="58">
        <v>4</v>
      </c>
      <c r="C11" s="59" t="s">
        <v>93</v>
      </c>
      <c r="D11" s="70" t="s">
        <v>94</v>
      </c>
      <c r="E11" s="60">
        <v>34028</v>
      </c>
      <c r="F11" s="61" t="s">
        <v>88</v>
      </c>
      <c r="G11" s="62">
        <v>1</v>
      </c>
      <c r="H11" s="57"/>
      <c r="I11" s="6"/>
      <c r="J11" s="6"/>
      <c r="K11" s="6"/>
    </row>
    <row r="12" spans="1:11" ht="17.25" customHeight="1">
      <c r="A12" s="54"/>
      <c r="B12" s="58">
        <v>5</v>
      </c>
      <c r="C12" s="59" t="s">
        <v>95</v>
      </c>
      <c r="D12" s="70" t="s">
        <v>96</v>
      </c>
      <c r="E12" s="60">
        <v>33643</v>
      </c>
      <c r="F12" s="61" t="s">
        <v>88</v>
      </c>
      <c r="G12" s="62">
        <v>1</v>
      </c>
      <c r="H12" s="57"/>
      <c r="I12" s="6"/>
      <c r="J12" s="6"/>
      <c r="K12" s="6"/>
    </row>
    <row r="13" spans="1:11" ht="17.25" customHeight="1">
      <c r="A13" s="54"/>
      <c r="B13" s="58">
        <v>6</v>
      </c>
      <c r="C13" s="59" t="s">
        <v>97</v>
      </c>
      <c r="D13" s="70" t="s">
        <v>98</v>
      </c>
      <c r="E13" s="60">
        <v>33860</v>
      </c>
      <c r="F13" s="61" t="s">
        <v>88</v>
      </c>
      <c r="G13" s="62">
        <v>1</v>
      </c>
      <c r="H13" s="57"/>
      <c r="I13" s="6"/>
      <c r="J13" s="6"/>
      <c r="K13" s="6"/>
    </row>
    <row r="14" spans="1:11" ht="17.25" customHeight="1">
      <c r="A14" s="54"/>
      <c r="B14" s="63">
        <v>7</v>
      </c>
      <c r="C14" s="64" t="s">
        <v>99</v>
      </c>
      <c r="D14" s="71" t="s">
        <v>100</v>
      </c>
      <c r="E14" s="65">
        <v>34342</v>
      </c>
      <c r="F14" s="66" t="s">
        <v>88</v>
      </c>
      <c r="G14" s="67">
        <v>1</v>
      </c>
      <c r="H14" s="57"/>
      <c r="I14" s="6"/>
      <c r="J14" s="6"/>
      <c r="K14" s="6"/>
    </row>
    <row r="15" spans="1:11">
      <c r="A15" s="6"/>
      <c r="B15" s="68"/>
      <c r="C15" s="68"/>
      <c r="D15" s="68"/>
      <c r="E15" s="68"/>
      <c r="F15" s="68"/>
      <c r="G15" s="68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76"/>
      <c r="D17" s="76"/>
      <c r="E17" s="76"/>
      <c r="F17" s="76"/>
      <c r="G17" s="76"/>
      <c r="H17" s="6"/>
      <c r="I17" s="6"/>
      <c r="J17" s="6"/>
      <c r="K17" s="6"/>
    </row>
    <row r="18" spans="1:11">
      <c r="A18" s="6"/>
      <c r="B18" s="69"/>
      <c r="C18" s="6"/>
      <c r="D18" s="6"/>
      <c r="E18" s="6"/>
      <c r="F18" s="69"/>
      <c r="G18" s="69"/>
      <c r="H18" s="69"/>
      <c r="I18" s="6"/>
      <c r="J18" s="6"/>
      <c r="K18" s="6"/>
    </row>
    <row r="19" spans="1:11">
      <c r="A19" s="6"/>
      <c r="B19" s="69"/>
      <c r="C19" s="6"/>
      <c r="D19" s="6"/>
      <c r="E19" s="6"/>
      <c r="F19" s="69"/>
      <c r="G19" s="69"/>
      <c r="H19" s="69"/>
      <c r="I19" s="6"/>
      <c r="J19" s="6"/>
      <c r="K19" s="6"/>
    </row>
    <row r="20" spans="1:11">
      <c r="A20" s="6"/>
      <c r="B20" s="69"/>
      <c r="C20" s="6"/>
      <c r="D20" s="6"/>
      <c r="E20" s="6"/>
      <c r="F20" s="69"/>
      <c r="G20" s="69"/>
      <c r="H20" s="69"/>
      <c r="I20" s="6"/>
      <c r="J20" s="6"/>
      <c r="K20" s="6"/>
    </row>
    <row r="21" spans="1:11">
      <c r="A21" s="6"/>
      <c r="B21" s="69"/>
      <c r="C21" s="6"/>
      <c r="D21" s="6"/>
      <c r="E21" s="6"/>
      <c r="F21" s="69"/>
      <c r="G21" s="69"/>
      <c r="H21" s="69"/>
      <c r="I21" s="6"/>
      <c r="J21" s="6"/>
      <c r="K21" s="6"/>
    </row>
    <row r="22" spans="1:11">
      <c r="A22" s="6"/>
      <c r="B22" s="69"/>
      <c r="C22" s="6"/>
      <c r="D22" s="6"/>
      <c r="E22" s="6"/>
      <c r="F22" s="69"/>
      <c r="G22" s="69"/>
      <c r="H22" s="69"/>
      <c r="I22" s="6"/>
      <c r="J22" s="6"/>
      <c r="K22" s="6"/>
    </row>
    <row r="23" spans="1:11">
      <c r="A23" s="6"/>
      <c r="B23" s="69"/>
      <c r="C23" s="6"/>
      <c r="D23" s="6"/>
      <c r="E23" s="6"/>
      <c r="F23" s="69"/>
      <c r="G23" s="69"/>
      <c r="H23" s="69"/>
      <c r="I23" s="6"/>
      <c r="J23" s="6"/>
      <c r="K23" s="6"/>
    </row>
    <row r="24" spans="1:11">
      <c r="A24" s="6"/>
      <c r="B24" s="69"/>
      <c r="C24" s="6"/>
      <c r="D24" s="6"/>
      <c r="E24" s="6"/>
      <c r="F24" s="69"/>
      <c r="G24" s="69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B27" s="6"/>
      <c r="C27" s="76"/>
      <c r="D27" s="76"/>
      <c r="E27" s="76"/>
      <c r="F27" s="76"/>
      <c r="G27" s="76"/>
    </row>
    <row r="28" spans="1:11">
      <c r="B28" s="69"/>
      <c r="C28" s="6"/>
      <c r="D28" s="6"/>
      <c r="E28" s="6"/>
      <c r="F28" s="69"/>
      <c r="G28" s="69"/>
    </row>
    <row r="29" spans="1:11">
      <c r="B29" s="69"/>
      <c r="C29" s="6"/>
      <c r="D29" s="6"/>
      <c r="E29" s="6"/>
      <c r="F29" s="69"/>
      <c r="G29" s="69"/>
    </row>
    <row r="30" spans="1:11">
      <c r="B30" s="69"/>
      <c r="C30" s="6"/>
      <c r="D30" s="6"/>
      <c r="E30" s="6"/>
      <c r="F30" s="69"/>
      <c r="G30" s="69"/>
    </row>
    <row r="31" spans="1:11">
      <c r="B31" s="69"/>
      <c r="C31" s="6"/>
      <c r="D31" s="6"/>
      <c r="E31" s="6"/>
      <c r="F31" s="69"/>
      <c r="G31" s="69"/>
    </row>
    <row r="32" spans="1:11">
      <c r="B32" s="69"/>
      <c r="C32" s="6"/>
      <c r="D32" s="6"/>
      <c r="E32" s="6"/>
      <c r="F32" s="69"/>
      <c r="G32" s="69"/>
    </row>
    <row r="33" spans="2:7">
      <c r="B33" s="69"/>
      <c r="C33" s="6"/>
      <c r="D33" s="6"/>
      <c r="E33" s="6"/>
      <c r="F33" s="69"/>
      <c r="G33" s="69"/>
    </row>
    <row r="34" spans="2:7">
      <c r="B34" s="69"/>
      <c r="C34" s="6"/>
      <c r="D34" s="6"/>
      <c r="E34" s="6"/>
      <c r="F34" s="69"/>
      <c r="G34" s="69"/>
    </row>
  </sheetData>
  <mergeCells count="5">
    <mergeCell ref="A1:K1"/>
    <mergeCell ref="A2:K2"/>
    <mergeCell ref="A3:K3"/>
    <mergeCell ref="A4:K4"/>
    <mergeCell ref="A5:K5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6D5D-AFC2-5C47-A681-01F77D66FCA0}">
  <sheetPr codeName="List9"/>
  <dimension ref="A1:E16"/>
  <sheetViews>
    <sheetView zoomScaleNormal="100" workbookViewId="0">
      <selection activeCell="E12" sqref="E12"/>
    </sheetView>
  </sheetViews>
  <sheetFormatPr baseColWidth="10" defaultRowHeight="13"/>
  <cols>
    <col min="1" max="4" width="9.1640625" customWidth="1"/>
    <col min="5" max="5" width="3" customWidth="1"/>
    <col min="6" max="256" width="8.83203125" customWidth="1"/>
  </cols>
  <sheetData>
    <row r="1" spans="1:5" ht="16">
      <c r="A1" s="4" t="s">
        <v>59</v>
      </c>
    </row>
    <row r="2" spans="1:5" ht="16">
      <c r="A2" s="4" t="s">
        <v>70</v>
      </c>
    </row>
    <row r="9" spans="1:5" ht="14.25" customHeight="1"/>
    <row r="10" spans="1:5" ht="13" customHeight="1">
      <c r="A10" s="1" t="s">
        <v>0</v>
      </c>
    </row>
    <row r="12" spans="1:5" ht="37">
      <c r="E12" s="2">
        <f ca="1">TODAY()</f>
        <v>46297</v>
      </c>
    </row>
    <row r="16" spans="1:5">
      <c r="A16" s="3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FD70-E954-E04F-BFC0-97860F4F3210}">
  <sheetPr codeName="List10"/>
  <dimension ref="A1:I20"/>
  <sheetViews>
    <sheetView workbookViewId="0">
      <selection activeCell="I12" sqref="I12"/>
    </sheetView>
  </sheetViews>
  <sheetFormatPr baseColWidth="10" defaultRowHeight="13"/>
  <cols>
    <col min="1" max="2" width="8.83203125" customWidth="1"/>
    <col min="3" max="3" width="0" hidden="1" customWidth="1"/>
    <col min="4" max="6" width="8.83203125" customWidth="1"/>
    <col min="7" max="7" width="13" customWidth="1"/>
    <col min="8" max="256" width="8.83203125" customWidth="1"/>
  </cols>
  <sheetData>
    <row r="1" spans="1:9" ht="16">
      <c r="A1" s="4" t="s">
        <v>13</v>
      </c>
    </row>
    <row r="2" spans="1:9" ht="16">
      <c r="A2" s="4" t="s">
        <v>11</v>
      </c>
    </row>
    <row r="3" spans="1:9" ht="16">
      <c r="A3" s="4" t="s">
        <v>14</v>
      </c>
    </row>
    <row r="4" spans="1:9" ht="14.25" customHeight="1">
      <c r="A4" s="4" t="s">
        <v>12</v>
      </c>
      <c r="C4" s="6" t="s">
        <v>1</v>
      </c>
    </row>
    <row r="5" spans="1:9" ht="14.25" customHeight="1">
      <c r="C5" s="6"/>
    </row>
    <row r="6" spans="1:9">
      <c r="F6" t="s">
        <v>2</v>
      </c>
      <c r="G6" t="s">
        <v>3</v>
      </c>
      <c r="H6" t="s">
        <v>4</v>
      </c>
      <c r="I6" t="s">
        <v>5</v>
      </c>
    </row>
    <row r="9" spans="1:9" hidden="1">
      <c r="A9" s="5" t="s">
        <v>6</v>
      </c>
    </row>
    <row r="10" spans="1:9">
      <c r="A10" t="s">
        <v>7</v>
      </c>
    </row>
    <row r="11" spans="1:9">
      <c r="A11" t="s">
        <v>7</v>
      </c>
    </row>
    <row r="12" spans="1:9">
      <c r="A12" t="s">
        <v>8</v>
      </c>
    </row>
    <row r="13" spans="1:9">
      <c r="A13" t="s">
        <v>9</v>
      </c>
    </row>
    <row r="14" spans="1:9">
      <c r="A14" t="s">
        <v>10</v>
      </c>
    </row>
    <row r="20" spans="1:1">
      <c r="A20" s="3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9B4E-82BA-4149-B5D7-78E36541FF2A}">
  <dimension ref="A1:XFC37"/>
  <sheetViews>
    <sheetView workbookViewId="0">
      <selection activeCell="Y17" sqref="Y17"/>
    </sheetView>
  </sheetViews>
  <sheetFormatPr baseColWidth="10" defaultColWidth="9.1640625" defaultRowHeight="13"/>
  <cols>
    <col min="1" max="1" width="18.5" style="23" customWidth="1"/>
    <col min="22" max="16383" width="9.1640625" style="23"/>
  </cols>
  <sheetData>
    <row r="1" spans="1:20" ht="16">
      <c r="A1" s="25" t="s">
        <v>50</v>
      </c>
    </row>
    <row r="2" spans="1:20" ht="16">
      <c r="A2" s="25" t="s">
        <v>77</v>
      </c>
    </row>
    <row r="3" spans="1:20" ht="16">
      <c r="A3" s="25" t="s">
        <v>113</v>
      </c>
    </row>
    <row r="4" spans="1:20" ht="16">
      <c r="A4" s="25" t="s">
        <v>60</v>
      </c>
    </row>
    <row r="5" spans="1:20" ht="16">
      <c r="A5" s="25" t="s">
        <v>71</v>
      </c>
    </row>
    <row r="6" spans="1:20" ht="16">
      <c r="A6" s="25" t="s">
        <v>72</v>
      </c>
    </row>
    <row r="7" spans="1:20" ht="16">
      <c r="A7" s="25" t="s">
        <v>78</v>
      </c>
    </row>
    <row r="8" spans="1:20" ht="18">
      <c r="A8" s="74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</row>
    <row r="9" spans="1:20" s="24" customFormat="1">
      <c r="A9" s="24" t="s">
        <v>49</v>
      </c>
    </row>
    <row r="10" spans="1:20" ht="14">
      <c r="A10" s="77" t="s">
        <v>114</v>
      </c>
      <c r="B10" s="23">
        <v>1</v>
      </c>
      <c r="C10" s="23">
        <v>3</v>
      </c>
      <c r="D10" s="23">
        <v>3.5</v>
      </c>
      <c r="E10" s="23">
        <v>5</v>
      </c>
      <c r="F10" s="23">
        <v>3</v>
      </c>
      <c r="G10" s="23">
        <v>1</v>
      </c>
      <c r="H10" s="23"/>
      <c r="I10" s="23">
        <v>4</v>
      </c>
      <c r="J10" s="23">
        <v>1</v>
      </c>
      <c r="K10" s="23">
        <v>1</v>
      </c>
      <c r="L10" s="23">
        <v>3</v>
      </c>
      <c r="M10" s="23">
        <v>3.5</v>
      </c>
      <c r="N10" s="23">
        <v>5</v>
      </c>
      <c r="O10" s="23">
        <v>3</v>
      </c>
      <c r="P10" s="23">
        <v>1</v>
      </c>
      <c r="Q10" s="23">
        <v>3</v>
      </c>
      <c r="R10" s="23">
        <v>3.5</v>
      </c>
      <c r="S10" s="23">
        <v>5</v>
      </c>
      <c r="T10" s="23">
        <v>3</v>
      </c>
    </row>
    <row r="11" spans="1:20" ht="14">
      <c r="A11" s="77" t="s">
        <v>115</v>
      </c>
      <c r="B11" s="23">
        <v>3</v>
      </c>
      <c r="C11" s="23">
        <v>1</v>
      </c>
      <c r="D11" s="23">
        <v>2</v>
      </c>
      <c r="E11" s="23">
        <v>3</v>
      </c>
      <c r="F11" s="23">
        <v>1</v>
      </c>
      <c r="G11" s="23">
        <v>1</v>
      </c>
      <c r="H11" s="23">
        <v>2.5</v>
      </c>
      <c r="I11" s="23"/>
      <c r="J11" s="23">
        <v>1.5</v>
      </c>
      <c r="K11" s="23">
        <v>3</v>
      </c>
      <c r="L11" s="23">
        <v>1</v>
      </c>
      <c r="M11" s="23">
        <v>2</v>
      </c>
      <c r="N11" s="23">
        <v>3</v>
      </c>
      <c r="O11" s="23">
        <v>1</v>
      </c>
      <c r="P11" s="23">
        <v>3</v>
      </c>
      <c r="Q11" s="23">
        <v>1</v>
      </c>
      <c r="R11" s="23">
        <v>2</v>
      </c>
      <c r="S11" s="23">
        <v>3</v>
      </c>
      <c r="T11" s="23">
        <v>1</v>
      </c>
    </row>
    <row r="12" spans="1:20" ht="14">
      <c r="A12" s="77" t="s">
        <v>116</v>
      </c>
      <c r="B12" s="23">
        <v>5</v>
      </c>
      <c r="C12" s="23">
        <v>4</v>
      </c>
      <c r="D12" s="23">
        <v>5</v>
      </c>
      <c r="E12" s="23">
        <v>3.5</v>
      </c>
      <c r="F12" s="23">
        <v>3</v>
      </c>
      <c r="G12" s="23">
        <v>3.5</v>
      </c>
      <c r="H12" s="23"/>
      <c r="I12" s="23">
        <v>5</v>
      </c>
      <c r="J12" s="23">
        <v>4</v>
      </c>
      <c r="K12" s="23">
        <v>5</v>
      </c>
      <c r="L12" s="23">
        <v>4</v>
      </c>
      <c r="M12" s="23">
        <v>5</v>
      </c>
      <c r="N12" s="23">
        <v>3.5</v>
      </c>
      <c r="O12" s="23">
        <v>3</v>
      </c>
      <c r="P12" s="23">
        <v>5</v>
      </c>
      <c r="Q12" s="23">
        <v>4</v>
      </c>
      <c r="R12" s="23">
        <v>5</v>
      </c>
      <c r="S12" s="23">
        <v>3.5</v>
      </c>
      <c r="T12" s="23">
        <v>3</v>
      </c>
    </row>
    <row r="13" spans="1:20" ht="14">
      <c r="A13" s="77" t="s">
        <v>117</v>
      </c>
      <c r="B13" s="23">
        <v>2</v>
      </c>
      <c r="C13" s="23">
        <v>1.5</v>
      </c>
      <c r="D13" s="23">
        <v>1.5</v>
      </c>
      <c r="E13" s="23">
        <v>4</v>
      </c>
      <c r="F13" s="23">
        <v>3.5</v>
      </c>
      <c r="G13" s="23">
        <v>1</v>
      </c>
      <c r="H13" s="23"/>
      <c r="I13" s="23">
        <v>3</v>
      </c>
      <c r="J13" s="23">
        <v>1</v>
      </c>
      <c r="K13" s="23">
        <v>2</v>
      </c>
      <c r="L13" s="23">
        <v>1.5</v>
      </c>
      <c r="M13" s="23">
        <v>1.5</v>
      </c>
      <c r="N13" s="23">
        <v>4</v>
      </c>
      <c r="O13" s="23">
        <v>3.5</v>
      </c>
      <c r="P13" s="23">
        <v>2</v>
      </c>
      <c r="Q13" s="23">
        <v>1.5</v>
      </c>
      <c r="R13" s="23">
        <v>1.5</v>
      </c>
      <c r="S13" s="23">
        <v>4</v>
      </c>
      <c r="T13" s="23">
        <v>3.5</v>
      </c>
    </row>
    <row r="14" spans="1:20" ht="14">
      <c r="A14" s="77" t="s">
        <v>118</v>
      </c>
      <c r="B14" s="23">
        <v>3</v>
      </c>
      <c r="C14" s="23">
        <v>3.5</v>
      </c>
      <c r="D14" s="23">
        <v>4</v>
      </c>
      <c r="E14" s="23">
        <v>3</v>
      </c>
      <c r="F14" s="23">
        <v>1</v>
      </c>
      <c r="G14" s="23">
        <v>5</v>
      </c>
      <c r="H14" s="23"/>
      <c r="I14" s="23">
        <v>4</v>
      </c>
      <c r="J14" s="23">
        <v>3</v>
      </c>
      <c r="K14" s="23">
        <v>3</v>
      </c>
      <c r="L14" s="23">
        <v>3.5</v>
      </c>
      <c r="M14" s="23">
        <v>4</v>
      </c>
      <c r="N14" s="23">
        <v>3</v>
      </c>
      <c r="O14" s="23">
        <v>1</v>
      </c>
      <c r="P14" s="23">
        <v>3</v>
      </c>
      <c r="Q14" s="23">
        <v>3.5</v>
      </c>
      <c r="R14" s="23">
        <v>4</v>
      </c>
      <c r="S14" s="23">
        <v>3</v>
      </c>
      <c r="T14" s="23">
        <v>1</v>
      </c>
    </row>
    <row r="15" spans="1:20" ht="14">
      <c r="A15" s="77" t="s">
        <v>119</v>
      </c>
      <c r="B15" s="23">
        <v>3</v>
      </c>
      <c r="C15" s="23">
        <v>3</v>
      </c>
      <c r="D15" s="23">
        <v>1</v>
      </c>
      <c r="E15" s="23">
        <v>1</v>
      </c>
      <c r="F15" s="23">
        <v>3</v>
      </c>
      <c r="G15" s="23">
        <v>1</v>
      </c>
      <c r="H15" s="23"/>
      <c r="I15" s="23">
        <v>3</v>
      </c>
      <c r="J15" s="23">
        <v>2</v>
      </c>
      <c r="K15" s="23">
        <v>3</v>
      </c>
      <c r="L15" s="23">
        <v>3</v>
      </c>
      <c r="M15" s="23">
        <v>1</v>
      </c>
      <c r="N15" s="23">
        <v>1</v>
      </c>
      <c r="O15" s="23">
        <v>3</v>
      </c>
      <c r="P15" s="23">
        <v>3</v>
      </c>
      <c r="Q15" s="23">
        <v>3</v>
      </c>
      <c r="R15" s="23">
        <v>1</v>
      </c>
      <c r="S15" s="23">
        <v>1</v>
      </c>
      <c r="T15" s="23">
        <v>3</v>
      </c>
    </row>
    <row r="16" spans="1:20" ht="14">
      <c r="A16" s="77" t="s">
        <v>120</v>
      </c>
      <c r="B16" s="23">
        <v>4</v>
      </c>
      <c r="C16" s="23">
        <v>2</v>
      </c>
      <c r="D16" s="23">
        <v>5</v>
      </c>
      <c r="E16" s="23">
        <v>5</v>
      </c>
      <c r="F16" s="23">
        <v>4</v>
      </c>
      <c r="G16" s="23">
        <v>2</v>
      </c>
      <c r="H16" s="23"/>
      <c r="I16" s="23">
        <v>5</v>
      </c>
      <c r="J16" s="23">
        <v>1</v>
      </c>
      <c r="K16" s="23">
        <v>4</v>
      </c>
      <c r="L16" s="23">
        <v>2</v>
      </c>
      <c r="M16" s="23">
        <v>5</v>
      </c>
      <c r="N16" s="23">
        <v>5</v>
      </c>
      <c r="O16" s="23">
        <v>4</v>
      </c>
      <c r="P16" s="23">
        <v>4</v>
      </c>
      <c r="Q16" s="23">
        <v>2</v>
      </c>
      <c r="R16" s="23">
        <v>5</v>
      </c>
      <c r="S16" s="23">
        <v>5</v>
      </c>
      <c r="T16" s="23">
        <v>4</v>
      </c>
    </row>
    <row r="17" spans="1:20" ht="14">
      <c r="A17" s="77" t="s">
        <v>121</v>
      </c>
      <c r="B17" s="23">
        <v>1</v>
      </c>
      <c r="C17" s="23">
        <v>3.5</v>
      </c>
      <c r="D17" s="23">
        <v>2</v>
      </c>
      <c r="E17" s="23">
        <v>3.5</v>
      </c>
      <c r="F17" s="23">
        <v>3</v>
      </c>
      <c r="G17" s="23">
        <v>5</v>
      </c>
      <c r="H17" s="23">
        <v>3.5</v>
      </c>
      <c r="I17" s="23">
        <v>4</v>
      </c>
      <c r="J17" s="23"/>
      <c r="K17" s="23">
        <v>1</v>
      </c>
      <c r="L17" s="23">
        <v>3.5</v>
      </c>
      <c r="M17" s="23">
        <v>2</v>
      </c>
      <c r="N17" s="23">
        <v>3.5</v>
      </c>
      <c r="O17" s="23">
        <v>3</v>
      </c>
      <c r="P17" s="23">
        <v>1</v>
      </c>
      <c r="Q17" s="23">
        <v>3.5</v>
      </c>
      <c r="R17" s="23">
        <v>2</v>
      </c>
      <c r="S17" s="23">
        <v>3.5</v>
      </c>
      <c r="T17" s="23">
        <v>3</v>
      </c>
    </row>
    <row r="18" spans="1:20" ht="14">
      <c r="A18" s="77" t="s">
        <v>122</v>
      </c>
      <c r="B18" s="23">
        <v>3</v>
      </c>
      <c r="C18" s="23">
        <v>4</v>
      </c>
      <c r="D18" s="23">
        <v>3.5</v>
      </c>
      <c r="E18" s="23">
        <v>4</v>
      </c>
      <c r="F18" s="23">
        <v>2</v>
      </c>
      <c r="G18" s="23">
        <v>4.5</v>
      </c>
      <c r="H18" s="23"/>
      <c r="I18" s="23">
        <v>5</v>
      </c>
      <c r="J18" s="23">
        <v>2</v>
      </c>
      <c r="K18" s="23">
        <v>3</v>
      </c>
      <c r="L18" s="23">
        <v>4</v>
      </c>
      <c r="M18" s="23">
        <v>3.5</v>
      </c>
      <c r="N18" s="23">
        <v>4</v>
      </c>
      <c r="O18" s="23">
        <v>2</v>
      </c>
      <c r="P18" s="23">
        <v>3</v>
      </c>
      <c r="Q18" s="23">
        <v>4</v>
      </c>
      <c r="R18" s="23">
        <v>3.5</v>
      </c>
      <c r="S18" s="23">
        <v>4</v>
      </c>
      <c r="T18" s="23">
        <v>2</v>
      </c>
    </row>
    <row r="19" spans="1:20" ht="14">
      <c r="A19" s="77" t="s">
        <v>123</v>
      </c>
      <c r="B19" s="23">
        <v>3</v>
      </c>
      <c r="C19" s="23">
        <v>4</v>
      </c>
      <c r="D19" s="23">
        <v>3</v>
      </c>
      <c r="E19" s="23">
        <v>3.5</v>
      </c>
      <c r="F19" s="23">
        <v>3.5</v>
      </c>
      <c r="G19" s="23">
        <v>4</v>
      </c>
      <c r="H19" s="23"/>
      <c r="I19" s="23">
        <v>5</v>
      </c>
      <c r="J19" s="23">
        <v>3</v>
      </c>
      <c r="K19" s="23">
        <v>3</v>
      </c>
      <c r="L19" s="23">
        <v>4</v>
      </c>
      <c r="M19" s="23">
        <v>3</v>
      </c>
      <c r="N19" s="23">
        <v>3.5</v>
      </c>
      <c r="O19" s="23">
        <v>3.5</v>
      </c>
      <c r="P19" s="23">
        <v>3</v>
      </c>
      <c r="Q19" s="23">
        <v>4</v>
      </c>
      <c r="R19" s="23">
        <v>3</v>
      </c>
      <c r="S19" s="23">
        <v>3.5</v>
      </c>
      <c r="T19" s="23">
        <v>3.5</v>
      </c>
    </row>
    <row r="20" spans="1:20" ht="14">
      <c r="A20" s="77" t="s">
        <v>124</v>
      </c>
      <c r="B20" s="23">
        <v>4</v>
      </c>
      <c r="C20" s="23">
        <v>2.5</v>
      </c>
      <c r="D20" s="23">
        <v>2</v>
      </c>
      <c r="E20" s="23">
        <v>1</v>
      </c>
      <c r="F20" s="23">
        <v>3</v>
      </c>
      <c r="G20" s="23">
        <v>3</v>
      </c>
      <c r="H20" s="23"/>
      <c r="I20" s="23">
        <v>3</v>
      </c>
      <c r="J20" s="23">
        <v>1</v>
      </c>
      <c r="K20" s="23">
        <v>4</v>
      </c>
      <c r="L20" s="23">
        <v>2.5</v>
      </c>
      <c r="M20" s="23">
        <v>2</v>
      </c>
      <c r="N20" s="23">
        <v>1</v>
      </c>
      <c r="O20" s="23">
        <v>3</v>
      </c>
      <c r="P20" s="23">
        <v>4</v>
      </c>
      <c r="Q20" s="23">
        <v>2.5</v>
      </c>
      <c r="R20" s="23">
        <v>2</v>
      </c>
      <c r="S20" s="23">
        <v>1</v>
      </c>
      <c r="T20" s="23">
        <v>3</v>
      </c>
    </row>
    <row r="21" spans="1:20" ht="14">
      <c r="A21" s="77" t="s">
        <v>125</v>
      </c>
      <c r="B21" s="23">
        <v>1</v>
      </c>
      <c r="C21" s="23">
        <v>1.5</v>
      </c>
      <c r="D21" s="23">
        <v>2.5</v>
      </c>
      <c r="E21" s="23">
        <v>1</v>
      </c>
      <c r="F21" s="23">
        <v>1</v>
      </c>
      <c r="G21" s="23">
        <v>1</v>
      </c>
      <c r="H21" s="23"/>
      <c r="I21" s="23">
        <v>3</v>
      </c>
      <c r="J21" s="23">
        <v>2</v>
      </c>
      <c r="K21" s="23">
        <v>1</v>
      </c>
      <c r="L21" s="23">
        <v>1.5</v>
      </c>
      <c r="M21" s="23">
        <v>2.5</v>
      </c>
      <c r="N21" s="23">
        <v>1</v>
      </c>
      <c r="O21" s="23">
        <v>1</v>
      </c>
      <c r="P21" s="23">
        <v>1</v>
      </c>
      <c r="Q21" s="23">
        <v>1.5</v>
      </c>
      <c r="R21" s="23">
        <v>2.5</v>
      </c>
      <c r="S21" s="23">
        <v>1</v>
      </c>
      <c r="T21" s="23">
        <v>1</v>
      </c>
    </row>
    <row r="22" spans="1:20" ht="14">
      <c r="A22" s="77" t="s">
        <v>126</v>
      </c>
      <c r="B22" s="23">
        <v>1</v>
      </c>
      <c r="C22" s="23">
        <v>1</v>
      </c>
      <c r="D22" s="23">
        <v>1</v>
      </c>
      <c r="E22" s="23">
        <v>2</v>
      </c>
      <c r="F22" s="23">
        <v>1</v>
      </c>
      <c r="G22" s="23"/>
      <c r="H22" s="23">
        <v>1</v>
      </c>
      <c r="I22" s="23">
        <v>2</v>
      </c>
      <c r="J22" s="23"/>
      <c r="K22" s="23">
        <v>1</v>
      </c>
      <c r="L22" s="23">
        <v>1</v>
      </c>
      <c r="M22" s="23">
        <v>1</v>
      </c>
      <c r="N22" s="23">
        <v>2</v>
      </c>
      <c r="O22" s="23">
        <v>1</v>
      </c>
      <c r="P22" s="23">
        <v>1</v>
      </c>
      <c r="Q22" s="23">
        <v>1</v>
      </c>
      <c r="R22" s="23">
        <v>1</v>
      </c>
      <c r="S22" s="23">
        <v>2</v>
      </c>
      <c r="T22" s="23">
        <v>1</v>
      </c>
    </row>
    <row r="23" spans="1:20" ht="14">
      <c r="A23" s="77" t="s">
        <v>127</v>
      </c>
      <c r="B23" s="23">
        <v>2</v>
      </c>
      <c r="C23" s="23">
        <v>2</v>
      </c>
      <c r="D23" s="23">
        <v>2</v>
      </c>
      <c r="E23" s="23">
        <v>5</v>
      </c>
      <c r="F23" s="23">
        <v>3</v>
      </c>
      <c r="G23" s="23">
        <v>1.5</v>
      </c>
      <c r="H23" s="23"/>
      <c r="I23" s="23">
        <v>5</v>
      </c>
      <c r="J23" s="23"/>
      <c r="K23" s="23">
        <v>2</v>
      </c>
      <c r="L23" s="23">
        <v>2</v>
      </c>
      <c r="M23" s="23">
        <v>2</v>
      </c>
      <c r="N23" s="23">
        <v>5</v>
      </c>
      <c r="O23" s="23">
        <v>3</v>
      </c>
      <c r="P23" s="23">
        <v>2</v>
      </c>
      <c r="Q23" s="23">
        <v>2</v>
      </c>
      <c r="R23" s="23">
        <v>2</v>
      </c>
      <c r="S23" s="23">
        <v>5</v>
      </c>
      <c r="T23" s="23">
        <v>3</v>
      </c>
    </row>
    <row r="24" spans="1:20" ht="14">
      <c r="A24" s="77" t="s">
        <v>128</v>
      </c>
      <c r="B24" s="23">
        <v>1</v>
      </c>
      <c r="C24" s="23">
        <v>3</v>
      </c>
      <c r="D24" s="23">
        <v>2</v>
      </c>
      <c r="E24" s="23">
        <v>3</v>
      </c>
      <c r="F24" s="23">
        <v>4</v>
      </c>
      <c r="G24" s="23">
        <v>3</v>
      </c>
      <c r="H24" s="23">
        <v>3</v>
      </c>
      <c r="I24" s="23"/>
      <c r="J24" s="23">
        <v>1.5</v>
      </c>
      <c r="K24" s="23">
        <v>1</v>
      </c>
      <c r="L24" s="23">
        <v>3</v>
      </c>
      <c r="M24" s="23">
        <v>2</v>
      </c>
      <c r="N24" s="23">
        <v>3</v>
      </c>
      <c r="O24" s="23">
        <v>4</v>
      </c>
      <c r="P24" s="23">
        <v>1</v>
      </c>
      <c r="Q24" s="23">
        <v>3</v>
      </c>
      <c r="R24" s="23">
        <v>2</v>
      </c>
      <c r="S24" s="23">
        <v>3</v>
      </c>
      <c r="T24" s="23">
        <v>4</v>
      </c>
    </row>
    <row r="25" spans="1:20" ht="14">
      <c r="A25" s="77" t="s">
        <v>129</v>
      </c>
      <c r="B25" s="23">
        <v>1</v>
      </c>
      <c r="C25" s="23">
        <v>3</v>
      </c>
      <c r="D25" s="23">
        <v>1</v>
      </c>
      <c r="E25" s="23">
        <v>1</v>
      </c>
      <c r="F25" s="23">
        <v>1</v>
      </c>
      <c r="G25" s="23">
        <v>1</v>
      </c>
      <c r="H25" s="23">
        <v>2</v>
      </c>
      <c r="I25" s="23">
        <v>2</v>
      </c>
      <c r="J25" s="23">
        <v>1</v>
      </c>
      <c r="K25" s="23">
        <v>1</v>
      </c>
      <c r="L25" s="23">
        <v>3</v>
      </c>
      <c r="M25" s="23">
        <v>1</v>
      </c>
      <c r="N25" s="23">
        <v>1</v>
      </c>
      <c r="O25" s="23">
        <v>1</v>
      </c>
      <c r="P25" s="23">
        <v>1</v>
      </c>
      <c r="Q25" s="23">
        <v>3</v>
      </c>
      <c r="R25" s="23">
        <v>1</v>
      </c>
      <c r="S25" s="23">
        <v>1</v>
      </c>
      <c r="T25" s="23">
        <v>1</v>
      </c>
    </row>
    <row r="26" spans="1:20" ht="14">
      <c r="A26" s="77" t="s">
        <v>130</v>
      </c>
      <c r="B26" s="23">
        <v>1</v>
      </c>
      <c r="C26" s="23">
        <v>3.5</v>
      </c>
      <c r="D26" s="23">
        <v>3</v>
      </c>
      <c r="E26" s="23">
        <v>5</v>
      </c>
      <c r="F26" s="23">
        <v>4</v>
      </c>
      <c r="G26" s="23">
        <v>3</v>
      </c>
      <c r="H26" s="23"/>
      <c r="I26" s="23">
        <v>4.5</v>
      </c>
      <c r="J26" s="23">
        <v>2</v>
      </c>
      <c r="K26" s="23">
        <v>1</v>
      </c>
      <c r="L26" s="23">
        <v>3.5</v>
      </c>
      <c r="M26" s="23">
        <v>3</v>
      </c>
      <c r="N26" s="23">
        <v>5</v>
      </c>
      <c r="O26" s="23">
        <v>4</v>
      </c>
      <c r="P26" s="23">
        <v>1</v>
      </c>
      <c r="Q26" s="23">
        <v>3.5</v>
      </c>
      <c r="R26" s="23">
        <v>3</v>
      </c>
      <c r="S26" s="23">
        <v>5</v>
      </c>
      <c r="T26" s="23">
        <v>4</v>
      </c>
    </row>
    <row r="27" spans="1:20" ht="14">
      <c r="A27" s="77" t="s">
        <v>131</v>
      </c>
      <c r="B27" s="23">
        <v>1</v>
      </c>
      <c r="C27" s="23">
        <v>1.5</v>
      </c>
      <c r="D27" s="23">
        <v>3</v>
      </c>
      <c r="E27" s="23">
        <v>2.5</v>
      </c>
      <c r="F27" s="23">
        <v>1</v>
      </c>
      <c r="G27" s="23">
        <v>1</v>
      </c>
      <c r="H27" s="23"/>
      <c r="I27" s="23">
        <v>4</v>
      </c>
      <c r="J27" s="23">
        <v>1.5</v>
      </c>
      <c r="K27" s="23">
        <v>1</v>
      </c>
      <c r="L27" s="23">
        <v>1.5</v>
      </c>
      <c r="M27" s="23">
        <v>3</v>
      </c>
      <c r="N27" s="23">
        <v>2.5</v>
      </c>
      <c r="O27" s="23">
        <v>1</v>
      </c>
      <c r="P27" s="23">
        <v>1</v>
      </c>
      <c r="Q27" s="23">
        <v>1.5</v>
      </c>
      <c r="R27" s="23">
        <v>3</v>
      </c>
      <c r="S27" s="23">
        <v>2.5</v>
      </c>
      <c r="T27" s="23">
        <v>1</v>
      </c>
    </row>
    <row r="28" spans="1:20" ht="14">
      <c r="A28" s="77" t="s">
        <v>132</v>
      </c>
      <c r="B28" s="23">
        <v>3</v>
      </c>
      <c r="C28" s="23">
        <v>3</v>
      </c>
      <c r="D28" s="23">
        <v>5</v>
      </c>
      <c r="E28" s="23">
        <v>3</v>
      </c>
      <c r="F28" s="23">
        <v>4</v>
      </c>
      <c r="G28" s="23">
        <v>1</v>
      </c>
      <c r="H28" s="23">
        <v>2</v>
      </c>
      <c r="I28" s="23">
        <v>3</v>
      </c>
      <c r="J28" s="23"/>
      <c r="K28" s="23">
        <v>3</v>
      </c>
      <c r="L28" s="23">
        <v>3</v>
      </c>
      <c r="M28" s="23">
        <v>5</v>
      </c>
      <c r="N28" s="23">
        <v>3</v>
      </c>
      <c r="O28" s="23">
        <v>4</v>
      </c>
      <c r="P28" s="23">
        <v>3</v>
      </c>
      <c r="Q28" s="23">
        <v>3</v>
      </c>
      <c r="R28" s="23">
        <v>5</v>
      </c>
      <c r="S28" s="23">
        <v>3</v>
      </c>
      <c r="T28" s="23">
        <v>4</v>
      </c>
    </row>
    <row r="29" spans="1:20" ht="14">
      <c r="A29" s="77" t="s">
        <v>133</v>
      </c>
      <c r="B29" s="23">
        <v>3</v>
      </c>
      <c r="C29" s="23">
        <v>2</v>
      </c>
      <c r="D29" s="23">
        <v>3</v>
      </c>
      <c r="E29" s="23">
        <v>4</v>
      </c>
      <c r="F29" s="23">
        <v>2</v>
      </c>
      <c r="G29" s="23">
        <v>2</v>
      </c>
      <c r="H29" s="23"/>
      <c r="I29" s="23">
        <v>4</v>
      </c>
      <c r="J29" s="23">
        <v>2</v>
      </c>
      <c r="K29" s="23">
        <v>3</v>
      </c>
      <c r="L29" s="23">
        <v>2</v>
      </c>
      <c r="M29" s="23">
        <v>3</v>
      </c>
      <c r="N29" s="23">
        <v>4</v>
      </c>
      <c r="O29" s="23">
        <v>2</v>
      </c>
      <c r="P29" s="23">
        <v>3</v>
      </c>
      <c r="Q29" s="23">
        <v>2</v>
      </c>
      <c r="R29" s="23">
        <v>3</v>
      </c>
      <c r="S29" s="23">
        <v>4</v>
      </c>
      <c r="T29" s="23">
        <v>2</v>
      </c>
    </row>
    <row r="30" spans="1:20" ht="14">
      <c r="A30" s="77" t="s">
        <v>134</v>
      </c>
      <c r="B30" s="23">
        <v>5</v>
      </c>
      <c r="C30" s="23">
        <v>2.5</v>
      </c>
      <c r="D30" s="23">
        <v>5</v>
      </c>
      <c r="E30" s="23">
        <v>4</v>
      </c>
      <c r="F30" s="23">
        <v>4</v>
      </c>
      <c r="G30" s="23"/>
      <c r="H30" s="23"/>
      <c r="I30" s="23">
        <v>4</v>
      </c>
      <c r="J30" s="23">
        <v>1</v>
      </c>
      <c r="K30" s="23">
        <v>5</v>
      </c>
      <c r="L30" s="23">
        <v>2.5</v>
      </c>
      <c r="M30" s="23">
        <v>5</v>
      </c>
      <c r="N30" s="23">
        <v>4</v>
      </c>
      <c r="O30" s="23">
        <v>4</v>
      </c>
      <c r="P30" s="23">
        <v>5</v>
      </c>
      <c r="Q30" s="23">
        <v>2.5</v>
      </c>
      <c r="R30" s="23">
        <v>5</v>
      </c>
      <c r="S30" s="23">
        <v>4</v>
      </c>
      <c r="T30" s="23">
        <v>4</v>
      </c>
    </row>
    <row r="31" spans="1:20" ht="14">
      <c r="A31" s="77" t="s">
        <v>135</v>
      </c>
      <c r="B31" s="23">
        <v>3</v>
      </c>
      <c r="C31" s="23">
        <v>5</v>
      </c>
      <c r="D31" s="23">
        <v>4</v>
      </c>
      <c r="E31" s="23">
        <v>3</v>
      </c>
      <c r="F31" s="23">
        <v>1</v>
      </c>
      <c r="G31" s="23">
        <v>3</v>
      </c>
      <c r="H31" s="23"/>
      <c r="I31" s="23">
        <v>4</v>
      </c>
      <c r="J31" s="23">
        <v>5</v>
      </c>
      <c r="K31" s="23">
        <v>3</v>
      </c>
      <c r="L31" s="23">
        <v>5</v>
      </c>
      <c r="M31" s="23">
        <v>4</v>
      </c>
      <c r="N31" s="23">
        <v>3</v>
      </c>
      <c r="O31" s="23">
        <v>1</v>
      </c>
      <c r="P31" s="23">
        <v>3</v>
      </c>
      <c r="Q31" s="23">
        <v>5</v>
      </c>
      <c r="R31" s="23">
        <v>4</v>
      </c>
      <c r="S31" s="23">
        <v>3</v>
      </c>
      <c r="T31" s="23">
        <v>1</v>
      </c>
    </row>
    <row r="32" spans="1:20" ht="14">
      <c r="A32" s="77" t="s">
        <v>136</v>
      </c>
      <c r="B32" s="23">
        <v>5</v>
      </c>
      <c r="C32" s="23">
        <v>2</v>
      </c>
      <c r="D32" s="23">
        <v>4</v>
      </c>
      <c r="E32" s="23">
        <v>3</v>
      </c>
      <c r="F32" s="23">
        <v>4</v>
      </c>
      <c r="G32" s="23">
        <v>1</v>
      </c>
      <c r="H32" s="23"/>
      <c r="I32" s="23">
        <v>3</v>
      </c>
      <c r="J32" s="23">
        <v>1</v>
      </c>
      <c r="K32" s="23">
        <v>5</v>
      </c>
      <c r="L32" s="23">
        <v>2</v>
      </c>
      <c r="M32" s="23">
        <v>4</v>
      </c>
      <c r="N32" s="23">
        <v>3</v>
      </c>
      <c r="O32" s="23">
        <v>4</v>
      </c>
      <c r="P32" s="23">
        <v>5</v>
      </c>
      <c r="Q32" s="23">
        <v>2</v>
      </c>
      <c r="R32" s="23">
        <v>4</v>
      </c>
      <c r="S32" s="23">
        <v>3</v>
      </c>
      <c r="T32" s="23">
        <v>4</v>
      </c>
    </row>
    <row r="33" spans="1:20" ht="14">
      <c r="A33" s="77" t="s">
        <v>137</v>
      </c>
      <c r="B33" s="23">
        <v>3</v>
      </c>
      <c r="C33" s="23">
        <v>1</v>
      </c>
      <c r="D33" s="23">
        <v>3</v>
      </c>
      <c r="E33" s="23">
        <v>1.5</v>
      </c>
      <c r="F33" s="23">
        <v>2</v>
      </c>
      <c r="G33" s="23">
        <v>1</v>
      </c>
      <c r="H33" s="23">
        <v>2</v>
      </c>
      <c r="I33" s="23">
        <v>3</v>
      </c>
      <c r="J33" s="23"/>
      <c r="K33" s="23">
        <v>3</v>
      </c>
      <c r="L33" s="23">
        <v>1</v>
      </c>
      <c r="M33" s="23">
        <v>3</v>
      </c>
      <c r="N33" s="23">
        <v>1.5</v>
      </c>
      <c r="O33" s="23">
        <v>2</v>
      </c>
      <c r="P33" s="23">
        <v>3</v>
      </c>
      <c r="Q33" s="23">
        <v>1</v>
      </c>
      <c r="R33" s="23">
        <v>3</v>
      </c>
      <c r="S33" s="23">
        <v>1.5</v>
      </c>
      <c r="T33" s="23">
        <v>2</v>
      </c>
    </row>
    <row r="34" spans="1:20" ht="14">
      <c r="A34" s="77" t="s">
        <v>138</v>
      </c>
      <c r="B34" s="23">
        <v>4</v>
      </c>
      <c r="C34" s="23">
        <v>3</v>
      </c>
      <c r="D34" s="23">
        <v>3</v>
      </c>
      <c r="E34" s="23">
        <v>4</v>
      </c>
      <c r="F34" s="23">
        <v>1</v>
      </c>
      <c r="G34" s="23">
        <v>3</v>
      </c>
      <c r="H34" s="23"/>
      <c r="I34" s="23">
        <v>4</v>
      </c>
      <c r="J34" s="23">
        <v>3</v>
      </c>
      <c r="K34" s="23">
        <v>4</v>
      </c>
      <c r="L34" s="23">
        <v>3</v>
      </c>
      <c r="M34" s="23">
        <v>3</v>
      </c>
      <c r="N34" s="23">
        <v>4</v>
      </c>
      <c r="O34" s="23">
        <v>1</v>
      </c>
      <c r="P34" s="23">
        <v>4</v>
      </c>
      <c r="Q34" s="23">
        <v>3</v>
      </c>
      <c r="R34" s="23">
        <v>3</v>
      </c>
      <c r="S34" s="23">
        <v>4</v>
      </c>
      <c r="T34" s="23">
        <v>1</v>
      </c>
    </row>
    <row r="35" spans="1:20" ht="14">
      <c r="A35" s="77" t="s">
        <v>139</v>
      </c>
      <c r="B35" s="23">
        <v>3</v>
      </c>
      <c r="C35" s="23">
        <v>3</v>
      </c>
      <c r="D35" s="23">
        <v>2</v>
      </c>
      <c r="E35" s="23">
        <v>3</v>
      </c>
      <c r="F35" s="23">
        <v>1</v>
      </c>
      <c r="G35" s="23">
        <v>3</v>
      </c>
      <c r="H35" s="23"/>
      <c r="I35" s="23">
        <v>4</v>
      </c>
      <c r="J35" s="23">
        <v>1.5</v>
      </c>
      <c r="K35" s="23">
        <v>3</v>
      </c>
      <c r="L35" s="23">
        <v>3</v>
      </c>
      <c r="M35" s="23">
        <v>2</v>
      </c>
      <c r="N35" s="23">
        <v>3</v>
      </c>
      <c r="O35" s="23">
        <v>1</v>
      </c>
      <c r="P35" s="23">
        <v>3</v>
      </c>
      <c r="Q35" s="23">
        <v>3</v>
      </c>
      <c r="R35" s="23">
        <v>2</v>
      </c>
      <c r="S35" s="23">
        <v>3</v>
      </c>
      <c r="T35" s="23">
        <v>1</v>
      </c>
    </row>
    <row r="36" spans="1:20" ht="14">
      <c r="A36" s="77" t="s">
        <v>140</v>
      </c>
      <c r="B36" s="23">
        <v>2.5</v>
      </c>
      <c r="C36" s="23">
        <v>1</v>
      </c>
      <c r="D36" s="23">
        <v>2</v>
      </c>
      <c r="E36" s="23">
        <v>3.5</v>
      </c>
      <c r="F36" s="23">
        <v>1</v>
      </c>
      <c r="G36" s="23">
        <v>1</v>
      </c>
      <c r="H36" s="23"/>
      <c r="I36" s="23">
        <v>4</v>
      </c>
      <c r="J36" s="23">
        <v>1.5</v>
      </c>
      <c r="K36" s="23">
        <v>2.5</v>
      </c>
      <c r="L36" s="23">
        <v>1</v>
      </c>
      <c r="M36" s="23">
        <v>2</v>
      </c>
      <c r="N36" s="23">
        <v>3.5</v>
      </c>
      <c r="O36" s="23">
        <v>1</v>
      </c>
      <c r="P36" s="23">
        <v>2.5</v>
      </c>
      <c r="Q36" s="23">
        <v>1</v>
      </c>
      <c r="R36" s="23">
        <v>2</v>
      </c>
      <c r="S36" s="23">
        <v>3.5</v>
      </c>
      <c r="T36" s="23">
        <v>1</v>
      </c>
    </row>
    <row r="37" spans="1:20" ht="14">
      <c r="A37" s="77" t="s">
        <v>141</v>
      </c>
      <c r="B37" s="23">
        <v>2</v>
      </c>
      <c r="C37" s="23">
        <v>3</v>
      </c>
      <c r="D37" s="23">
        <v>3</v>
      </c>
      <c r="E37" s="23">
        <v>3</v>
      </c>
      <c r="F37" s="23">
        <v>5</v>
      </c>
      <c r="G37" s="23">
        <v>3</v>
      </c>
      <c r="H37" s="23"/>
      <c r="I37" s="23">
        <v>4</v>
      </c>
      <c r="J37" s="23">
        <v>3</v>
      </c>
      <c r="K37" s="23">
        <v>2</v>
      </c>
      <c r="L37" s="23">
        <v>3</v>
      </c>
      <c r="M37" s="23">
        <v>3</v>
      </c>
      <c r="N37" s="23">
        <v>3</v>
      </c>
      <c r="O37" s="23">
        <v>5</v>
      </c>
      <c r="P37" s="23">
        <v>2</v>
      </c>
      <c r="Q37" s="23">
        <v>3</v>
      </c>
      <c r="R37" s="23">
        <v>3</v>
      </c>
      <c r="S37" s="23">
        <v>3</v>
      </c>
      <c r="T37" s="23">
        <v>5</v>
      </c>
    </row>
  </sheetData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10EE-33A0-E549-B4EA-C115820F082E}">
  <dimension ref="A1:AW471"/>
  <sheetViews>
    <sheetView zoomScale="55" zoomScaleNormal="55" workbookViewId="0">
      <selection activeCell="BI6" sqref="BI6"/>
    </sheetView>
  </sheetViews>
  <sheetFormatPr baseColWidth="10" defaultRowHeight="13"/>
  <cols>
    <col min="1" max="1" width="8.83203125" customWidth="1"/>
    <col min="50" max="256" width="8.83203125" customWidth="1"/>
  </cols>
  <sheetData>
    <row r="1" spans="1:49" ht="16">
      <c r="A1" s="25" t="s">
        <v>75</v>
      </c>
    </row>
    <row r="2" spans="1:49" ht="16">
      <c r="A2" s="25" t="s">
        <v>76</v>
      </c>
    </row>
    <row r="3" spans="1:49" ht="14" thickBot="1"/>
    <row r="4" spans="1:49" ht="14" thickTop="1">
      <c r="B4" s="78"/>
      <c r="C4" s="79"/>
      <c r="D4" s="80"/>
      <c r="E4" s="79"/>
      <c r="F4" s="80"/>
      <c r="G4" s="79"/>
      <c r="H4" s="80"/>
      <c r="I4" s="79"/>
      <c r="J4" s="80"/>
      <c r="K4" s="79"/>
      <c r="L4" s="80"/>
      <c r="M4" s="79"/>
      <c r="N4" s="80"/>
      <c r="O4" s="79"/>
      <c r="P4" s="80"/>
      <c r="Q4" s="79"/>
      <c r="R4" s="80"/>
      <c r="S4" s="79"/>
      <c r="T4" s="80"/>
      <c r="U4" s="79"/>
      <c r="V4" s="80"/>
      <c r="W4" s="79"/>
      <c r="X4" s="80"/>
      <c r="Y4" s="79"/>
      <c r="Z4" s="80"/>
      <c r="AA4" s="79"/>
      <c r="AB4" s="80"/>
      <c r="AC4" s="79"/>
      <c r="AD4" s="80"/>
      <c r="AE4" s="79"/>
      <c r="AF4" s="80"/>
      <c r="AG4" s="79"/>
      <c r="AH4" s="80"/>
      <c r="AI4" s="79"/>
      <c r="AJ4" s="80"/>
      <c r="AK4" s="79"/>
      <c r="AL4" s="80"/>
      <c r="AM4" s="79"/>
      <c r="AN4" s="80"/>
      <c r="AO4" s="79"/>
      <c r="AP4" s="80"/>
      <c r="AQ4" s="79"/>
      <c r="AR4" s="80"/>
      <c r="AS4" s="79"/>
      <c r="AT4" s="80"/>
      <c r="AU4" s="79"/>
      <c r="AV4" s="80"/>
      <c r="AW4" s="81"/>
    </row>
    <row r="5" spans="1:49">
      <c r="B5" s="82"/>
      <c r="AW5" s="83"/>
    </row>
    <row r="6" spans="1:49">
      <c r="B6" s="84"/>
      <c r="D6" s="85"/>
      <c r="F6" s="85"/>
      <c r="H6" s="85"/>
      <c r="J6" s="85"/>
      <c r="L6" s="85"/>
      <c r="N6" s="85"/>
      <c r="P6" s="85"/>
      <c r="R6" s="85"/>
      <c r="T6" s="85"/>
      <c r="V6" s="85"/>
      <c r="X6" s="85"/>
      <c r="Z6" s="85"/>
      <c r="AB6" s="85"/>
      <c r="AD6" s="85"/>
      <c r="AF6" s="85"/>
      <c r="AH6" s="85"/>
      <c r="AJ6" s="85"/>
      <c r="AL6" s="85"/>
      <c r="AN6" s="85"/>
      <c r="AP6" s="85"/>
      <c r="AR6" s="85"/>
      <c r="AT6" s="85"/>
      <c r="AV6" s="85"/>
      <c r="AW6" s="83"/>
    </row>
    <row r="7" spans="1:49">
      <c r="B7" s="82"/>
      <c r="AW7" s="83"/>
    </row>
    <row r="8" spans="1:49">
      <c r="B8" s="84"/>
      <c r="D8" s="85"/>
      <c r="F8" s="85"/>
      <c r="H8" s="85"/>
      <c r="J8" s="85"/>
      <c r="L8" s="85"/>
      <c r="N8" s="85"/>
      <c r="P8" s="85"/>
      <c r="R8" s="85"/>
      <c r="T8" s="85"/>
      <c r="V8" s="85"/>
      <c r="X8" s="85"/>
      <c r="Z8" s="85"/>
      <c r="AB8" s="85"/>
      <c r="AD8" s="85"/>
      <c r="AF8" s="85"/>
      <c r="AH8" s="85"/>
      <c r="AJ8" s="85"/>
      <c r="AL8" s="85"/>
      <c r="AN8" s="85"/>
      <c r="AP8" s="85"/>
      <c r="AR8" s="85"/>
      <c r="AT8" s="85"/>
      <c r="AV8" s="85"/>
      <c r="AW8" s="83"/>
    </row>
    <row r="9" spans="1:49">
      <c r="B9" s="82"/>
      <c r="AW9" s="83"/>
    </row>
    <row r="10" spans="1:49">
      <c r="B10" s="84"/>
      <c r="D10" s="85"/>
      <c r="F10" s="85"/>
      <c r="H10" s="85"/>
      <c r="J10" s="85"/>
      <c r="L10" s="85"/>
      <c r="N10" s="85"/>
      <c r="P10" s="85"/>
      <c r="R10" s="85"/>
      <c r="T10" s="85"/>
      <c r="V10" s="85"/>
      <c r="X10" s="85"/>
      <c r="Z10" s="85"/>
      <c r="AB10" s="85"/>
      <c r="AD10" s="85"/>
      <c r="AF10" s="85"/>
      <c r="AH10" s="85"/>
      <c r="AJ10" s="85"/>
      <c r="AL10" s="85"/>
      <c r="AN10" s="85"/>
      <c r="AP10" s="85"/>
      <c r="AR10" s="85"/>
      <c r="AT10" s="85"/>
      <c r="AV10" s="85"/>
      <c r="AW10" s="83"/>
    </row>
    <row r="11" spans="1:49">
      <c r="B11" s="82"/>
      <c r="AW11" s="83"/>
    </row>
    <row r="12" spans="1:49">
      <c r="B12" s="84"/>
      <c r="D12" s="85"/>
      <c r="F12" s="85"/>
      <c r="H12" s="85"/>
      <c r="J12" s="85"/>
      <c r="L12" s="85"/>
      <c r="N12" s="85"/>
      <c r="P12" s="85"/>
      <c r="R12" s="85"/>
      <c r="T12" s="85"/>
      <c r="V12" s="85"/>
      <c r="X12" s="85"/>
      <c r="Z12" s="85"/>
      <c r="AB12" s="85"/>
      <c r="AD12" s="85"/>
      <c r="AF12" s="85"/>
      <c r="AH12" s="85"/>
      <c r="AJ12" s="85"/>
      <c r="AL12" s="85"/>
      <c r="AN12" s="85"/>
      <c r="AP12" s="85"/>
      <c r="AR12" s="85"/>
      <c r="AT12" s="85"/>
      <c r="AV12" s="85"/>
      <c r="AW12" s="83"/>
    </row>
    <row r="13" spans="1:49">
      <c r="B13" s="82"/>
      <c r="AW13" s="83"/>
    </row>
    <row r="14" spans="1:49">
      <c r="B14" s="84"/>
      <c r="D14" s="85"/>
      <c r="F14" s="85"/>
      <c r="H14" s="85"/>
      <c r="J14" s="85"/>
      <c r="L14" s="85"/>
      <c r="N14" s="85"/>
      <c r="P14" s="85"/>
      <c r="R14" s="85"/>
      <c r="T14" s="85"/>
      <c r="V14" s="85"/>
      <c r="X14" s="85"/>
      <c r="Z14" s="85"/>
      <c r="AB14" s="85"/>
      <c r="AD14" s="85"/>
      <c r="AF14" s="85"/>
      <c r="AH14" s="85"/>
      <c r="AJ14" s="85"/>
      <c r="AL14" s="85"/>
      <c r="AN14" s="85"/>
      <c r="AP14" s="85"/>
      <c r="AR14" s="85"/>
      <c r="AT14" s="85"/>
      <c r="AV14" s="85"/>
      <c r="AW14" s="83"/>
    </row>
    <row r="15" spans="1:49">
      <c r="B15" s="82"/>
      <c r="AW15" s="83"/>
    </row>
    <row r="16" spans="1:49">
      <c r="B16" s="84"/>
      <c r="D16" s="85"/>
      <c r="F16" s="85"/>
      <c r="H16" s="85"/>
      <c r="J16" s="85"/>
      <c r="L16" s="85"/>
      <c r="N16" s="85"/>
      <c r="P16" s="85"/>
      <c r="R16" s="85"/>
      <c r="T16" s="85"/>
      <c r="V16" s="85"/>
      <c r="X16" s="85"/>
      <c r="Z16" s="85"/>
      <c r="AB16" s="85"/>
      <c r="AD16" s="85"/>
      <c r="AF16" s="85"/>
      <c r="AH16" s="85"/>
      <c r="AJ16" s="85"/>
      <c r="AL16" s="85"/>
      <c r="AN16" s="85"/>
      <c r="AP16" s="85"/>
      <c r="AR16" s="85"/>
      <c r="AT16" s="85"/>
      <c r="AV16" s="85"/>
      <c r="AW16" s="83"/>
    </row>
    <row r="17" spans="2:49">
      <c r="B17" s="82"/>
      <c r="AW17" s="83"/>
    </row>
    <row r="18" spans="2:49">
      <c r="B18" s="84"/>
      <c r="D18" s="85"/>
      <c r="F18" s="85"/>
      <c r="H18" s="85"/>
      <c r="J18" s="85"/>
      <c r="L18" s="85"/>
      <c r="N18" s="85"/>
      <c r="P18" s="85"/>
      <c r="R18" s="85"/>
      <c r="T18" s="85"/>
      <c r="V18" s="85"/>
      <c r="X18" s="85"/>
      <c r="Z18" s="85"/>
      <c r="AB18" s="85"/>
      <c r="AD18" s="85"/>
      <c r="AF18" s="85"/>
      <c r="AH18" s="85"/>
      <c r="AJ18" s="85"/>
      <c r="AL18" s="85"/>
      <c r="AN18" s="85"/>
      <c r="AP18" s="85"/>
      <c r="AR18" s="85"/>
      <c r="AT18" s="85"/>
      <c r="AV18" s="85"/>
      <c r="AW18" s="83"/>
    </row>
    <row r="19" spans="2:49">
      <c r="B19" s="82"/>
      <c r="AW19" s="83"/>
    </row>
    <row r="20" spans="2:49">
      <c r="B20" s="84"/>
      <c r="D20" s="85"/>
      <c r="F20" s="85"/>
      <c r="H20" s="85"/>
      <c r="J20" s="85"/>
      <c r="L20" s="85"/>
      <c r="N20" s="85"/>
      <c r="P20" s="85"/>
      <c r="R20" s="85"/>
      <c r="T20" s="85"/>
      <c r="V20" s="85"/>
      <c r="X20" s="85"/>
      <c r="Z20" s="85"/>
      <c r="AB20" s="85"/>
      <c r="AD20" s="85"/>
      <c r="AF20" s="85"/>
      <c r="AH20" s="85"/>
      <c r="AJ20" s="85"/>
      <c r="AL20" s="85"/>
      <c r="AN20" s="85"/>
      <c r="AP20" s="85"/>
      <c r="AR20" s="85"/>
      <c r="AT20" s="85"/>
      <c r="AV20" s="85"/>
      <c r="AW20" s="83"/>
    </row>
    <row r="21" spans="2:49">
      <c r="B21" s="82"/>
      <c r="AW21" s="83"/>
    </row>
    <row r="22" spans="2:49">
      <c r="B22" s="84"/>
      <c r="D22" s="85"/>
      <c r="F22" s="85"/>
      <c r="H22" s="85"/>
      <c r="J22" s="85"/>
      <c r="L22" s="85"/>
      <c r="N22" s="85"/>
      <c r="P22" s="85"/>
      <c r="R22" s="85"/>
      <c r="T22" s="85"/>
      <c r="V22" s="85"/>
      <c r="X22" s="85"/>
      <c r="Z22" s="85"/>
      <c r="AB22" s="85"/>
      <c r="AD22" s="85"/>
      <c r="AF22" s="85"/>
      <c r="AH22" s="85"/>
      <c r="AJ22" s="85"/>
      <c r="AL22" s="85"/>
      <c r="AN22" s="85"/>
      <c r="AP22" s="85"/>
      <c r="AR22" s="85"/>
      <c r="AT22" s="85"/>
      <c r="AV22" s="85"/>
      <c r="AW22" s="83"/>
    </row>
    <row r="23" spans="2:49">
      <c r="B23" s="82"/>
      <c r="AW23" s="83"/>
    </row>
    <row r="24" spans="2:49">
      <c r="B24" s="84"/>
      <c r="D24" s="85"/>
      <c r="F24" s="85"/>
      <c r="H24" s="85"/>
      <c r="J24" s="85"/>
      <c r="L24" s="85"/>
      <c r="N24" s="85"/>
      <c r="P24" s="85"/>
      <c r="R24" s="85"/>
      <c r="T24" s="85"/>
      <c r="V24" s="85"/>
      <c r="X24" s="85"/>
      <c r="Z24" s="85"/>
      <c r="AB24" s="85"/>
      <c r="AD24" s="85"/>
      <c r="AF24" s="85"/>
      <c r="AH24" s="85"/>
      <c r="AJ24" s="85"/>
      <c r="AL24" s="85"/>
      <c r="AN24" s="85"/>
      <c r="AP24" s="85"/>
      <c r="AR24" s="85"/>
      <c r="AT24" s="85"/>
      <c r="AV24" s="85"/>
      <c r="AW24" s="83"/>
    </row>
    <row r="25" spans="2:49">
      <c r="B25" s="82"/>
      <c r="AW25" s="83"/>
    </row>
    <row r="26" spans="2:49">
      <c r="B26" s="84"/>
      <c r="D26" s="85"/>
      <c r="F26" s="85"/>
      <c r="H26" s="85"/>
      <c r="J26" s="85"/>
      <c r="L26" s="85"/>
      <c r="N26" s="85"/>
      <c r="P26" s="85"/>
      <c r="R26" s="85"/>
      <c r="T26" s="85"/>
      <c r="V26" s="85"/>
      <c r="X26" s="85"/>
      <c r="Z26" s="85"/>
      <c r="AB26" s="85"/>
      <c r="AD26" s="85"/>
      <c r="AF26" s="85"/>
      <c r="AH26" s="85"/>
      <c r="AJ26" s="85"/>
      <c r="AL26" s="85"/>
      <c r="AN26" s="85"/>
      <c r="AP26" s="85"/>
      <c r="AR26" s="85"/>
      <c r="AT26" s="85"/>
      <c r="AV26" s="85"/>
      <c r="AW26" s="83"/>
    </row>
    <row r="27" spans="2:49">
      <c r="B27" s="82"/>
      <c r="AW27" s="83"/>
    </row>
    <row r="28" spans="2:49">
      <c r="B28" s="84"/>
      <c r="D28" s="85"/>
      <c r="F28" s="85"/>
      <c r="H28" s="85"/>
      <c r="J28" s="85"/>
      <c r="L28" s="85"/>
      <c r="N28" s="85"/>
      <c r="P28" s="85"/>
      <c r="R28" s="85"/>
      <c r="T28" s="85"/>
      <c r="V28" s="85"/>
      <c r="X28" s="85"/>
      <c r="Z28" s="85"/>
      <c r="AB28" s="85"/>
      <c r="AD28" s="85"/>
      <c r="AF28" s="85"/>
      <c r="AH28" s="85"/>
      <c r="AJ28" s="85"/>
      <c r="AL28" s="85"/>
      <c r="AN28" s="85"/>
      <c r="AP28" s="85"/>
      <c r="AR28" s="85"/>
      <c r="AT28" s="85"/>
      <c r="AV28" s="85"/>
      <c r="AW28" s="83"/>
    </row>
    <row r="29" spans="2:49">
      <c r="B29" s="82"/>
      <c r="AW29" s="83"/>
    </row>
    <row r="30" spans="2:49">
      <c r="B30" s="84"/>
      <c r="D30" s="85"/>
      <c r="F30" s="85"/>
      <c r="H30" s="85"/>
      <c r="J30" s="85"/>
      <c r="L30" s="85"/>
      <c r="N30" s="85"/>
      <c r="P30" s="85"/>
      <c r="R30" s="85"/>
      <c r="T30" s="85"/>
      <c r="V30" s="85"/>
      <c r="X30" s="85"/>
      <c r="Z30" s="85"/>
      <c r="AB30" s="85"/>
      <c r="AD30" s="85"/>
      <c r="AF30" s="85"/>
      <c r="AH30" s="85"/>
      <c r="AJ30" s="85"/>
      <c r="AL30" s="85"/>
      <c r="AN30" s="85"/>
      <c r="AP30" s="85"/>
      <c r="AR30" s="85"/>
      <c r="AT30" s="85"/>
      <c r="AV30" s="85"/>
      <c r="AW30" s="83"/>
    </row>
    <row r="31" spans="2:49">
      <c r="B31" s="82"/>
      <c r="AW31" s="83"/>
    </row>
    <row r="32" spans="2:49">
      <c r="B32" s="84"/>
      <c r="D32" s="85"/>
      <c r="F32" s="85"/>
      <c r="H32" s="85"/>
      <c r="J32" s="85"/>
      <c r="L32" s="85"/>
      <c r="N32" s="85"/>
      <c r="P32" s="85"/>
      <c r="R32" s="85"/>
      <c r="T32" s="85"/>
      <c r="V32" s="85"/>
      <c r="X32" s="85"/>
      <c r="Z32" s="85"/>
      <c r="AB32" s="85"/>
      <c r="AD32" s="85"/>
      <c r="AF32" s="85"/>
      <c r="AH32" s="85"/>
      <c r="AJ32" s="85"/>
      <c r="AL32" s="85"/>
      <c r="AN32" s="85"/>
      <c r="AP32" s="85"/>
      <c r="AR32" s="85"/>
      <c r="AT32" s="85"/>
      <c r="AV32" s="85"/>
      <c r="AW32" s="83"/>
    </row>
    <row r="33" spans="2:49">
      <c r="B33" s="82"/>
      <c r="AW33" s="83"/>
    </row>
    <row r="34" spans="2:49">
      <c r="B34" s="84"/>
      <c r="D34" s="85"/>
      <c r="F34" s="85"/>
      <c r="H34" s="85"/>
      <c r="J34" s="85"/>
      <c r="L34" s="85"/>
      <c r="N34" s="85"/>
      <c r="P34" s="85"/>
      <c r="R34" s="85"/>
      <c r="T34" s="85"/>
      <c r="V34" s="85"/>
      <c r="X34" s="85"/>
      <c r="Z34" s="85"/>
      <c r="AB34" s="85"/>
      <c r="AD34" s="85"/>
      <c r="AF34" s="85"/>
      <c r="AH34" s="85"/>
      <c r="AJ34" s="85"/>
      <c r="AL34" s="85"/>
      <c r="AN34" s="85"/>
      <c r="AP34" s="85"/>
      <c r="AR34" s="85"/>
      <c r="AT34" s="85"/>
      <c r="AV34" s="85"/>
      <c r="AW34" s="83"/>
    </row>
    <row r="35" spans="2:49">
      <c r="B35" s="82"/>
      <c r="AW35" s="83"/>
    </row>
    <row r="36" spans="2:49">
      <c r="B36" s="84"/>
      <c r="D36" s="85"/>
      <c r="F36" s="85"/>
      <c r="H36" s="85"/>
      <c r="J36" s="85"/>
      <c r="L36" s="85"/>
      <c r="N36" s="85"/>
      <c r="P36" s="85"/>
      <c r="R36" s="85"/>
      <c r="T36" s="85"/>
      <c r="V36" s="85"/>
      <c r="X36" s="85"/>
      <c r="Z36" s="85"/>
      <c r="AB36" s="85"/>
      <c r="AD36" s="85"/>
      <c r="AF36" s="85"/>
      <c r="AH36" s="85"/>
      <c r="AJ36" s="85"/>
      <c r="AL36" s="85"/>
      <c r="AN36" s="85"/>
      <c r="AP36" s="85"/>
      <c r="AR36" s="85"/>
      <c r="AT36" s="85"/>
      <c r="AV36" s="85"/>
      <c r="AW36" s="83"/>
    </row>
    <row r="37" spans="2:49">
      <c r="B37" s="82"/>
      <c r="AW37" s="83"/>
    </row>
    <row r="38" spans="2:49">
      <c r="B38" s="84"/>
      <c r="D38" s="85"/>
      <c r="F38" s="85"/>
      <c r="H38" s="85"/>
      <c r="J38" s="85"/>
      <c r="L38" s="85"/>
      <c r="N38" s="85"/>
      <c r="P38" s="85"/>
      <c r="R38" s="85"/>
      <c r="T38" s="85"/>
      <c r="V38" s="85"/>
      <c r="X38" s="85"/>
      <c r="Z38" s="85"/>
      <c r="AB38" s="85"/>
      <c r="AD38" s="85"/>
      <c r="AF38" s="85"/>
      <c r="AH38" s="85"/>
      <c r="AJ38" s="85"/>
      <c r="AL38" s="85"/>
      <c r="AN38" s="85"/>
      <c r="AP38" s="85"/>
      <c r="AR38" s="85"/>
      <c r="AT38" s="85"/>
      <c r="AV38" s="85"/>
      <c r="AW38" s="83"/>
    </row>
    <row r="39" spans="2:49">
      <c r="B39" s="82"/>
      <c r="AW39" s="83"/>
    </row>
    <row r="40" spans="2:49">
      <c r="B40" s="84"/>
      <c r="D40" s="85"/>
      <c r="F40" s="85"/>
      <c r="H40" s="85"/>
      <c r="J40" s="85"/>
      <c r="L40" s="85"/>
      <c r="N40" s="85"/>
      <c r="P40" s="85"/>
      <c r="R40" s="85"/>
      <c r="T40" s="85"/>
      <c r="V40" s="85"/>
      <c r="X40" s="85"/>
      <c r="Z40" s="85"/>
      <c r="AB40" s="85"/>
      <c r="AD40" s="85"/>
      <c r="AF40" s="85"/>
      <c r="AH40" s="85"/>
      <c r="AJ40" s="85"/>
      <c r="AL40" s="85"/>
      <c r="AN40" s="85"/>
      <c r="AP40" s="85"/>
      <c r="AR40" s="85"/>
      <c r="AT40" s="85"/>
      <c r="AV40" s="85"/>
      <c r="AW40" s="83"/>
    </row>
    <row r="41" spans="2:49">
      <c r="B41" s="82"/>
      <c r="AW41" s="83"/>
    </row>
    <row r="42" spans="2:49">
      <c r="B42" s="84"/>
      <c r="D42" s="85"/>
      <c r="F42" s="85"/>
      <c r="H42" s="85"/>
      <c r="J42" s="85"/>
      <c r="L42" s="85"/>
      <c r="N42" s="85"/>
      <c r="P42" s="85"/>
      <c r="R42" s="85"/>
      <c r="T42" s="85"/>
      <c r="V42" s="85"/>
      <c r="X42" s="85"/>
      <c r="Z42" s="85"/>
      <c r="AB42" s="85"/>
      <c r="AD42" s="85"/>
      <c r="AF42" s="85"/>
      <c r="AH42" s="85"/>
      <c r="AJ42" s="85"/>
      <c r="AL42" s="85"/>
      <c r="AN42" s="85"/>
      <c r="AP42" s="85"/>
      <c r="AR42" s="85"/>
      <c r="AT42" s="85"/>
      <c r="AV42" s="85"/>
      <c r="AW42" s="83"/>
    </row>
    <row r="43" spans="2:49">
      <c r="B43" s="82"/>
      <c r="AW43" s="83"/>
    </row>
    <row r="44" spans="2:49">
      <c r="B44" s="84"/>
      <c r="D44" s="85"/>
      <c r="F44" s="85"/>
      <c r="H44" s="85"/>
      <c r="J44" s="85"/>
      <c r="L44" s="85"/>
      <c r="N44" s="85"/>
      <c r="P44" s="85"/>
      <c r="R44" s="85"/>
      <c r="T44" s="85"/>
      <c r="V44" s="85"/>
      <c r="X44" s="85"/>
      <c r="Z44" s="85"/>
      <c r="AB44" s="85"/>
      <c r="AD44" s="85"/>
      <c r="AF44" s="85"/>
      <c r="AH44" s="85"/>
      <c r="AJ44" s="85"/>
      <c r="AL44" s="85"/>
      <c r="AN44" s="85"/>
      <c r="AP44" s="85"/>
      <c r="AR44" s="85"/>
      <c r="AT44" s="85"/>
      <c r="AV44" s="85"/>
      <c r="AW44" s="83"/>
    </row>
    <row r="45" spans="2:49">
      <c r="B45" s="82"/>
      <c r="AW45" s="83"/>
    </row>
    <row r="46" spans="2:49">
      <c r="B46" s="84"/>
      <c r="D46" s="85"/>
      <c r="F46" s="85"/>
      <c r="H46" s="85"/>
      <c r="J46" s="85"/>
      <c r="L46" s="85"/>
      <c r="N46" s="85"/>
      <c r="P46" s="85"/>
      <c r="R46" s="85"/>
      <c r="T46" s="85"/>
      <c r="V46" s="85"/>
      <c r="X46" s="85"/>
      <c r="Z46" s="85"/>
      <c r="AB46" s="85"/>
      <c r="AD46" s="85"/>
      <c r="AF46" s="85"/>
      <c r="AH46" s="85"/>
      <c r="AJ46" s="85"/>
      <c r="AL46" s="85"/>
      <c r="AN46" s="85"/>
      <c r="AP46" s="85"/>
      <c r="AR46" s="85"/>
      <c r="AT46" s="85"/>
      <c r="AV46" s="85"/>
      <c r="AW46" s="83"/>
    </row>
    <row r="47" spans="2:49">
      <c r="B47" s="82"/>
      <c r="AW47" s="83"/>
    </row>
    <row r="48" spans="2:49">
      <c r="B48" s="84"/>
      <c r="D48" s="85"/>
      <c r="F48" s="85"/>
      <c r="H48" s="85"/>
      <c r="J48" s="85"/>
      <c r="L48" s="85"/>
      <c r="N48" s="85"/>
      <c r="P48" s="85"/>
      <c r="R48" s="85"/>
      <c r="T48" s="85"/>
      <c r="V48" s="85"/>
      <c r="X48" s="85"/>
      <c r="Z48" s="85"/>
      <c r="AB48" s="85"/>
      <c r="AD48" s="85"/>
      <c r="AF48" s="85"/>
      <c r="AH48" s="85"/>
      <c r="AJ48" s="85"/>
      <c r="AL48" s="85"/>
      <c r="AN48" s="85"/>
      <c r="AP48" s="85"/>
      <c r="AR48" s="85"/>
      <c r="AT48" s="85"/>
      <c r="AV48" s="85"/>
      <c r="AW48" s="83"/>
    </row>
    <row r="49" spans="2:49">
      <c r="B49" s="82"/>
      <c r="AW49" s="83"/>
    </row>
    <row r="50" spans="2:49">
      <c r="B50" s="84"/>
      <c r="D50" s="85"/>
      <c r="F50" s="85"/>
      <c r="H50" s="85"/>
      <c r="J50" s="85"/>
      <c r="L50" s="85"/>
      <c r="N50" s="85"/>
      <c r="P50" s="85"/>
      <c r="R50" s="85"/>
      <c r="T50" s="85"/>
      <c r="V50" s="85"/>
      <c r="X50" s="85"/>
      <c r="Z50" s="85"/>
      <c r="AB50" s="85"/>
      <c r="AD50" s="85"/>
      <c r="AF50" s="85"/>
      <c r="AH50" s="85"/>
      <c r="AJ50" s="85"/>
      <c r="AL50" s="85"/>
      <c r="AN50" s="85"/>
      <c r="AP50" s="85"/>
      <c r="AR50" s="85"/>
      <c r="AT50" s="85"/>
      <c r="AV50" s="85"/>
      <c r="AW50" s="83"/>
    </row>
    <row r="51" spans="2:49">
      <c r="B51" s="82"/>
      <c r="AW51" s="83"/>
    </row>
    <row r="52" spans="2:49">
      <c r="B52" s="84"/>
      <c r="D52" s="85"/>
      <c r="F52" s="85"/>
      <c r="H52" s="85"/>
      <c r="J52" s="85"/>
      <c r="L52" s="85"/>
      <c r="N52" s="85"/>
      <c r="P52" s="85"/>
      <c r="R52" s="85"/>
      <c r="T52" s="85"/>
      <c r="V52" s="85"/>
      <c r="X52" s="85"/>
      <c r="Z52" s="85"/>
      <c r="AB52" s="85"/>
      <c r="AD52" s="85"/>
      <c r="AF52" s="85"/>
      <c r="AH52" s="85"/>
      <c r="AJ52" s="85"/>
      <c r="AL52" s="85"/>
      <c r="AN52" s="85"/>
      <c r="AP52" s="85"/>
      <c r="AR52" s="85"/>
      <c r="AT52" s="85"/>
      <c r="AV52" s="85"/>
      <c r="AW52" s="83"/>
    </row>
    <row r="53" spans="2:49">
      <c r="B53" s="82"/>
      <c r="AW53" s="83"/>
    </row>
    <row r="54" spans="2:49">
      <c r="B54" s="84"/>
      <c r="D54" s="85"/>
      <c r="F54" s="85"/>
      <c r="H54" s="85"/>
      <c r="J54" s="85"/>
      <c r="L54" s="85"/>
      <c r="N54" s="85"/>
      <c r="P54" s="85"/>
      <c r="R54" s="85"/>
      <c r="T54" s="85"/>
      <c r="V54" s="85"/>
      <c r="X54" s="85"/>
      <c r="Z54" s="85"/>
      <c r="AB54" s="85"/>
      <c r="AD54" s="85"/>
      <c r="AF54" s="85"/>
      <c r="AH54" s="85"/>
      <c r="AJ54" s="85"/>
      <c r="AL54" s="85"/>
      <c r="AN54" s="85"/>
      <c r="AP54" s="85"/>
      <c r="AR54" s="85"/>
      <c r="AT54" s="85"/>
      <c r="AV54" s="85"/>
      <c r="AW54" s="83"/>
    </row>
    <row r="55" spans="2:49">
      <c r="B55" s="82"/>
      <c r="AW55" s="83"/>
    </row>
    <row r="56" spans="2:49">
      <c r="B56" s="84"/>
      <c r="D56" s="85"/>
      <c r="F56" s="85"/>
      <c r="H56" s="85"/>
      <c r="J56" s="85"/>
      <c r="L56" s="85"/>
      <c r="N56" s="85"/>
      <c r="P56" s="85"/>
      <c r="R56" s="85"/>
      <c r="T56" s="85"/>
      <c r="V56" s="85"/>
      <c r="X56" s="85"/>
      <c r="Z56" s="85"/>
      <c r="AB56" s="85"/>
      <c r="AD56" s="85"/>
      <c r="AF56" s="85"/>
      <c r="AH56" s="85"/>
      <c r="AJ56" s="85"/>
      <c r="AL56" s="85"/>
      <c r="AN56" s="85"/>
      <c r="AP56" s="85"/>
      <c r="AR56" s="85"/>
      <c r="AT56" s="85"/>
      <c r="AV56" s="85"/>
      <c r="AW56" s="83"/>
    </row>
    <row r="57" spans="2:49">
      <c r="B57" s="82"/>
      <c r="AW57" s="83"/>
    </row>
    <row r="58" spans="2:49">
      <c r="B58" s="84"/>
      <c r="D58" s="85"/>
      <c r="F58" s="85"/>
      <c r="H58" s="85"/>
      <c r="J58" s="85"/>
      <c r="L58" s="85"/>
      <c r="N58" s="85"/>
      <c r="P58" s="85"/>
      <c r="R58" s="85"/>
      <c r="T58" s="85"/>
      <c r="V58" s="85"/>
      <c r="X58" s="85"/>
      <c r="Z58" s="85"/>
      <c r="AB58" s="85"/>
      <c r="AD58" s="85"/>
      <c r="AF58" s="85"/>
      <c r="AH58" s="85"/>
      <c r="AJ58" s="85"/>
      <c r="AL58" s="85"/>
      <c r="AN58" s="85"/>
      <c r="AP58" s="85"/>
      <c r="AR58" s="85"/>
      <c r="AT58" s="85"/>
      <c r="AV58" s="85"/>
      <c r="AW58" s="83"/>
    </row>
    <row r="59" spans="2:49">
      <c r="B59" s="82"/>
      <c r="AW59" s="83"/>
    </row>
    <row r="60" spans="2:49">
      <c r="B60" s="84"/>
      <c r="D60" s="85"/>
      <c r="F60" s="85"/>
      <c r="H60" s="85"/>
      <c r="J60" s="85"/>
      <c r="L60" s="85"/>
      <c r="N60" s="85"/>
      <c r="P60" s="85"/>
      <c r="R60" s="85"/>
      <c r="T60" s="85"/>
      <c r="V60" s="85"/>
      <c r="X60" s="85"/>
      <c r="Z60" s="85"/>
      <c r="AB60" s="85"/>
      <c r="AD60" s="85"/>
      <c r="AF60" s="85"/>
      <c r="AH60" s="85"/>
      <c r="AJ60" s="85"/>
      <c r="AL60" s="85"/>
      <c r="AN60" s="85"/>
      <c r="AP60" s="85"/>
      <c r="AR60" s="85"/>
      <c r="AT60" s="85"/>
      <c r="AV60" s="85"/>
      <c r="AW60" s="83"/>
    </row>
    <row r="61" spans="2:49">
      <c r="B61" s="82"/>
      <c r="AW61" s="83"/>
    </row>
    <row r="62" spans="2:49">
      <c r="B62" s="84"/>
      <c r="D62" s="85"/>
      <c r="F62" s="85"/>
      <c r="H62" s="85"/>
      <c r="J62" s="85"/>
      <c r="L62" s="85"/>
      <c r="N62" s="85"/>
      <c r="P62" s="85"/>
      <c r="R62" s="85"/>
      <c r="T62" s="85"/>
      <c r="V62" s="85"/>
      <c r="X62" s="85"/>
      <c r="Z62" s="85"/>
      <c r="AB62" s="85"/>
      <c r="AD62" s="85"/>
      <c r="AF62" s="85"/>
      <c r="AH62" s="85"/>
      <c r="AJ62" s="85"/>
      <c r="AL62" s="85"/>
      <c r="AN62" s="85"/>
      <c r="AP62" s="85"/>
      <c r="AR62" s="85"/>
      <c r="AT62" s="85"/>
      <c r="AV62" s="85"/>
      <c r="AW62" s="83"/>
    </row>
    <row r="63" spans="2:49">
      <c r="B63" s="82"/>
      <c r="AW63" s="83"/>
    </row>
    <row r="64" spans="2:49">
      <c r="B64" s="84"/>
      <c r="D64" s="85"/>
      <c r="F64" s="85"/>
      <c r="H64" s="85"/>
      <c r="J64" s="85"/>
      <c r="L64" s="85"/>
      <c r="N64" s="85"/>
      <c r="P64" s="85"/>
      <c r="R64" s="85"/>
      <c r="T64" s="85"/>
      <c r="V64" s="85"/>
      <c r="X64" s="85"/>
      <c r="Z64" s="85"/>
      <c r="AB64" s="85"/>
      <c r="AD64" s="85"/>
      <c r="AF64" s="85"/>
      <c r="AH64" s="85"/>
      <c r="AJ64" s="85"/>
      <c r="AL64" s="85"/>
      <c r="AN64" s="85"/>
      <c r="AP64" s="85"/>
      <c r="AR64" s="85"/>
      <c r="AT64" s="85"/>
      <c r="AV64" s="85"/>
      <c r="AW64" s="83"/>
    </row>
    <row r="65" spans="2:49">
      <c r="B65" s="82"/>
      <c r="AW65" s="83"/>
    </row>
    <row r="66" spans="2:49">
      <c r="B66" s="84"/>
      <c r="D66" s="85"/>
      <c r="F66" s="85"/>
      <c r="H66" s="85"/>
      <c r="J66" s="85"/>
      <c r="L66" s="85"/>
      <c r="N66" s="85"/>
      <c r="P66" s="85"/>
      <c r="R66" s="85"/>
      <c r="T66" s="85"/>
      <c r="V66" s="85"/>
      <c r="X66" s="85"/>
      <c r="Z66" s="85"/>
      <c r="AB66" s="85"/>
      <c r="AD66" s="85"/>
      <c r="AF66" s="85"/>
      <c r="AH66" s="85"/>
      <c r="AJ66" s="85"/>
      <c r="AL66" s="85"/>
      <c r="AN66" s="85"/>
      <c r="AP66" s="85"/>
      <c r="AR66" s="85"/>
      <c r="AT66" s="85"/>
      <c r="AV66" s="85"/>
      <c r="AW66" s="83"/>
    </row>
    <row r="67" spans="2:49">
      <c r="B67" s="82"/>
      <c r="AW67" s="83"/>
    </row>
    <row r="68" spans="2:49">
      <c r="B68" s="84"/>
      <c r="D68" s="85"/>
      <c r="F68" s="85"/>
      <c r="H68" s="85"/>
      <c r="J68" s="85"/>
      <c r="L68" s="85"/>
      <c r="N68" s="85"/>
      <c r="P68" s="85"/>
      <c r="R68" s="85"/>
      <c r="T68" s="85"/>
      <c r="V68" s="85"/>
      <c r="X68" s="85"/>
      <c r="Z68" s="85"/>
      <c r="AB68" s="85"/>
      <c r="AD68" s="85"/>
      <c r="AF68" s="85"/>
      <c r="AH68" s="85"/>
      <c r="AJ68" s="85"/>
      <c r="AL68" s="85"/>
      <c r="AN68" s="85"/>
      <c r="AP68" s="85"/>
      <c r="AR68" s="85"/>
      <c r="AT68" s="85"/>
      <c r="AV68" s="85"/>
      <c r="AW68" s="83"/>
    </row>
    <row r="69" spans="2:49">
      <c r="B69" s="82"/>
      <c r="AW69" s="83"/>
    </row>
    <row r="70" spans="2:49">
      <c r="B70" s="84"/>
      <c r="D70" s="85"/>
      <c r="F70" s="85"/>
      <c r="H70" s="85"/>
      <c r="J70" s="85"/>
      <c r="L70" s="85"/>
      <c r="N70" s="85"/>
      <c r="P70" s="85"/>
      <c r="R70" s="85"/>
      <c r="T70" s="85"/>
      <c r="V70" s="85"/>
      <c r="X70" s="85"/>
      <c r="Z70" s="85"/>
      <c r="AB70" s="85"/>
      <c r="AD70" s="85"/>
      <c r="AF70" s="85"/>
      <c r="AH70" s="85"/>
      <c r="AJ70" s="85"/>
      <c r="AL70" s="85"/>
      <c r="AN70" s="85"/>
      <c r="AP70" s="85"/>
      <c r="AR70" s="85"/>
      <c r="AT70" s="85"/>
      <c r="AV70" s="85"/>
      <c r="AW70" s="83"/>
    </row>
    <row r="71" spans="2:49">
      <c r="B71" s="82"/>
      <c r="AW71" s="83"/>
    </row>
    <row r="72" spans="2:49">
      <c r="B72" s="84"/>
      <c r="D72" s="85"/>
      <c r="F72" s="85"/>
      <c r="H72" s="85"/>
      <c r="J72" s="85"/>
      <c r="L72" s="85"/>
      <c r="N72" s="85"/>
      <c r="P72" s="85"/>
      <c r="R72" s="85"/>
      <c r="T72" s="85"/>
      <c r="V72" s="85"/>
      <c r="X72" s="85"/>
      <c r="Z72" s="85"/>
      <c r="AB72" s="85"/>
      <c r="AD72" s="85"/>
      <c r="AF72" s="85"/>
      <c r="AH72" s="85"/>
      <c r="AJ72" s="85"/>
      <c r="AL72" s="85"/>
      <c r="AN72" s="85"/>
      <c r="AP72" s="85"/>
      <c r="AR72" s="85"/>
      <c r="AT72" s="85"/>
      <c r="AV72" s="85"/>
      <c r="AW72" s="83"/>
    </row>
    <row r="73" spans="2:49">
      <c r="B73" s="82"/>
      <c r="AW73" s="83"/>
    </row>
    <row r="74" spans="2:49">
      <c r="B74" s="84"/>
      <c r="D74" s="85"/>
      <c r="F74" s="85"/>
      <c r="H74" s="85"/>
      <c r="J74" s="85"/>
      <c r="L74" s="85"/>
      <c r="N74" s="85"/>
      <c r="P74" s="85"/>
      <c r="R74" s="85"/>
      <c r="T74" s="85"/>
      <c r="V74" s="85"/>
      <c r="X74" s="85"/>
      <c r="Z74" s="85"/>
      <c r="AB74" s="85"/>
      <c r="AD74" s="85"/>
      <c r="AF74" s="85"/>
      <c r="AH74" s="85"/>
      <c r="AJ74" s="85"/>
      <c r="AL74" s="85"/>
      <c r="AN74" s="85"/>
      <c r="AP74" s="85"/>
      <c r="AR74" s="85"/>
      <c r="AT74" s="85"/>
      <c r="AV74" s="85"/>
      <c r="AW74" s="83"/>
    </row>
    <row r="75" spans="2:49">
      <c r="B75" s="82"/>
      <c r="AW75" s="83"/>
    </row>
    <row r="76" spans="2:49">
      <c r="B76" s="84"/>
      <c r="D76" s="85"/>
      <c r="F76" s="85"/>
      <c r="H76" s="85"/>
      <c r="J76" s="85"/>
      <c r="L76" s="85"/>
      <c r="N76" s="85"/>
      <c r="P76" s="85"/>
      <c r="R76" s="85"/>
      <c r="T76" s="85"/>
      <c r="V76" s="85"/>
      <c r="X76" s="85"/>
      <c r="Z76" s="85"/>
      <c r="AB76" s="85"/>
      <c r="AD76" s="85"/>
      <c r="AF76" s="85"/>
      <c r="AH76" s="85"/>
      <c r="AJ76" s="85"/>
      <c r="AL76" s="85"/>
      <c r="AN76" s="85"/>
      <c r="AP76" s="85"/>
      <c r="AR76" s="85"/>
      <c r="AT76" s="85"/>
      <c r="AV76" s="85"/>
      <c r="AW76" s="83"/>
    </row>
    <row r="77" spans="2:49">
      <c r="B77" s="82"/>
      <c r="AW77" s="83"/>
    </row>
    <row r="78" spans="2:49">
      <c r="B78" s="84"/>
      <c r="D78" s="85"/>
      <c r="F78" s="85"/>
      <c r="H78" s="85"/>
      <c r="J78" s="85"/>
      <c r="L78" s="85"/>
      <c r="N78" s="85"/>
      <c r="P78" s="85"/>
      <c r="R78" s="85"/>
      <c r="T78" s="85"/>
      <c r="V78" s="85"/>
      <c r="X78" s="85"/>
      <c r="Z78" s="85"/>
      <c r="AB78" s="85"/>
      <c r="AD78" s="85"/>
      <c r="AF78" s="85"/>
      <c r="AH78" s="85"/>
      <c r="AJ78" s="85"/>
      <c r="AL78" s="85"/>
      <c r="AN78" s="85"/>
      <c r="AP78" s="85"/>
      <c r="AR78" s="85"/>
      <c r="AT78" s="85"/>
      <c r="AV78" s="85"/>
      <c r="AW78" s="83"/>
    </row>
    <row r="79" spans="2:49">
      <c r="B79" s="82"/>
      <c r="AW79" s="83"/>
    </row>
    <row r="80" spans="2:49">
      <c r="B80" s="84"/>
      <c r="D80" s="85"/>
      <c r="F80" s="85"/>
      <c r="H80" s="85"/>
      <c r="J80" s="85"/>
      <c r="L80" s="85"/>
      <c r="N80" s="85"/>
      <c r="P80" s="85"/>
      <c r="R80" s="85"/>
      <c r="T80" s="85"/>
      <c r="V80" s="85"/>
      <c r="X80" s="85"/>
      <c r="Z80" s="85"/>
      <c r="AB80" s="85"/>
      <c r="AD80" s="85"/>
      <c r="AF80" s="85"/>
      <c r="AH80" s="85"/>
      <c r="AJ80" s="85"/>
      <c r="AL80" s="85"/>
      <c r="AN80" s="85"/>
      <c r="AP80" s="85"/>
      <c r="AR80" s="85"/>
      <c r="AT80" s="85"/>
      <c r="AV80" s="85"/>
      <c r="AW80" s="83"/>
    </row>
    <row r="81" spans="2:49">
      <c r="B81" s="82"/>
      <c r="AW81" s="83"/>
    </row>
    <row r="82" spans="2:49">
      <c r="B82" s="84"/>
      <c r="D82" s="85"/>
      <c r="F82" s="85"/>
      <c r="H82" s="85"/>
      <c r="J82" s="85"/>
      <c r="L82" s="85"/>
      <c r="N82" s="85"/>
      <c r="P82" s="85"/>
      <c r="R82" s="85"/>
      <c r="T82" s="85"/>
      <c r="V82" s="85"/>
      <c r="X82" s="85"/>
      <c r="Z82" s="85"/>
      <c r="AB82" s="85"/>
      <c r="AD82" s="85"/>
      <c r="AF82" s="85"/>
      <c r="AH82" s="85"/>
      <c r="AJ82" s="85"/>
      <c r="AL82" s="85"/>
      <c r="AN82" s="85"/>
      <c r="AP82" s="85"/>
      <c r="AR82" s="85"/>
      <c r="AT82" s="85"/>
      <c r="AV82" s="85"/>
      <c r="AW82" s="83"/>
    </row>
    <row r="83" spans="2:49">
      <c r="B83" s="82"/>
      <c r="AW83" s="83"/>
    </row>
    <row r="84" spans="2:49">
      <c r="B84" s="84"/>
      <c r="D84" s="85"/>
      <c r="F84" s="85"/>
      <c r="H84" s="85"/>
      <c r="J84" s="85"/>
      <c r="L84" s="85"/>
      <c r="N84" s="85"/>
      <c r="P84" s="85"/>
      <c r="R84" s="85"/>
      <c r="T84" s="85"/>
      <c r="V84" s="85"/>
      <c r="X84" s="85"/>
      <c r="Z84" s="85"/>
      <c r="AB84" s="85"/>
      <c r="AD84" s="85"/>
      <c r="AF84" s="85"/>
      <c r="AH84" s="85"/>
      <c r="AJ84" s="85"/>
      <c r="AL84" s="85"/>
      <c r="AN84" s="85"/>
      <c r="AP84" s="85"/>
      <c r="AR84" s="85"/>
      <c r="AT84" s="85"/>
      <c r="AV84" s="85"/>
      <c r="AW84" s="83"/>
    </row>
    <row r="85" spans="2:49">
      <c r="B85" s="82"/>
      <c r="AW85" s="83"/>
    </row>
    <row r="86" spans="2:49">
      <c r="B86" s="84"/>
      <c r="D86" s="85"/>
      <c r="F86" s="85"/>
      <c r="H86" s="85"/>
      <c r="J86" s="85"/>
      <c r="L86" s="85"/>
      <c r="N86" s="85"/>
      <c r="P86" s="85"/>
      <c r="R86" s="85"/>
      <c r="T86" s="85"/>
      <c r="V86" s="85"/>
      <c r="X86" s="85"/>
      <c r="Z86" s="85"/>
      <c r="AB86" s="85"/>
      <c r="AD86" s="85"/>
      <c r="AF86" s="85"/>
      <c r="AH86" s="85"/>
      <c r="AJ86" s="85"/>
      <c r="AL86" s="85"/>
      <c r="AN86" s="85"/>
      <c r="AP86" s="85"/>
      <c r="AR86" s="85"/>
      <c r="AT86" s="85"/>
      <c r="AV86" s="85"/>
      <c r="AW86" s="83"/>
    </row>
    <row r="87" spans="2:49">
      <c r="B87" s="82"/>
      <c r="AW87" s="83"/>
    </row>
    <row r="88" spans="2:49">
      <c r="B88" s="84"/>
      <c r="D88" s="85"/>
      <c r="F88" s="85"/>
      <c r="H88" s="85"/>
      <c r="J88" s="85"/>
      <c r="L88" s="85"/>
      <c r="N88" s="85"/>
      <c r="P88" s="85"/>
      <c r="R88" s="85"/>
      <c r="T88" s="85"/>
      <c r="V88" s="85"/>
      <c r="X88" s="85"/>
      <c r="Z88" s="85"/>
      <c r="AB88" s="85"/>
      <c r="AD88" s="85"/>
      <c r="AF88" s="85"/>
      <c r="AH88" s="85"/>
      <c r="AJ88" s="85"/>
      <c r="AL88" s="85"/>
      <c r="AN88" s="85"/>
      <c r="AP88" s="85"/>
      <c r="AR88" s="85"/>
      <c r="AT88" s="85"/>
      <c r="AV88" s="85"/>
      <c r="AW88" s="83"/>
    </row>
    <row r="89" spans="2:49">
      <c r="B89" s="82"/>
      <c r="AW89" s="83"/>
    </row>
    <row r="90" spans="2:49">
      <c r="B90" s="84"/>
      <c r="D90" s="85"/>
      <c r="F90" s="85"/>
      <c r="H90" s="85"/>
      <c r="J90" s="85"/>
      <c r="L90" s="85"/>
      <c r="N90" s="85"/>
      <c r="P90" s="85"/>
      <c r="R90" s="85"/>
      <c r="T90" s="85"/>
      <c r="V90" s="85"/>
      <c r="X90" s="85"/>
      <c r="Z90" s="85"/>
      <c r="AB90" s="85"/>
      <c r="AD90" s="85"/>
      <c r="AF90" s="85"/>
      <c r="AH90" s="85"/>
      <c r="AJ90" s="85"/>
      <c r="AL90" s="85"/>
      <c r="AN90" s="85"/>
      <c r="AP90" s="85"/>
      <c r="AR90" s="85"/>
      <c r="AT90" s="85"/>
      <c r="AV90" s="85"/>
      <c r="AW90" s="83"/>
    </row>
    <row r="91" spans="2:49">
      <c r="B91" s="82"/>
      <c r="AW91" s="83"/>
    </row>
    <row r="92" spans="2:49">
      <c r="B92" s="84"/>
      <c r="D92" s="85"/>
      <c r="F92" s="85"/>
      <c r="H92" s="85"/>
      <c r="J92" s="85"/>
      <c r="L92" s="85"/>
      <c r="N92" s="85"/>
      <c r="P92" s="85"/>
      <c r="R92" s="85"/>
      <c r="T92" s="85"/>
      <c r="V92" s="85"/>
      <c r="X92" s="85"/>
      <c r="Z92" s="85"/>
      <c r="AB92" s="85"/>
      <c r="AD92" s="85"/>
      <c r="AF92" s="85"/>
      <c r="AH92" s="85"/>
      <c r="AJ92" s="85"/>
      <c r="AL92" s="85"/>
      <c r="AN92" s="85"/>
      <c r="AP92" s="85"/>
      <c r="AR92" s="85"/>
      <c r="AT92" s="85"/>
      <c r="AV92" s="85"/>
      <c r="AW92" s="83"/>
    </row>
    <row r="93" spans="2:49">
      <c r="B93" s="82"/>
      <c r="AW93" s="83"/>
    </row>
    <row r="94" spans="2:49">
      <c r="B94" s="84"/>
      <c r="D94" s="85"/>
      <c r="F94" s="85"/>
      <c r="H94" s="85"/>
      <c r="J94" s="85"/>
      <c r="L94" s="85"/>
      <c r="N94" s="85"/>
      <c r="P94" s="85"/>
      <c r="R94" s="85"/>
      <c r="T94" s="85"/>
      <c r="V94" s="85"/>
      <c r="X94" s="85"/>
      <c r="Z94" s="85"/>
      <c r="AB94" s="85"/>
      <c r="AD94" s="85"/>
      <c r="AF94" s="85"/>
      <c r="AH94" s="85"/>
      <c r="AJ94" s="85"/>
      <c r="AL94" s="85"/>
      <c r="AN94" s="85"/>
      <c r="AP94" s="85"/>
      <c r="AR94" s="85"/>
      <c r="AT94" s="85"/>
      <c r="AV94" s="85"/>
      <c r="AW94" s="83"/>
    </row>
    <row r="95" spans="2:49">
      <c r="B95" s="82"/>
      <c r="AW95" s="83"/>
    </row>
    <row r="96" spans="2:49">
      <c r="B96" s="84"/>
      <c r="D96" s="85"/>
      <c r="F96" s="85"/>
      <c r="H96" s="85"/>
      <c r="J96" s="85"/>
      <c r="L96" s="85"/>
      <c r="N96" s="85"/>
      <c r="P96" s="85"/>
      <c r="R96" s="85"/>
      <c r="T96" s="85"/>
      <c r="V96" s="85"/>
      <c r="X96" s="85"/>
      <c r="Z96" s="85"/>
      <c r="AB96" s="85"/>
      <c r="AD96" s="85"/>
      <c r="AF96" s="85"/>
      <c r="AH96" s="85"/>
      <c r="AJ96" s="85"/>
      <c r="AL96" s="85"/>
      <c r="AN96" s="85"/>
      <c r="AP96" s="85"/>
      <c r="AR96" s="85"/>
      <c r="AT96" s="85"/>
      <c r="AV96" s="85"/>
      <c r="AW96" s="83"/>
    </row>
    <row r="97" spans="2:49">
      <c r="B97" s="82"/>
      <c r="AW97" s="83"/>
    </row>
    <row r="98" spans="2:49">
      <c r="B98" s="84"/>
      <c r="D98" s="85"/>
      <c r="F98" s="85"/>
      <c r="H98" s="85"/>
      <c r="J98" s="85"/>
      <c r="L98" s="85"/>
      <c r="N98" s="85"/>
      <c r="P98" s="85"/>
      <c r="R98" s="85"/>
      <c r="T98" s="85"/>
      <c r="V98" s="85"/>
      <c r="X98" s="85"/>
      <c r="Z98" s="85"/>
      <c r="AB98" s="85"/>
      <c r="AD98" s="85"/>
      <c r="AF98" s="85"/>
      <c r="AH98" s="85"/>
      <c r="AJ98" s="85"/>
      <c r="AL98" s="85"/>
      <c r="AN98" s="85"/>
      <c r="AP98" s="85"/>
      <c r="AR98" s="85"/>
      <c r="AT98" s="85"/>
      <c r="AV98" s="85"/>
      <c r="AW98" s="83"/>
    </row>
    <row r="99" spans="2:49">
      <c r="B99" s="82"/>
      <c r="AW99" s="83"/>
    </row>
    <row r="100" spans="2:49">
      <c r="B100" s="84"/>
      <c r="D100" s="85"/>
      <c r="F100" s="85"/>
      <c r="H100" s="85"/>
      <c r="J100" s="85"/>
      <c r="L100" s="85"/>
      <c r="N100" s="85"/>
      <c r="P100" s="85"/>
      <c r="R100" s="85"/>
      <c r="T100" s="85"/>
      <c r="V100" s="85"/>
      <c r="X100" s="85"/>
      <c r="Z100" s="85"/>
      <c r="AB100" s="85"/>
      <c r="AD100" s="85"/>
      <c r="AF100" s="85"/>
      <c r="AH100" s="85"/>
      <c r="AJ100" s="85"/>
      <c r="AL100" s="85"/>
      <c r="AN100" s="85"/>
      <c r="AP100" s="85"/>
      <c r="AR100" s="85"/>
      <c r="AT100" s="85"/>
      <c r="AV100" s="85"/>
      <c r="AW100" s="83"/>
    </row>
    <row r="101" spans="2:49">
      <c r="B101" s="82"/>
      <c r="AW101" s="83"/>
    </row>
    <row r="102" spans="2:49">
      <c r="B102" s="84"/>
      <c r="D102" s="85"/>
      <c r="F102" s="85"/>
      <c r="H102" s="85"/>
      <c r="J102" s="85"/>
      <c r="L102" s="85"/>
      <c r="N102" s="85"/>
      <c r="P102" s="85"/>
      <c r="R102" s="85"/>
      <c r="T102" s="85"/>
      <c r="V102" s="85"/>
      <c r="X102" s="85"/>
      <c r="Z102" s="85"/>
      <c r="AB102" s="85"/>
      <c r="AD102" s="85"/>
      <c r="AF102" s="85"/>
      <c r="AH102" s="85"/>
      <c r="AJ102" s="85"/>
      <c r="AL102" s="85"/>
      <c r="AN102" s="85"/>
      <c r="AP102" s="85"/>
      <c r="AR102" s="85"/>
      <c r="AT102" s="85"/>
      <c r="AV102" s="85"/>
      <c r="AW102" s="83"/>
    </row>
    <row r="103" spans="2:49">
      <c r="B103" s="82"/>
      <c r="AW103" s="83"/>
    </row>
    <row r="104" spans="2:49">
      <c r="B104" s="84"/>
      <c r="D104" s="85"/>
      <c r="F104" s="85"/>
      <c r="H104" s="85"/>
      <c r="J104" s="85"/>
      <c r="L104" s="85"/>
      <c r="N104" s="85"/>
      <c r="P104" s="85"/>
      <c r="R104" s="85"/>
      <c r="T104" s="85"/>
      <c r="V104" s="85"/>
      <c r="X104" s="85"/>
      <c r="Z104" s="85"/>
      <c r="AB104" s="85"/>
      <c r="AD104" s="85"/>
      <c r="AF104" s="85"/>
      <c r="AH104" s="85"/>
      <c r="AJ104" s="85"/>
      <c r="AL104" s="85"/>
      <c r="AN104" s="85"/>
      <c r="AP104" s="85"/>
      <c r="AR104" s="85"/>
      <c r="AT104" s="85"/>
      <c r="AV104" s="85"/>
      <c r="AW104" s="83"/>
    </row>
    <row r="105" spans="2:49">
      <c r="B105" s="82"/>
      <c r="AW105" s="83"/>
    </row>
    <row r="106" spans="2:49">
      <c r="B106" s="84"/>
      <c r="D106" s="85"/>
      <c r="F106" s="85"/>
      <c r="H106" s="85"/>
      <c r="J106" s="85"/>
      <c r="L106" s="85"/>
      <c r="N106" s="85"/>
      <c r="P106" s="85"/>
      <c r="R106" s="85"/>
      <c r="T106" s="85"/>
      <c r="V106" s="85"/>
      <c r="X106" s="85"/>
      <c r="Z106" s="85"/>
      <c r="AB106" s="85"/>
      <c r="AD106" s="85"/>
      <c r="AF106" s="85"/>
      <c r="AH106" s="85"/>
      <c r="AJ106" s="85"/>
      <c r="AL106" s="85"/>
      <c r="AN106" s="85"/>
      <c r="AP106" s="85"/>
      <c r="AR106" s="85"/>
      <c r="AT106" s="85"/>
      <c r="AV106" s="85"/>
      <c r="AW106" s="83"/>
    </row>
    <row r="107" spans="2:49">
      <c r="B107" s="82"/>
      <c r="AW107" s="83"/>
    </row>
    <row r="108" spans="2:49">
      <c r="B108" s="84"/>
      <c r="D108" s="85"/>
      <c r="F108" s="85"/>
      <c r="H108" s="85"/>
      <c r="J108" s="85"/>
      <c r="L108" s="85"/>
      <c r="N108" s="85"/>
      <c r="P108" s="85"/>
      <c r="R108" s="85"/>
      <c r="T108" s="85"/>
      <c r="V108" s="85"/>
      <c r="X108" s="85"/>
      <c r="Z108" s="85"/>
      <c r="AB108" s="85"/>
      <c r="AD108" s="85"/>
      <c r="AF108" s="85"/>
      <c r="AH108" s="85"/>
      <c r="AJ108" s="85"/>
      <c r="AL108" s="85"/>
      <c r="AN108" s="85"/>
      <c r="AP108" s="85"/>
      <c r="AR108" s="85"/>
      <c r="AT108" s="85"/>
      <c r="AV108" s="85"/>
      <c r="AW108" s="83"/>
    </row>
    <row r="109" spans="2:49">
      <c r="B109" s="82"/>
      <c r="AW109" s="83"/>
    </row>
    <row r="110" spans="2:49">
      <c r="B110" s="84"/>
      <c r="D110" s="85"/>
      <c r="F110" s="85"/>
      <c r="H110" s="85"/>
      <c r="J110" s="85"/>
      <c r="L110" s="85"/>
      <c r="N110" s="85"/>
      <c r="P110" s="85"/>
      <c r="R110" s="85"/>
      <c r="T110" s="85"/>
      <c r="V110" s="85"/>
      <c r="X110" s="85"/>
      <c r="Z110" s="85"/>
      <c r="AB110" s="85"/>
      <c r="AD110" s="85"/>
      <c r="AF110" s="85"/>
      <c r="AH110" s="85"/>
      <c r="AJ110" s="85"/>
      <c r="AL110" s="85"/>
      <c r="AN110" s="85"/>
      <c r="AP110" s="85"/>
      <c r="AR110" s="85"/>
      <c r="AT110" s="85"/>
      <c r="AV110" s="85"/>
      <c r="AW110" s="83"/>
    </row>
    <row r="111" spans="2:49">
      <c r="B111" s="82"/>
      <c r="AW111" s="83"/>
    </row>
    <row r="112" spans="2:49">
      <c r="B112" s="84"/>
      <c r="D112" s="85"/>
      <c r="F112" s="85"/>
      <c r="H112" s="85"/>
      <c r="J112" s="85"/>
      <c r="L112" s="85"/>
      <c r="N112" s="85"/>
      <c r="P112" s="85"/>
      <c r="R112" s="85"/>
      <c r="T112" s="85"/>
      <c r="V112" s="85"/>
      <c r="X112" s="85"/>
      <c r="Z112" s="85"/>
      <c r="AB112" s="85"/>
      <c r="AD112" s="85"/>
      <c r="AF112" s="85"/>
      <c r="AH112" s="85"/>
      <c r="AJ112" s="85"/>
      <c r="AL112" s="85"/>
      <c r="AN112" s="85"/>
      <c r="AP112" s="85"/>
      <c r="AR112" s="85"/>
      <c r="AT112" s="85"/>
      <c r="AV112" s="85"/>
      <c r="AW112" s="83"/>
    </row>
    <row r="113" spans="2:49">
      <c r="B113" s="82"/>
      <c r="AW113" s="83"/>
    </row>
    <row r="114" spans="2:49">
      <c r="B114" s="84"/>
      <c r="D114" s="85"/>
      <c r="F114" s="85"/>
      <c r="H114" s="85"/>
      <c r="J114" s="85"/>
      <c r="L114" s="85"/>
      <c r="N114" s="85"/>
      <c r="P114" s="85"/>
      <c r="R114" s="85"/>
      <c r="T114" s="85"/>
      <c r="V114" s="85"/>
      <c r="X114" s="85"/>
      <c r="Z114" s="85"/>
      <c r="AB114" s="85"/>
      <c r="AD114" s="85"/>
      <c r="AF114" s="85"/>
      <c r="AH114" s="85"/>
      <c r="AJ114" s="85"/>
      <c r="AL114" s="85"/>
      <c r="AN114" s="85"/>
      <c r="AP114" s="85"/>
      <c r="AR114" s="85"/>
      <c r="AT114" s="85"/>
      <c r="AV114" s="85"/>
      <c r="AW114" s="83"/>
    </row>
    <row r="115" spans="2:49">
      <c r="B115" s="82"/>
      <c r="AW115" s="83"/>
    </row>
    <row r="116" spans="2:49">
      <c r="B116" s="84"/>
      <c r="D116" s="85"/>
      <c r="F116" s="85"/>
      <c r="H116" s="85"/>
      <c r="J116" s="85"/>
      <c r="L116" s="85"/>
      <c r="N116" s="85"/>
      <c r="P116" s="85"/>
      <c r="R116" s="85"/>
      <c r="T116" s="85"/>
      <c r="V116" s="85"/>
      <c r="X116" s="85"/>
      <c r="Z116" s="85"/>
      <c r="AB116" s="85"/>
      <c r="AD116" s="85"/>
      <c r="AF116" s="85"/>
      <c r="AH116" s="85"/>
      <c r="AJ116" s="85"/>
      <c r="AL116" s="85"/>
      <c r="AN116" s="85"/>
      <c r="AP116" s="85"/>
      <c r="AR116" s="85"/>
      <c r="AT116" s="85"/>
      <c r="AV116" s="85"/>
      <c r="AW116" s="83"/>
    </row>
    <row r="117" spans="2:49">
      <c r="B117" s="82"/>
      <c r="AW117" s="83"/>
    </row>
    <row r="118" spans="2:49">
      <c r="B118" s="84"/>
      <c r="D118" s="85"/>
      <c r="F118" s="85"/>
      <c r="H118" s="85"/>
      <c r="J118" s="85"/>
      <c r="L118" s="85"/>
      <c r="N118" s="85"/>
      <c r="P118" s="85"/>
      <c r="R118" s="85"/>
      <c r="T118" s="85"/>
      <c r="V118" s="85"/>
      <c r="X118" s="85"/>
      <c r="Z118" s="85"/>
      <c r="AB118" s="85"/>
      <c r="AD118" s="85"/>
      <c r="AF118" s="85"/>
      <c r="AH118" s="85"/>
      <c r="AJ118" s="85"/>
      <c r="AL118" s="85"/>
      <c r="AN118" s="85"/>
      <c r="AP118" s="85"/>
      <c r="AR118" s="85"/>
      <c r="AT118" s="85"/>
      <c r="AV118" s="85"/>
      <c r="AW118" s="83"/>
    </row>
    <row r="119" spans="2:49">
      <c r="B119" s="82"/>
      <c r="AW119" s="83"/>
    </row>
    <row r="120" spans="2:49">
      <c r="B120" s="84"/>
      <c r="D120" s="85"/>
      <c r="F120" s="85"/>
      <c r="H120" s="85"/>
      <c r="J120" s="85"/>
      <c r="L120" s="85"/>
      <c r="N120" s="85"/>
      <c r="P120" s="85"/>
      <c r="R120" s="85"/>
      <c r="T120" s="85"/>
      <c r="V120" s="85"/>
      <c r="X120" s="85"/>
      <c r="Z120" s="85"/>
      <c r="AB120" s="85"/>
      <c r="AD120" s="85"/>
      <c r="AF120" s="85"/>
      <c r="AH120" s="85"/>
      <c r="AJ120" s="85"/>
      <c r="AL120" s="85"/>
      <c r="AN120" s="85"/>
      <c r="AP120" s="85"/>
      <c r="AR120" s="85"/>
      <c r="AT120" s="85"/>
      <c r="AV120" s="85"/>
      <c r="AW120" s="83"/>
    </row>
    <row r="121" spans="2:49">
      <c r="B121" s="82"/>
      <c r="AW121" s="83"/>
    </row>
    <row r="122" spans="2:49">
      <c r="B122" s="84"/>
      <c r="D122" s="85"/>
      <c r="F122" s="85"/>
      <c r="H122" s="85"/>
      <c r="J122" s="85"/>
      <c r="L122" s="85"/>
      <c r="N122" s="85"/>
      <c r="P122" s="85"/>
      <c r="R122" s="85"/>
      <c r="T122" s="85"/>
      <c r="V122" s="85"/>
      <c r="X122" s="85"/>
      <c r="Z122" s="85"/>
      <c r="AB122" s="85"/>
      <c r="AD122" s="85"/>
      <c r="AF122" s="85"/>
      <c r="AH122" s="85"/>
      <c r="AJ122" s="85"/>
      <c r="AL122" s="85"/>
      <c r="AN122" s="85"/>
      <c r="AP122" s="85"/>
      <c r="AR122" s="85"/>
      <c r="AT122" s="85"/>
      <c r="AV122" s="85"/>
      <c r="AW122" s="83"/>
    </row>
    <row r="123" spans="2:49">
      <c r="B123" s="82"/>
      <c r="AW123" s="83"/>
    </row>
    <row r="124" spans="2:49">
      <c r="B124" s="84"/>
      <c r="D124" s="85"/>
      <c r="F124" s="85"/>
      <c r="H124" s="85"/>
      <c r="J124" s="85"/>
      <c r="L124" s="85"/>
      <c r="N124" s="85"/>
      <c r="P124" s="85"/>
      <c r="R124" s="85"/>
      <c r="T124" s="85"/>
      <c r="V124" s="85"/>
      <c r="X124" s="85"/>
      <c r="Z124" s="85"/>
      <c r="AB124" s="85"/>
      <c r="AD124" s="85"/>
      <c r="AF124" s="85"/>
      <c r="AH124" s="85"/>
      <c r="AJ124" s="85"/>
      <c r="AL124" s="85"/>
      <c r="AN124" s="85"/>
      <c r="AP124" s="85"/>
      <c r="AR124" s="85"/>
      <c r="AT124" s="85"/>
      <c r="AV124" s="85"/>
      <c r="AW124" s="83"/>
    </row>
    <row r="125" spans="2:49">
      <c r="B125" s="82"/>
      <c r="AW125" s="83"/>
    </row>
    <row r="126" spans="2:49">
      <c r="B126" s="84"/>
      <c r="D126" s="85"/>
      <c r="F126" s="85"/>
      <c r="H126" s="85"/>
      <c r="J126" s="85"/>
      <c r="L126" s="85"/>
      <c r="N126" s="85"/>
      <c r="P126" s="85"/>
      <c r="R126" s="85"/>
      <c r="T126" s="85"/>
      <c r="V126" s="85"/>
      <c r="X126" s="85"/>
      <c r="Z126" s="85"/>
      <c r="AB126" s="85"/>
      <c r="AD126" s="85"/>
      <c r="AF126" s="85"/>
      <c r="AH126" s="85"/>
      <c r="AJ126" s="85"/>
      <c r="AL126" s="85"/>
      <c r="AN126" s="85"/>
      <c r="AP126" s="85"/>
      <c r="AR126" s="85"/>
      <c r="AT126" s="85"/>
      <c r="AV126" s="85"/>
      <c r="AW126" s="83"/>
    </row>
    <row r="127" spans="2:49">
      <c r="B127" s="82"/>
      <c r="AW127" s="83"/>
    </row>
    <row r="128" spans="2:49">
      <c r="B128" s="84"/>
      <c r="D128" s="85"/>
      <c r="F128" s="85"/>
      <c r="H128" s="85"/>
      <c r="J128" s="85"/>
      <c r="L128" s="85"/>
      <c r="N128" s="85"/>
      <c r="P128" s="85"/>
      <c r="R128" s="85"/>
      <c r="T128" s="85"/>
      <c r="V128" s="85"/>
      <c r="X128" s="85"/>
      <c r="Z128" s="85"/>
      <c r="AB128" s="85"/>
      <c r="AD128" s="85"/>
      <c r="AF128" s="85"/>
      <c r="AH128" s="85"/>
      <c r="AJ128" s="85"/>
      <c r="AL128" s="85"/>
      <c r="AN128" s="85"/>
      <c r="AP128" s="85"/>
      <c r="AR128" s="85"/>
      <c r="AT128" s="85"/>
      <c r="AV128" s="85"/>
      <c r="AW128" s="83"/>
    </row>
    <row r="129" spans="2:49">
      <c r="B129" s="82"/>
      <c r="AW129" s="83"/>
    </row>
    <row r="130" spans="2:49">
      <c r="B130" s="84"/>
      <c r="D130" s="85"/>
      <c r="F130" s="85"/>
      <c r="H130" s="85"/>
      <c r="J130" s="85"/>
      <c r="L130" s="85"/>
      <c r="N130" s="85"/>
      <c r="P130" s="85"/>
      <c r="R130" s="85"/>
      <c r="T130" s="85"/>
      <c r="V130" s="85"/>
      <c r="X130" s="85"/>
      <c r="Z130" s="85"/>
      <c r="AB130" s="85"/>
      <c r="AD130" s="85"/>
      <c r="AF130" s="85"/>
      <c r="AH130" s="85"/>
      <c r="AJ130" s="85"/>
      <c r="AL130" s="85"/>
      <c r="AN130" s="85"/>
      <c r="AP130" s="85"/>
      <c r="AR130" s="85"/>
      <c r="AT130" s="85"/>
      <c r="AV130" s="85"/>
      <c r="AW130" s="83"/>
    </row>
    <row r="131" spans="2:49">
      <c r="B131" s="82"/>
      <c r="AW131" s="83"/>
    </row>
    <row r="132" spans="2:49">
      <c r="B132" s="84"/>
      <c r="D132" s="85"/>
      <c r="F132" s="85"/>
      <c r="H132" s="85"/>
      <c r="J132" s="85"/>
      <c r="L132" s="85"/>
      <c r="N132" s="85"/>
      <c r="P132" s="85"/>
      <c r="R132" s="85"/>
      <c r="T132" s="85"/>
      <c r="V132" s="85"/>
      <c r="X132" s="85"/>
      <c r="Z132" s="85"/>
      <c r="AB132" s="85"/>
      <c r="AD132" s="85"/>
      <c r="AF132" s="85"/>
      <c r="AH132" s="85"/>
      <c r="AJ132" s="85"/>
      <c r="AL132" s="85"/>
      <c r="AN132" s="85"/>
      <c r="AP132" s="85"/>
      <c r="AR132" s="85"/>
      <c r="AT132" s="85"/>
      <c r="AV132" s="85"/>
      <c r="AW132" s="83"/>
    </row>
    <row r="133" spans="2:49">
      <c r="B133" s="82"/>
      <c r="AW133" s="83"/>
    </row>
    <row r="134" spans="2:49">
      <c r="B134" s="84"/>
      <c r="D134" s="85"/>
      <c r="F134" s="85"/>
      <c r="H134" s="85"/>
      <c r="J134" s="85"/>
      <c r="L134" s="85"/>
      <c r="N134" s="85"/>
      <c r="P134" s="85"/>
      <c r="R134" s="85"/>
      <c r="T134" s="85"/>
      <c r="V134" s="85"/>
      <c r="X134" s="85"/>
      <c r="Z134" s="85"/>
      <c r="AB134" s="85"/>
      <c r="AD134" s="85"/>
      <c r="AF134" s="85"/>
      <c r="AH134" s="85"/>
      <c r="AJ134" s="85"/>
      <c r="AL134" s="85"/>
      <c r="AN134" s="85"/>
      <c r="AP134" s="85"/>
      <c r="AR134" s="85"/>
      <c r="AT134" s="85"/>
      <c r="AV134" s="85"/>
      <c r="AW134" s="83"/>
    </row>
    <row r="135" spans="2:49">
      <c r="B135" s="82"/>
      <c r="AW135" s="83"/>
    </row>
    <row r="136" spans="2:49">
      <c r="B136" s="84"/>
      <c r="D136" s="85"/>
      <c r="F136" s="85"/>
      <c r="H136" s="85"/>
      <c r="J136" s="85"/>
      <c r="L136" s="85"/>
      <c r="N136" s="85"/>
      <c r="P136" s="85"/>
      <c r="R136" s="85"/>
      <c r="T136" s="85"/>
      <c r="V136" s="85"/>
      <c r="X136" s="85"/>
      <c r="Z136" s="85"/>
      <c r="AB136" s="85"/>
      <c r="AD136" s="85"/>
      <c r="AF136" s="85"/>
      <c r="AH136" s="85"/>
      <c r="AJ136" s="85"/>
      <c r="AL136" s="85"/>
      <c r="AN136" s="85"/>
      <c r="AP136" s="85"/>
      <c r="AR136" s="85"/>
      <c r="AT136" s="85"/>
      <c r="AV136" s="85"/>
      <c r="AW136" s="83"/>
    </row>
    <row r="137" spans="2:49">
      <c r="B137" s="82"/>
      <c r="AW137" s="83"/>
    </row>
    <row r="138" spans="2:49">
      <c r="B138" s="84"/>
      <c r="D138" s="85"/>
      <c r="F138" s="85"/>
      <c r="H138" s="85"/>
      <c r="J138" s="85"/>
      <c r="L138" s="85"/>
      <c r="N138" s="85"/>
      <c r="P138" s="85"/>
      <c r="R138" s="85"/>
      <c r="T138" s="85"/>
      <c r="V138" s="85"/>
      <c r="X138" s="85"/>
      <c r="Z138" s="85"/>
      <c r="AB138" s="85"/>
      <c r="AD138" s="85"/>
      <c r="AF138" s="85"/>
      <c r="AH138" s="85"/>
      <c r="AJ138" s="85"/>
      <c r="AL138" s="85"/>
      <c r="AN138" s="85"/>
      <c r="AP138" s="85"/>
      <c r="AR138" s="85"/>
      <c r="AT138" s="85"/>
      <c r="AV138" s="85"/>
      <c r="AW138" s="83"/>
    </row>
    <row r="139" spans="2:49">
      <c r="B139" s="82"/>
      <c r="AW139" s="83"/>
    </row>
    <row r="140" spans="2:49">
      <c r="B140" s="84"/>
      <c r="D140" s="85"/>
      <c r="F140" s="85"/>
      <c r="H140" s="85"/>
      <c r="J140" s="85"/>
      <c r="L140" s="85"/>
      <c r="N140" s="85"/>
      <c r="P140" s="85"/>
      <c r="R140" s="85"/>
      <c r="T140" s="85"/>
      <c r="V140" s="85"/>
      <c r="X140" s="85"/>
      <c r="Z140" s="85"/>
      <c r="AB140" s="85"/>
      <c r="AD140" s="85"/>
      <c r="AF140" s="85"/>
      <c r="AH140" s="85"/>
      <c r="AJ140" s="85"/>
      <c r="AL140" s="85"/>
      <c r="AN140" s="85"/>
      <c r="AP140" s="85"/>
      <c r="AR140" s="85"/>
      <c r="AT140" s="85"/>
      <c r="AV140" s="85"/>
      <c r="AW140" s="83"/>
    </row>
    <row r="141" spans="2:49">
      <c r="B141" s="82"/>
      <c r="AW141" s="83"/>
    </row>
    <row r="142" spans="2:49">
      <c r="B142" s="84"/>
      <c r="D142" s="85"/>
      <c r="F142" s="85"/>
      <c r="H142" s="85"/>
      <c r="J142" s="85"/>
      <c r="L142" s="85"/>
      <c r="N142" s="85"/>
      <c r="P142" s="85"/>
      <c r="R142" s="85"/>
      <c r="T142" s="85"/>
      <c r="V142" s="85"/>
      <c r="X142" s="85"/>
      <c r="Z142" s="85"/>
      <c r="AB142" s="85"/>
      <c r="AD142" s="85"/>
      <c r="AF142" s="85"/>
      <c r="AH142" s="85"/>
      <c r="AJ142" s="85"/>
      <c r="AL142" s="85"/>
      <c r="AN142" s="85"/>
      <c r="AP142" s="85"/>
      <c r="AR142" s="85"/>
      <c r="AT142" s="85"/>
      <c r="AV142" s="85"/>
      <c r="AW142" s="83"/>
    </row>
    <row r="143" spans="2:49">
      <c r="B143" s="82"/>
      <c r="AW143" s="83"/>
    </row>
    <row r="144" spans="2:49">
      <c r="B144" s="84"/>
      <c r="D144" s="85"/>
      <c r="F144" s="85"/>
      <c r="H144" s="85"/>
      <c r="J144" s="85"/>
      <c r="L144" s="85"/>
      <c r="N144" s="85"/>
      <c r="P144" s="85"/>
      <c r="R144" s="85"/>
      <c r="T144" s="85"/>
      <c r="V144" s="85"/>
      <c r="X144" s="85"/>
      <c r="Z144" s="85"/>
      <c r="AB144" s="85"/>
      <c r="AD144" s="85"/>
      <c r="AF144" s="85"/>
      <c r="AH144" s="85"/>
      <c r="AJ144" s="85"/>
      <c r="AL144" s="85"/>
      <c r="AN144" s="85"/>
      <c r="AP144" s="85"/>
      <c r="AR144" s="85"/>
      <c r="AT144" s="85"/>
      <c r="AV144" s="85"/>
      <c r="AW144" s="83"/>
    </row>
    <row r="145" spans="2:49">
      <c r="B145" s="82"/>
      <c r="AW145" s="83"/>
    </row>
    <row r="146" spans="2:49">
      <c r="B146" s="84"/>
      <c r="D146" s="85"/>
      <c r="F146" s="85"/>
      <c r="H146" s="85"/>
      <c r="J146" s="85"/>
      <c r="L146" s="85"/>
      <c r="N146" s="85"/>
      <c r="P146" s="85"/>
      <c r="R146" s="85"/>
      <c r="T146" s="85"/>
      <c r="V146" s="85"/>
      <c r="X146" s="85"/>
      <c r="Z146" s="85"/>
      <c r="AB146" s="85"/>
      <c r="AD146" s="85"/>
      <c r="AF146" s="85"/>
      <c r="AH146" s="85"/>
      <c r="AJ146" s="85"/>
      <c r="AL146" s="85"/>
      <c r="AN146" s="85"/>
      <c r="AP146" s="85"/>
      <c r="AR146" s="85"/>
      <c r="AT146" s="85"/>
      <c r="AV146" s="85"/>
      <c r="AW146" s="83"/>
    </row>
    <row r="147" spans="2:49">
      <c r="B147" s="82"/>
      <c r="AW147" s="83"/>
    </row>
    <row r="148" spans="2:49">
      <c r="B148" s="84"/>
      <c r="D148" s="85"/>
      <c r="F148" s="85"/>
      <c r="H148" s="85"/>
      <c r="J148" s="85"/>
      <c r="L148" s="85"/>
      <c r="N148" s="85"/>
      <c r="P148" s="85"/>
      <c r="R148" s="85"/>
      <c r="T148" s="85"/>
      <c r="V148" s="85"/>
      <c r="X148" s="85"/>
      <c r="Z148" s="85"/>
      <c r="AB148" s="85"/>
      <c r="AD148" s="85"/>
      <c r="AF148" s="85"/>
      <c r="AH148" s="85"/>
      <c r="AJ148" s="85"/>
      <c r="AL148" s="85"/>
      <c r="AN148" s="85"/>
      <c r="AP148" s="85"/>
      <c r="AR148" s="85"/>
      <c r="AT148" s="85"/>
      <c r="AV148" s="85"/>
      <c r="AW148" s="83"/>
    </row>
    <row r="149" spans="2:49">
      <c r="B149" s="82"/>
      <c r="AW149" s="83"/>
    </row>
    <row r="150" spans="2:49">
      <c r="B150" s="84"/>
      <c r="D150" s="85"/>
      <c r="F150" s="85"/>
      <c r="H150" s="85"/>
      <c r="J150" s="85"/>
      <c r="L150" s="85"/>
      <c r="N150" s="85"/>
      <c r="P150" s="85"/>
      <c r="R150" s="85"/>
      <c r="T150" s="85"/>
      <c r="V150" s="85"/>
      <c r="X150" s="85"/>
      <c r="Z150" s="85"/>
      <c r="AB150" s="85"/>
      <c r="AD150" s="85"/>
      <c r="AF150" s="85"/>
      <c r="AH150" s="85"/>
      <c r="AJ150" s="85"/>
      <c r="AL150" s="85"/>
      <c r="AN150" s="85"/>
      <c r="AP150" s="85"/>
      <c r="AR150" s="85"/>
      <c r="AT150" s="85"/>
      <c r="AV150" s="85"/>
      <c r="AW150" s="83"/>
    </row>
    <row r="151" spans="2:49">
      <c r="B151" s="82"/>
      <c r="AW151" s="83"/>
    </row>
    <row r="152" spans="2:49">
      <c r="B152" s="84"/>
      <c r="D152" s="85"/>
      <c r="F152" s="85"/>
      <c r="H152" s="85"/>
      <c r="J152" s="85"/>
      <c r="L152" s="85"/>
      <c r="N152" s="85"/>
      <c r="P152" s="85"/>
      <c r="R152" s="85"/>
      <c r="T152" s="85"/>
      <c r="V152" s="85"/>
      <c r="X152" s="85"/>
      <c r="Z152" s="85"/>
      <c r="AB152" s="85"/>
      <c r="AD152" s="85"/>
      <c r="AF152" s="85"/>
      <c r="AH152" s="85"/>
      <c r="AJ152" s="85"/>
      <c r="AL152" s="85"/>
      <c r="AN152" s="85"/>
      <c r="AP152" s="85"/>
      <c r="AR152" s="85"/>
      <c r="AT152" s="85"/>
      <c r="AV152" s="85"/>
      <c r="AW152" s="83"/>
    </row>
    <row r="153" spans="2:49">
      <c r="B153" s="82"/>
      <c r="AW153" s="83"/>
    </row>
    <row r="154" spans="2:49">
      <c r="B154" s="84"/>
      <c r="D154" s="85"/>
      <c r="F154" s="85"/>
      <c r="H154" s="85"/>
      <c r="J154" s="85"/>
      <c r="L154" s="85"/>
      <c r="N154" s="85"/>
      <c r="P154" s="85"/>
      <c r="R154" s="85"/>
      <c r="T154" s="85"/>
      <c r="V154" s="85"/>
      <c r="X154" s="85"/>
      <c r="Z154" s="85"/>
      <c r="AB154" s="85"/>
      <c r="AD154" s="85"/>
      <c r="AF154" s="85"/>
      <c r="AH154" s="85"/>
      <c r="AJ154" s="85"/>
      <c r="AL154" s="85"/>
      <c r="AN154" s="85"/>
      <c r="AP154" s="85"/>
      <c r="AR154" s="85"/>
      <c r="AT154" s="85"/>
      <c r="AV154" s="85"/>
      <c r="AW154" s="83"/>
    </row>
    <row r="155" spans="2:49">
      <c r="B155" s="82"/>
      <c r="AW155" s="83"/>
    </row>
    <row r="156" spans="2:49">
      <c r="B156" s="84"/>
      <c r="D156" s="85"/>
      <c r="F156" s="85"/>
      <c r="H156" s="85"/>
      <c r="J156" s="85"/>
      <c r="L156" s="85"/>
      <c r="N156" s="85"/>
      <c r="P156" s="85"/>
      <c r="R156" s="85"/>
      <c r="T156" s="85"/>
      <c r="V156" s="85"/>
      <c r="X156" s="85"/>
      <c r="Z156" s="85"/>
      <c r="AB156" s="85"/>
      <c r="AD156" s="85"/>
      <c r="AF156" s="85"/>
      <c r="AH156" s="85"/>
      <c r="AJ156" s="85"/>
      <c r="AL156" s="85"/>
      <c r="AN156" s="85"/>
      <c r="AP156" s="85"/>
      <c r="AR156" s="85"/>
      <c r="AT156" s="85"/>
      <c r="AV156" s="85"/>
      <c r="AW156" s="83"/>
    </row>
    <row r="157" spans="2:49">
      <c r="B157" s="82"/>
      <c r="AW157" s="83"/>
    </row>
    <row r="158" spans="2:49">
      <c r="B158" s="84"/>
      <c r="D158" s="85"/>
      <c r="F158" s="85"/>
      <c r="H158" s="85"/>
      <c r="J158" s="85"/>
      <c r="L158" s="85"/>
      <c r="N158" s="85"/>
      <c r="P158" s="85"/>
      <c r="R158" s="85"/>
      <c r="T158" s="85"/>
      <c r="V158" s="85"/>
      <c r="X158" s="85"/>
      <c r="Z158" s="85"/>
      <c r="AB158" s="85"/>
      <c r="AD158" s="85"/>
      <c r="AF158" s="85"/>
      <c r="AH158" s="85"/>
      <c r="AJ158" s="85"/>
      <c r="AL158" s="85"/>
      <c r="AN158" s="85"/>
      <c r="AP158" s="85"/>
      <c r="AR158" s="85"/>
      <c r="AT158" s="85"/>
      <c r="AV158" s="85"/>
      <c r="AW158" s="83"/>
    </row>
    <row r="159" spans="2:49">
      <c r="B159" s="82"/>
      <c r="AW159" s="83"/>
    </row>
    <row r="160" spans="2:49">
      <c r="B160" s="84"/>
      <c r="D160" s="85"/>
      <c r="F160" s="85"/>
      <c r="H160" s="85"/>
      <c r="J160" s="85"/>
      <c r="L160" s="85"/>
      <c r="N160" s="85"/>
      <c r="P160" s="85"/>
      <c r="R160" s="85"/>
      <c r="T160" s="85"/>
      <c r="V160" s="85"/>
      <c r="X160" s="85"/>
      <c r="Z160" s="85"/>
      <c r="AB160" s="85"/>
      <c r="AD160" s="85"/>
      <c r="AF160" s="85"/>
      <c r="AH160" s="85"/>
      <c r="AJ160" s="85"/>
      <c r="AL160" s="85"/>
      <c r="AN160" s="85"/>
      <c r="AP160" s="85"/>
      <c r="AR160" s="85"/>
      <c r="AT160" s="85"/>
      <c r="AV160" s="85"/>
      <c r="AW160" s="83"/>
    </row>
    <row r="161" spans="2:49">
      <c r="B161" s="82"/>
      <c r="AW161" s="83"/>
    </row>
    <row r="162" spans="2:49">
      <c r="B162" s="84"/>
      <c r="D162" s="85"/>
      <c r="F162" s="85"/>
      <c r="H162" s="85"/>
      <c r="J162" s="85"/>
      <c r="L162" s="85"/>
      <c r="N162" s="85"/>
      <c r="P162" s="85"/>
      <c r="R162" s="85"/>
      <c r="T162" s="85"/>
      <c r="V162" s="85"/>
      <c r="X162" s="85"/>
      <c r="Z162" s="85"/>
      <c r="AB162" s="85"/>
      <c r="AD162" s="85"/>
      <c r="AF162" s="85"/>
      <c r="AH162" s="85"/>
      <c r="AJ162" s="85"/>
      <c r="AL162" s="85"/>
      <c r="AN162" s="85"/>
      <c r="AP162" s="85"/>
      <c r="AR162" s="85"/>
      <c r="AT162" s="85"/>
      <c r="AV162" s="85"/>
      <c r="AW162" s="83"/>
    </row>
    <row r="163" spans="2:49">
      <c r="B163" s="82"/>
      <c r="AW163" s="83"/>
    </row>
    <row r="164" spans="2:49">
      <c r="B164" s="84"/>
      <c r="D164" s="85"/>
      <c r="F164" s="85"/>
      <c r="H164" s="85"/>
      <c r="J164" s="85"/>
      <c r="L164" s="85"/>
      <c r="N164" s="85"/>
      <c r="P164" s="85"/>
      <c r="R164" s="85"/>
      <c r="T164" s="85"/>
      <c r="V164" s="85"/>
      <c r="X164" s="85"/>
      <c r="Z164" s="85"/>
      <c r="AB164" s="85"/>
      <c r="AD164" s="85"/>
      <c r="AF164" s="85"/>
      <c r="AH164" s="85"/>
      <c r="AJ164" s="85"/>
      <c r="AL164" s="85"/>
      <c r="AN164" s="85"/>
      <c r="AP164" s="85"/>
      <c r="AR164" s="85"/>
      <c r="AT164" s="85"/>
      <c r="AV164" s="85"/>
      <c r="AW164" s="83"/>
    </row>
    <row r="165" spans="2:49">
      <c r="B165" s="82"/>
      <c r="AW165" s="83"/>
    </row>
    <row r="166" spans="2:49">
      <c r="B166" s="84"/>
      <c r="D166" s="85"/>
      <c r="F166" s="85"/>
      <c r="H166" s="85"/>
      <c r="J166" s="85"/>
      <c r="L166" s="85"/>
      <c r="N166" s="85"/>
      <c r="P166" s="85"/>
      <c r="R166" s="85"/>
      <c r="T166" s="85"/>
      <c r="V166" s="85"/>
      <c r="X166" s="85"/>
      <c r="Z166" s="85"/>
      <c r="AB166" s="85"/>
      <c r="AD166" s="85"/>
      <c r="AF166" s="85"/>
      <c r="AH166" s="85"/>
      <c r="AJ166" s="85"/>
      <c r="AL166" s="85"/>
      <c r="AN166" s="85"/>
      <c r="AP166" s="85"/>
      <c r="AR166" s="85"/>
      <c r="AT166" s="85"/>
      <c r="AV166" s="85"/>
      <c r="AW166" s="83"/>
    </row>
    <row r="167" spans="2:49">
      <c r="B167" s="82"/>
      <c r="AW167" s="83"/>
    </row>
    <row r="168" spans="2:49">
      <c r="B168" s="84"/>
      <c r="D168" s="85"/>
      <c r="F168" s="85"/>
      <c r="H168" s="85"/>
      <c r="J168" s="85"/>
      <c r="L168" s="85"/>
      <c r="N168" s="85"/>
      <c r="P168" s="85"/>
      <c r="R168" s="85"/>
      <c r="T168" s="85"/>
      <c r="V168" s="85"/>
      <c r="X168" s="85"/>
      <c r="Z168" s="85"/>
      <c r="AB168" s="85"/>
      <c r="AD168" s="85"/>
      <c r="AF168" s="85"/>
      <c r="AH168" s="85"/>
      <c r="AJ168" s="85"/>
      <c r="AL168" s="85"/>
      <c r="AN168" s="85"/>
      <c r="AP168" s="85"/>
      <c r="AR168" s="85"/>
      <c r="AT168" s="85"/>
      <c r="AV168" s="85"/>
      <c r="AW168" s="83"/>
    </row>
    <row r="169" spans="2:49">
      <c r="B169" s="82"/>
      <c r="AW169" s="83"/>
    </row>
    <row r="170" spans="2:49">
      <c r="B170" s="84"/>
      <c r="D170" s="85"/>
      <c r="F170" s="85"/>
      <c r="H170" s="85"/>
      <c r="J170" s="85"/>
      <c r="L170" s="85"/>
      <c r="N170" s="85"/>
      <c r="P170" s="85"/>
      <c r="R170" s="85"/>
      <c r="T170" s="85"/>
      <c r="V170" s="85"/>
      <c r="X170" s="85"/>
      <c r="Z170" s="85"/>
      <c r="AB170" s="85"/>
      <c r="AD170" s="85"/>
      <c r="AF170" s="85"/>
      <c r="AH170" s="85"/>
      <c r="AJ170" s="85"/>
      <c r="AL170" s="85"/>
      <c r="AN170" s="85"/>
      <c r="AP170" s="85"/>
      <c r="AR170" s="85"/>
      <c r="AT170" s="85"/>
      <c r="AV170" s="85"/>
      <c r="AW170" s="83"/>
    </row>
    <row r="171" spans="2:49">
      <c r="B171" s="82"/>
      <c r="AW171" s="83"/>
    </row>
    <row r="172" spans="2:49">
      <c r="B172" s="84"/>
      <c r="D172" s="85"/>
      <c r="F172" s="85"/>
      <c r="H172" s="85"/>
      <c r="J172" s="85"/>
      <c r="L172" s="85"/>
      <c r="N172" s="85"/>
      <c r="P172" s="85"/>
      <c r="R172" s="85"/>
      <c r="T172" s="85"/>
      <c r="V172" s="85"/>
      <c r="X172" s="85"/>
      <c r="Z172" s="85"/>
      <c r="AB172" s="85"/>
      <c r="AD172" s="85"/>
      <c r="AF172" s="85"/>
      <c r="AH172" s="85"/>
      <c r="AJ172" s="85"/>
      <c r="AL172" s="85"/>
      <c r="AN172" s="85"/>
      <c r="AP172" s="85"/>
      <c r="AR172" s="85"/>
      <c r="AT172" s="85"/>
      <c r="AV172" s="85"/>
      <c r="AW172" s="83"/>
    </row>
    <row r="173" spans="2:49">
      <c r="B173" s="82"/>
      <c r="AW173" s="83"/>
    </row>
    <row r="174" spans="2:49">
      <c r="B174" s="84"/>
      <c r="D174" s="85"/>
      <c r="F174" s="85"/>
      <c r="H174" s="85"/>
      <c r="J174" s="85"/>
      <c r="L174" s="85"/>
      <c r="N174" s="85"/>
      <c r="P174" s="85"/>
      <c r="R174" s="85"/>
      <c r="T174" s="85"/>
      <c r="V174" s="85"/>
      <c r="X174" s="85"/>
      <c r="Z174" s="85"/>
      <c r="AB174" s="85"/>
      <c r="AD174" s="85"/>
      <c r="AF174" s="85"/>
      <c r="AH174" s="85"/>
      <c r="AJ174" s="85"/>
      <c r="AL174" s="85"/>
      <c r="AN174" s="85"/>
      <c r="AP174" s="85"/>
      <c r="AR174" s="85"/>
      <c r="AT174" s="85"/>
      <c r="AV174" s="85"/>
      <c r="AW174" s="83"/>
    </row>
    <row r="175" spans="2:49">
      <c r="B175" s="82"/>
      <c r="AW175" s="83"/>
    </row>
    <row r="176" spans="2:49">
      <c r="B176" s="84"/>
      <c r="D176" s="85"/>
      <c r="F176" s="85"/>
      <c r="H176" s="85"/>
      <c r="J176" s="85"/>
      <c r="L176" s="85"/>
      <c r="N176" s="85"/>
      <c r="P176" s="85"/>
      <c r="R176" s="85"/>
      <c r="T176" s="85"/>
      <c r="V176" s="85"/>
      <c r="X176" s="85"/>
      <c r="Z176" s="85"/>
      <c r="AB176" s="85"/>
      <c r="AD176" s="85"/>
      <c r="AF176" s="85"/>
      <c r="AH176" s="85"/>
      <c r="AJ176" s="85"/>
      <c r="AL176" s="85"/>
      <c r="AN176" s="85"/>
      <c r="AP176" s="85"/>
      <c r="AR176" s="85"/>
      <c r="AT176" s="85"/>
      <c r="AV176" s="85"/>
      <c r="AW176" s="83"/>
    </row>
    <row r="177" spans="2:49">
      <c r="B177" s="82"/>
      <c r="AW177" s="83"/>
    </row>
    <row r="178" spans="2:49">
      <c r="B178" s="84"/>
      <c r="D178" s="85"/>
      <c r="F178" s="85"/>
      <c r="H178" s="85"/>
      <c r="J178" s="85"/>
      <c r="L178" s="85"/>
      <c r="N178" s="85"/>
      <c r="P178" s="85"/>
      <c r="R178" s="85"/>
      <c r="T178" s="85"/>
      <c r="V178" s="85"/>
      <c r="X178" s="85"/>
      <c r="Z178" s="85"/>
      <c r="AB178" s="85"/>
      <c r="AD178" s="85"/>
      <c r="AF178" s="85"/>
      <c r="AH178" s="85"/>
      <c r="AJ178" s="85"/>
      <c r="AL178" s="85"/>
      <c r="AN178" s="85"/>
      <c r="AP178" s="85"/>
      <c r="AR178" s="85"/>
      <c r="AT178" s="85"/>
      <c r="AV178" s="85"/>
      <c r="AW178" s="83"/>
    </row>
    <row r="179" spans="2:49">
      <c r="B179" s="82"/>
      <c r="AW179" s="83"/>
    </row>
    <row r="180" spans="2:49">
      <c r="B180" s="84"/>
      <c r="D180" s="85"/>
      <c r="F180" s="85"/>
      <c r="H180" s="85"/>
      <c r="J180" s="85"/>
      <c r="L180" s="85"/>
      <c r="N180" s="85"/>
      <c r="P180" s="85"/>
      <c r="R180" s="85"/>
      <c r="T180" s="85"/>
      <c r="V180" s="85"/>
      <c r="X180" s="85"/>
      <c r="Z180" s="85"/>
      <c r="AB180" s="85"/>
      <c r="AD180" s="85"/>
      <c r="AF180" s="85"/>
      <c r="AH180" s="85"/>
      <c r="AJ180" s="85"/>
      <c r="AL180" s="85"/>
      <c r="AN180" s="85"/>
      <c r="AP180" s="85"/>
      <c r="AR180" s="85"/>
      <c r="AT180" s="85"/>
      <c r="AV180" s="85"/>
      <c r="AW180" s="83"/>
    </row>
    <row r="181" spans="2:49">
      <c r="B181" s="82"/>
      <c r="AW181" s="83"/>
    </row>
    <row r="182" spans="2:49">
      <c r="B182" s="84"/>
      <c r="D182" s="85"/>
      <c r="F182" s="85"/>
      <c r="H182" s="85"/>
      <c r="J182" s="85"/>
      <c r="L182" s="85"/>
      <c r="N182" s="85"/>
      <c r="P182" s="85"/>
      <c r="R182" s="85"/>
      <c r="T182" s="85"/>
      <c r="V182" s="85"/>
      <c r="X182" s="85"/>
      <c r="Z182" s="85"/>
      <c r="AB182" s="85"/>
      <c r="AD182" s="85"/>
      <c r="AF182" s="85"/>
      <c r="AH182" s="85"/>
      <c r="AJ182" s="85"/>
      <c r="AL182" s="85"/>
      <c r="AN182" s="85"/>
      <c r="AP182" s="85"/>
      <c r="AR182" s="85"/>
      <c r="AT182" s="85"/>
      <c r="AV182" s="85"/>
      <c r="AW182" s="83"/>
    </row>
    <row r="183" spans="2:49">
      <c r="B183" s="82"/>
      <c r="AW183" s="83"/>
    </row>
    <row r="184" spans="2:49">
      <c r="B184" s="84"/>
      <c r="D184" s="85"/>
      <c r="F184" s="85"/>
      <c r="H184" s="85"/>
      <c r="J184" s="85"/>
      <c r="L184" s="85"/>
      <c r="N184" s="85"/>
      <c r="P184" s="85"/>
      <c r="R184" s="85"/>
      <c r="T184" s="85"/>
      <c r="V184" s="85"/>
      <c r="X184" s="85"/>
      <c r="Z184" s="85"/>
      <c r="AB184" s="85"/>
      <c r="AD184" s="85"/>
      <c r="AF184" s="85"/>
      <c r="AH184" s="85"/>
      <c r="AJ184" s="85"/>
      <c r="AL184" s="85"/>
      <c r="AN184" s="85"/>
      <c r="AP184" s="85"/>
      <c r="AR184" s="85"/>
      <c r="AT184" s="85"/>
      <c r="AV184" s="85"/>
      <c r="AW184" s="83"/>
    </row>
    <row r="185" spans="2:49">
      <c r="B185" s="82"/>
      <c r="AW185" s="83"/>
    </row>
    <row r="186" spans="2:49">
      <c r="B186" s="84"/>
      <c r="D186" s="85"/>
      <c r="F186" s="85"/>
      <c r="H186" s="85"/>
      <c r="J186" s="85"/>
      <c r="L186" s="85"/>
      <c r="N186" s="85"/>
      <c r="P186" s="85"/>
      <c r="R186" s="85"/>
      <c r="T186" s="85"/>
      <c r="V186" s="85"/>
      <c r="X186" s="85"/>
      <c r="Z186" s="85"/>
      <c r="AB186" s="85"/>
      <c r="AD186" s="85"/>
      <c r="AF186" s="85"/>
      <c r="AH186" s="85"/>
      <c r="AJ186" s="85"/>
      <c r="AL186" s="85"/>
      <c r="AN186" s="85"/>
      <c r="AP186" s="85"/>
      <c r="AR186" s="85"/>
      <c r="AT186" s="85"/>
      <c r="AV186" s="85"/>
      <c r="AW186" s="83"/>
    </row>
    <row r="187" spans="2:49">
      <c r="B187" s="82"/>
      <c r="AW187" s="83"/>
    </row>
    <row r="188" spans="2:49">
      <c r="B188" s="84"/>
      <c r="D188" s="85"/>
      <c r="F188" s="85"/>
      <c r="H188" s="85"/>
      <c r="J188" s="85"/>
      <c r="L188" s="85"/>
      <c r="N188" s="85"/>
      <c r="P188" s="85"/>
      <c r="R188" s="85"/>
      <c r="T188" s="85"/>
      <c r="V188" s="85"/>
      <c r="X188" s="85"/>
      <c r="Z188" s="85"/>
      <c r="AB188" s="85"/>
      <c r="AD188" s="85"/>
      <c r="AF188" s="85"/>
      <c r="AH188" s="85"/>
      <c r="AJ188" s="85"/>
      <c r="AL188" s="85"/>
      <c r="AN188" s="85"/>
      <c r="AP188" s="85"/>
      <c r="AR188" s="85"/>
      <c r="AT188" s="85"/>
      <c r="AV188" s="85"/>
      <c r="AW188" s="83"/>
    </row>
    <row r="189" spans="2:49">
      <c r="B189" s="82"/>
      <c r="AW189" s="83"/>
    </row>
    <row r="190" spans="2:49">
      <c r="B190" s="84"/>
      <c r="D190" s="85"/>
      <c r="F190" s="85"/>
      <c r="H190" s="85"/>
      <c r="J190" s="85"/>
      <c r="L190" s="85"/>
      <c r="N190" s="85"/>
      <c r="P190" s="85"/>
      <c r="R190" s="85"/>
      <c r="T190" s="85"/>
      <c r="V190" s="85"/>
      <c r="X190" s="85"/>
      <c r="Z190" s="85"/>
      <c r="AB190" s="85"/>
      <c r="AD190" s="85"/>
      <c r="AF190" s="85"/>
      <c r="AH190" s="85"/>
      <c r="AJ190" s="85"/>
      <c r="AL190" s="85"/>
      <c r="AN190" s="85"/>
      <c r="AP190" s="85"/>
      <c r="AR190" s="85"/>
      <c r="AT190" s="85"/>
      <c r="AV190" s="85"/>
      <c r="AW190" s="83"/>
    </row>
    <row r="191" spans="2:49">
      <c r="B191" s="82"/>
      <c r="AW191" s="83"/>
    </row>
    <row r="192" spans="2:49">
      <c r="B192" s="84"/>
      <c r="D192" s="85"/>
      <c r="F192" s="85"/>
      <c r="H192" s="85"/>
      <c r="J192" s="85"/>
      <c r="L192" s="85"/>
      <c r="N192" s="85"/>
      <c r="P192" s="85"/>
      <c r="R192" s="85"/>
      <c r="T192" s="85"/>
      <c r="V192" s="85"/>
      <c r="X192" s="85"/>
      <c r="Z192" s="85"/>
      <c r="AB192" s="85"/>
      <c r="AD192" s="85"/>
      <c r="AF192" s="85"/>
      <c r="AH192" s="85"/>
      <c r="AJ192" s="85"/>
      <c r="AL192" s="85"/>
      <c r="AN192" s="85"/>
      <c r="AP192" s="85"/>
      <c r="AR192" s="85"/>
      <c r="AT192" s="85"/>
      <c r="AV192" s="85"/>
      <c r="AW192" s="83"/>
    </row>
    <row r="193" spans="2:49">
      <c r="B193" s="82"/>
      <c r="AW193" s="83"/>
    </row>
    <row r="194" spans="2:49">
      <c r="B194" s="84"/>
      <c r="D194" s="85"/>
      <c r="F194" s="85"/>
      <c r="H194" s="85"/>
      <c r="J194" s="85"/>
      <c r="L194" s="85"/>
      <c r="N194" s="85"/>
      <c r="P194" s="85"/>
      <c r="R194" s="85"/>
      <c r="T194" s="85"/>
      <c r="V194" s="85"/>
      <c r="X194" s="85"/>
      <c r="Z194" s="85"/>
      <c r="AB194" s="85"/>
      <c r="AD194" s="85"/>
      <c r="AF194" s="85"/>
      <c r="AH194" s="85"/>
      <c r="AJ194" s="85"/>
      <c r="AL194" s="85"/>
      <c r="AN194" s="85"/>
      <c r="AP194" s="85"/>
      <c r="AR194" s="85"/>
      <c r="AT194" s="85"/>
      <c r="AV194" s="85"/>
      <c r="AW194" s="83"/>
    </row>
    <row r="195" spans="2:49">
      <c r="B195" s="82"/>
      <c r="AW195" s="83"/>
    </row>
    <row r="196" spans="2:49">
      <c r="B196" s="84"/>
      <c r="D196" s="85"/>
      <c r="F196" s="85"/>
      <c r="H196" s="85"/>
      <c r="J196" s="85"/>
      <c r="L196" s="85"/>
      <c r="N196" s="85"/>
      <c r="P196" s="85"/>
      <c r="R196" s="85"/>
      <c r="T196" s="85"/>
      <c r="V196" s="85"/>
      <c r="X196" s="85"/>
      <c r="Z196" s="85"/>
      <c r="AB196" s="85"/>
      <c r="AD196" s="85"/>
      <c r="AF196" s="85"/>
      <c r="AH196" s="85"/>
      <c r="AJ196" s="85"/>
      <c r="AL196" s="85"/>
      <c r="AN196" s="85"/>
      <c r="AP196" s="85"/>
      <c r="AR196" s="85"/>
      <c r="AT196" s="85"/>
      <c r="AV196" s="85"/>
      <c r="AW196" s="83"/>
    </row>
    <row r="197" spans="2:49">
      <c r="B197" s="82"/>
      <c r="AW197" s="83"/>
    </row>
    <row r="198" spans="2:49">
      <c r="B198" s="84"/>
      <c r="D198" s="85"/>
      <c r="F198" s="85"/>
      <c r="H198" s="85"/>
      <c r="J198" s="85"/>
      <c r="L198" s="85"/>
      <c r="N198" s="85"/>
      <c r="P198" s="85"/>
      <c r="R198" s="85"/>
      <c r="T198" s="85"/>
      <c r="V198" s="85"/>
      <c r="X198" s="85"/>
      <c r="Z198" s="85"/>
      <c r="AB198" s="85"/>
      <c r="AD198" s="85"/>
      <c r="AF198" s="85"/>
      <c r="AH198" s="85"/>
      <c r="AJ198" s="85"/>
      <c r="AL198" s="85"/>
      <c r="AN198" s="85"/>
      <c r="AP198" s="85"/>
      <c r="AR198" s="85"/>
      <c r="AT198" s="85"/>
      <c r="AV198" s="85"/>
      <c r="AW198" s="83"/>
    </row>
    <row r="199" spans="2:49">
      <c r="B199" s="82"/>
      <c r="AW199" s="83"/>
    </row>
    <row r="200" spans="2:49">
      <c r="B200" s="84"/>
      <c r="D200" s="85"/>
      <c r="F200" s="85"/>
      <c r="H200" s="85"/>
      <c r="J200" s="85"/>
      <c r="L200" s="85"/>
      <c r="N200" s="85"/>
      <c r="P200" s="85"/>
      <c r="R200" s="85"/>
      <c r="T200" s="85"/>
      <c r="V200" s="85"/>
      <c r="X200" s="85"/>
      <c r="Z200" s="85"/>
      <c r="AB200" s="85"/>
      <c r="AD200" s="85"/>
      <c r="AF200" s="85"/>
      <c r="AH200" s="85"/>
      <c r="AJ200" s="85"/>
      <c r="AL200" s="85"/>
      <c r="AN200" s="85"/>
      <c r="AP200" s="85"/>
      <c r="AR200" s="85"/>
      <c r="AT200" s="85"/>
      <c r="AV200" s="85"/>
      <c r="AW200" s="83"/>
    </row>
    <row r="201" spans="2:49">
      <c r="B201" s="82"/>
      <c r="AW201" s="83"/>
    </row>
    <row r="202" spans="2:49">
      <c r="B202" s="84"/>
      <c r="D202" s="85"/>
      <c r="F202" s="85"/>
      <c r="H202" s="85"/>
      <c r="J202" s="85"/>
      <c r="L202" s="85"/>
      <c r="N202" s="85"/>
      <c r="P202" s="85"/>
      <c r="R202" s="85"/>
      <c r="T202" s="85"/>
      <c r="V202" s="85"/>
      <c r="X202" s="85"/>
      <c r="Z202" s="85"/>
      <c r="AB202" s="85"/>
      <c r="AD202" s="85"/>
      <c r="AF202" s="85"/>
      <c r="AH202" s="85"/>
      <c r="AJ202" s="85"/>
      <c r="AL202" s="85"/>
      <c r="AN202" s="85"/>
      <c r="AP202" s="85"/>
      <c r="AR202" s="85"/>
      <c r="AT202" s="85"/>
      <c r="AV202" s="85"/>
      <c r="AW202" s="83"/>
    </row>
    <row r="203" spans="2:49">
      <c r="B203" s="82"/>
      <c r="AW203" s="83"/>
    </row>
    <row r="204" spans="2:49">
      <c r="B204" s="84"/>
      <c r="D204" s="85"/>
      <c r="F204" s="85"/>
      <c r="H204" s="85"/>
      <c r="J204" s="85"/>
      <c r="L204" s="85"/>
      <c r="N204" s="85"/>
      <c r="P204" s="85"/>
      <c r="R204" s="85"/>
      <c r="T204" s="85"/>
      <c r="V204" s="85"/>
      <c r="X204" s="85"/>
      <c r="Z204" s="85"/>
      <c r="AB204" s="85"/>
      <c r="AD204" s="85"/>
      <c r="AF204" s="85"/>
      <c r="AH204" s="85"/>
      <c r="AJ204" s="85"/>
      <c r="AL204" s="85"/>
      <c r="AN204" s="85"/>
      <c r="AP204" s="85"/>
      <c r="AR204" s="85"/>
      <c r="AT204" s="85"/>
      <c r="AV204" s="85"/>
      <c r="AW204" s="83"/>
    </row>
    <row r="205" spans="2:49">
      <c r="B205" s="82"/>
      <c r="AW205" s="83"/>
    </row>
    <row r="206" spans="2:49">
      <c r="B206" s="84"/>
      <c r="D206" s="85"/>
      <c r="F206" s="85"/>
      <c r="H206" s="85"/>
      <c r="J206" s="85"/>
      <c r="L206" s="85"/>
      <c r="N206" s="85"/>
      <c r="P206" s="85"/>
      <c r="R206" s="85"/>
      <c r="T206" s="85"/>
      <c r="V206" s="85"/>
      <c r="X206" s="85"/>
      <c r="Z206" s="85"/>
      <c r="AB206" s="85"/>
      <c r="AD206" s="85"/>
      <c r="AF206" s="85"/>
      <c r="AH206" s="85"/>
      <c r="AJ206" s="85"/>
      <c r="AL206" s="85"/>
      <c r="AN206" s="85"/>
      <c r="AP206" s="85"/>
      <c r="AR206" s="85"/>
      <c r="AT206" s="85"/>
      <c r="AV206" s="85"/>
      <c r="AW206" s="83"/>
    </row>
    <row r="207" spans="2:49">
      <c r="B207" s="82"/>
      <c r="AW207" s="83"/>
    </row>
    <row r="208" spans="2:49">
      <c r="B208" s="84"/>
      <c r="D208" s="85"/>
      <c r="F208" s="85"/>
      <c r="H208" s="85"/>
      <c r="J208" s="85"/>
      <c r="L208" s="85"/>
      <c r="N208" s="85"/>
      <c r="P208" s="85"/>
      <c r="R208" s="85"/>
      <c r="T208" s="85"/>
      <c r="V208" s="85"/>
      <c r="X208" s="85"/>
      <c r="Z208" s="85"/>
      <c r="AB208" s="85"/>
      <c r="AD208" s="85"/>
      <c r="AF208" s="85"/>
      <c r="AH208" s="85"/>
      <c r="AJ208" s="85"/>
      <c r="AL208" s="85"/>
      <c r="AN208" s="85"/>
      <c r="AP208" s="85"/>
      <c r="AR208" s="85"/>
      <c r="AT208" s="85"/>
      <c r="AV208" s="85"/>
      <c r="AW208" s="83"/>
    </row>
    <row r="209" spans="2:49">
      <c r="B209" s="82"/>
      <c r="AW209" s="83"/>
    </row>
    <row r="210" spans="2:49">
      <c r="B210" s="84"/>
      <c r="D210" s="85"/>
      <c r="F210" s="85"/>
      <c r="H210" s="85"/>
      <c r="J210" s="85"/>
      <c r="L210" s="85"/>
      <c r="N210" s="85"/>
      <c r="P210" s="85"/>
      <c r="R210" s="85"/>
      <c r="T210" s="85"/>
      <c r="V210" s="85"/>
      <c r="X210" s="85"/>
      <c r="Z210" s="85"/>
      <c r="AB210" s="85"/>
      <c r="AD210" s="85"/>
      <c r="AF210" s="85"/>
      <c r="AH210" s="85"/>
      <c r="AJ210" s="85"/>
      <c r="AL210" s="85"/>
      <c r="AN210" s="85"/>
      <c r="AP210" s="85"/>
      <c r="AR210" s="85"/>
      <c r="AT210" s="85"/>
      <c r="AV210" s="85"/>
      <c r="AW210" s="83"/>
    </row>
    <row r="211" spans="2:49">
      <c r="B211" s="82"/>
      <c r="AW211" s="83"/>
    </row>
    <row r="212" spans="2:49">
      <c r="B212" s="84"/>
      <c r="D212" s="85"/>
      <c r="F212" s="85"/>
      <c r="H212" s="85"/>
      <c r="J212" s="85"/>
      <c r="L212" s="85"/>
      <c r="N212" s="85"/>
      <c r="P212" s="85"/>
      <c r="R212" s="85"/>
      <c r="T212" s="85"/>
      <c r="V212" s="85"/>
      <c r="X212" s="85"/>
      <c r="Z212" s="85"/>
      <c r="AB212" s="85"/>
      <c r="AD212" s="85"/>
      <c r="AF212" s="85"/>
      <c r="AH212" s="85"/>
      <c r="AJ212" s="85"/>
      <c r="AL212" s="85"/>
      <c r="AN212" s="85"/>
      <c r="AP212" s="85"/>
      <c r="AR212" s="85"/>
      <c r="AT212" s="85"/>
      <c r="AV212" s="85"/>
      <c r="AW212" s="83"/>
    </row>
    <row r="213" spans="2:49">
      <c r="B213" s="82"/>
      <c r="AW213" s="83"/>
    </row>
    <row r="214" spans="2:49">
      <c r="B214" s="84"/>
      <c r="D214" s="85"/>
      <c r="F214" s="85"/>
      <c r="H214" s="85"/>
      <c r="J214" s="85"/>
      <c r="L214" s="85"/>
      <c r="N214" s="85"/>
      <c r="P214" s="85"/>
      <c r="R214" s="85"/>
      <c r="T214" s="85"/>
      <c r="V214" s="85"/>
      <c r="X214" s="85"/>
      <c r="Z214" s="85"/>
      <c r="AB214" s="85"/>
      <c r="AD214" s="85"/>
      <c r="AF214" s="85"/>
      <c r="AH214" s="85"/>
      <c r="AJ214" s="85"/>
      <c r="AL214" s="85"/>
      <c r="AN214" s="85"/>
      <c r="AP214" s="85"/>
      <c r="AR214" s="85"/>
      <c r="AT214" s="85"/>
      <c r="AV214" s="85"/>
      <c r="AW214" s="83"/>
    </row>
    <row r="215" spans="2:49">
      <c r="B215" s="82"/>
      <c r="AW215" s="83"/>
    </row>
    <row r="216" spans="2:49">
      <c r="B216" s="84"/>
      <c r="D216" s="85"/>
      <c r="F216" s="85"/>
      <c r="H216" s="85"/>
      <c r="J216" s="85"/>
      <c r="L216" s="85"/>
      <c r="N216" s="85"/>
      <c r="P216" s="85"/>
      <c r="R216" s="85"/>
      <c r="T216" s="85"/>
      <c r="V216" s="85"/>
      <c r="X216" s="85"/>
      <c r="Z216" s="85"/>
      <c r="AB216" s="85"/>
      <c r="AD216" s="85"/>
      <c r="AF216" s="85"/>
      <c r="AH216" s="85"/>
      <c r="AJ216" s="85"/>
      <c r="AL216" s="85"/>
      <c r="AN216" s="85"/>
      <c r="AP216" s="85"/>
      <c r="AR216" s="85"/>
      <c r="AT216" s="85"/>
      <c r="AV216" s="85"/>
      <c r="AW216" s="83"/>
    </row>
    <row r="217" spans="2:49">
      <c r="B217" s="82"/>
      <c r="AW217" s="83"/>
    </row>
    <row r="218" spans="2:49">
      <c r="B218" s="84"/>
      <c r="D218" s="85"/>
      <c r="F218" s="85"/>
      <c r="H218" s="85"/>
      <c r="J218" s="85"/>
      <c r="L218" s="85"/>
      <c r="N218" s="85"/>
      <c r="P218" s="85"/>
      <c r="R218" s="85"/>
      <c r="T218" s="85"/>
      <c r="V218" s="85"/>
      <c r="X218" s="85"/>
      <c r="Z218" s="85"/>
      <c r="AB218" s="85"/>
      <c r="AD218" s="85"/>
      <c r="AF218" s="85"/>
      <c r="AH218" s="85"/>
      <c r="AJ218" s="85"/>
      <c r="AL218" s="85"/>
      <c r="AN218" s="85"/>
      <c r="AP218" s="85"/>
      <c r="AR218" s="85"/>
      <c r="AT218" s="85"/>
      <c r="AV218" s="85"/>
      <c r="AW218" s="83"/>
    </row>
    <row r="219" spans="2:49">
      <c r="B219" s="82"/>
      <c r="AW219" s="83"/>
    </row>
    <row r="220" spans="2:49">
      <c r="B220" s="84"/>
      <c r="D220" s="85"/>
      <c r="F220" s="85"/>
      <c r="H220" s="85"/>
      <c r="J220" s="85"/>
      <c r="L220" s="85"/>
      <c r="N220" s="85"/>
      <c r="P220" s="85"/>
      <c r="R220" s="85"/>
      <c r="T220" s="85"/>
      <c r="V220" s="85"/>
      <c r="X220" s="85"/>
      <c r="Z220" s="85"/>
      <c r="AB220" s="85"/>
      <c r="AD220" s="85"/>
      <c r="AF220" s="85"/>
      <c r="AH220" s="85"/>
      <c r="AJ220" s="85"/>
      <c r="AL220" s="85"/>
      <c r="AN220" s="85"/>
      <c r="AP220" s="85"/>
      <c r="AR220" s="85"/>
      <c r="AT220" s="85"/>
      <c r="AV220" s="85"/>
      <c r="AW220" s="83"/>
    </row>
    <row r="221" spans="2:49">
      <c r="B221" s="82"/>
      <c r="AW221" s="83"/>
    </row>
    <row r="222" spans="2:49">
      <c r="B222" s="84"/>
      <c r="D222" s="85"/>
      <c r="F222" s="85"/>
      <c r="H222" s="85"/>
      <c r="J222" s="85"/>
      <c r="L222" s="85"/>
      <c r="N222" s="85"/>
      <c r="P222" s="85"/>
      <c r="R222" s="85"/>
      <c r="T222" s="85"/>
      <c r="V222" s="85"/>
      <c r="X222" s="85"/>
      <c r="Z222" s="85"/>
      <c r="AB222" s="85"/>
      <c r="AD222" s="85"/>
      <c r="AF222" s="85"/>
      <c r="AH222" s="85"/>
      <c r="AJ222" s="85"/>
      <c r="AL222" s="85"/>
      <c r="AN222" s="85"/>
      <c r="AP222" s="85"/>
      <c r="AR222" s="85"/>
      <c r="AT222" s="85"/>
      <c r="AV222" s="85"/>
      <c r="AW222" s="83"/>
    </row>
    <row r="223" spans="2:49">
      <c r="B223" s="82"/>
      <c r="AW223" s="83"/>
    </row>
    <row r="224" spans="2:49">
      <c r="B224" s="84"/>
      <c r="D224" s="85"/>
      <c r="F224" s="85"/>
      <c r="H224" s="85"/>
      <c r="J224" s="85"/>
      <c r="L224" s="85"/>
      <c r="N224" s="85"/>
      <c r="P224" s="85"/>
      <c r="R224" s="85"/>
      <c r="T224" s="85"/>
      <c r="V224" s="85"/>
      <c r="X224" s="85"/>
      <c r="Z224" s="85"/>
      <c r="AB224" s="85"/>
      <c r="AD224" s="85"/>
      <c r="AF224" s="85"/>
      <c r="AH224" s="85"/>
      <c r="AJ224" s="85"/>
      <c r="AL224" s="85"/>
      <c r="AN224" s="85"/>
      <c r="AP224" s="85"/>
      <c r="AR224" s="85"/>
      <c r="AT224" s="85"/>
      <c r="AV224" s="85"/>
      <c r="AW224" s="83"/>
    </row>
    <row r="225" spans="2:49">
      <c r="B225" s="82"/>
      <c r="AW225" s="83"/>
    </row>
    <row r="226" spans="2:49">
      <c r="B226" s="84"/>
      <c r="D226" s="85"/>
      <c r="F226" s="85"/>
      <c r="H226" s="85"/>
      <c r="J226" s="85"/>
      <c r="L226" s="85"/>
      <c r="N226" s="85"/>
      <c r="P226" s="85"/>
      <c r="R226" s="85"/>
      <c r="T226" s="85"/>
      <c r="V226" s="85"/>
      <c r="X226" s="85"/>
      <c r="Z226" s="85"/>
      <c r="AB226" s="85"/>
      <c r="AD226" s="85"/>
      <c r="AF226" s="85"/>
      <c r="AH226" s="85"/>
      <c r="AJ226" s="85"/>
      <c r="AL226" s="85"/>
      <c r="AN226" s="85"/>
      <c r="AP226" s="85"/>
      <c r="AR226" s="85"/>
      <c r="AT226" s="85"/>
      <c r="AV226" s="85"/>
      <c r="AW226" s="83"/>
    </row>
    <row r="227" spans="2:49">
      <c r="B227" s="82"/>
      <c r="AW227" s="83"/>
    </row>
    <row r="228" spans="2:49">
      <c r="B228" s="84"/>
      <c r="D228" s="85"/>
      <c r="F228" s="85"/>
      <c r="H228" s="85"/>
      <c r="J228" s="85"/>
      <c r="L228" s="85"/>
      <c r="N228" s="85"/>
      <c r="P228" s="85"/>
      <c r="R228" s="85"/>
      <c r="T228" s="85"/>
      <c r="V228" s="85"/>
      <c r="X228" s="85"/>
      <c r="Z228" s="85"/>
      <c r="AB228" s="85"/>
      <c r="AD228" s="85"/>
      <c r="AF228" s="85"/>
      <c r="AH228" s="85"/>
      <c r="AJ228" s="85"/>
      <c r="AL228" s="85"/>
      <c r="AN228" s="85"/>
      <c r="AP228" s="85"/>
      <c r="AR228" s="85"/>
      <c r="AT228" s="85"/>
      <c r="AV228" s="85"/>
      <c r="AW228" s="83"/>
    </row>
    <row r="229" spans="2:49">
      <c r="B229" s="82"/>
      <c r="AW229" s="83"/>
    </row>
    <row r="230" spans="2:49">
      <c r="B230" s="84"/>
      <c r="D230" s="85"/>
      <c r="F230" s="85"/>
      <c r="H230" s="85"/>
      <c r="J230" s="85"/>
      <c r="L230" s="85"/>
      <c r="N230" s="85"/>
      <c r="P230" s="85"/>
      <c r="R230" s="85"/>
      <c r="T230" s="85"/>
      <c r="V230" s="85"/>
      <c r="X230" s="85"/>
      <c r="Z230" s="85"/>
      <c r="AB230" s="85"/>
      <c r="AD230" s="85"/>
      <c r="AF230" s="85"/>
      <c r="AH230" s="85"/>
      <c r="AJ230" s="85"/>
      <c r="AL230" s="85"/>
      <c r="AN230" s="85"/>
      <c r="AP230" s="85"/>
      <c r="AR230" s="85"/>
      <c r="AT230" s="85"/>
      <c r="AV230" s="85"/>
      <c r="AW230" s="83"/>
    </row>
    <row r="231" spans="2:49">
      <c r="B231" s="82"/>
      <c r="AW231" s="83"/>
    </row>
    <row r="232" spans="2:49">
      <c r="B232" s="84"/>
      <c r="D232" s="85"/>
      <c r="F232" s="85"/>
      <c r="H232" s="85"/>
      <c r="J232" s="85"/>
      <c r="L232" s="85"/>
      <c r="N232" s="85"/>
      <c r="P232" s="85"/>
      <c r="R232" s="85"/>
      <c r="T232" s="85"/>
      <c r="V232" s="85"/>
      <c r="X232" s="85"/>
      <c r="Z232" s="85"/>
      <c r="AB232" s="85"/>
      <c r="AD232" s="85"/>
      <c r="AF232" s="85"/>
      <c r="AH232" s="85"/>
      <c r="AJ232" s="85"/>
      <c r="AL232" s="85"/>
      <c r="AN232" s="85"/>
      <c r="AP232" s="85"/>
      <c r="AR232" s="85"/>
      <c r="AT232" s="85"/>
      <c r="AV232" s="85"/>
      <c r="AW232" s="83"/>
    </row>
    <row r="233" spans="2:49">
      <c r="B233" s="82"/>
      <c r="AW233" s="83"/>
    </row>
    <row r="234" spans="2:49">
      <c r="B234" s="84"/>
      <c r="D234" s="85"/>
      <c r="F234" s="85"/>
      <c r="H234" s="85"/>
      <c r="J234" s="85"/>
      <c r="L234" s="85"/>
      <c r="N234" s="85"/>
      <c r="P234" s="85"/>
      <c r="R234" s="85"/>
      <c r="T234" s="85"/>
      <c r="V234" s="85"/>
      <c r="X234" s="85"/>
      <c r="Z234" s="85"/>
      <c r="AB234" s="85"/>
      <c r="AD234" s="85"/>
      <c r="AF234" s="85"/>
      <c r="AH234" s="85"/>
      <c r="AJ234" s="85"/>
      <c r="AL234" s="85"/>
      <c r="AN234" s="85"/>
      <c r="AP234" s="85"/>
      <c r="AR234" s="85"/>
      <c r="AT234" s="85"/>
      <c r="AV234" s="85"/>
      <c r="AW234" s="83"/>
    </row>
    <row r="235" spans="2:49">
      <c r="B235" s="82"/>
      <c r="AW235" s="83"/>
    </row>
    <row r="236" spans="2:49">
      <c r="B236" s="84"/>
      <c r="D236" s="85"/>
      <c r="F236" s="85"/>
      <c r="H236" s="85"/>
      <c r="J236" s="85"/>
      <c r="L236" s="85"/>
      <c r="N236" s="85"/>
      <c r="P236" s="85"/>
      <c r="R236" s="85"/>
      <c r="T236" s="85"/>
      <c r="V236" s="85"/>
      <c r="X236" s="85"/>
      <c r="Z236" s="85"/>
      <c r="AB236" s="85"/>
      <c r="AD236" s="85"/>
      <c r="AF236" s="85"/>
      <c r="AH236" s="85"/>
      <c r="AJ236" s="85"/>
      <c r="AL236" s="85"/>
      <c r="AN236" s="85"/>
      <c r="AP236" s="85"/>
      <c r="AR236" s="85"/>
      <c r="AT236" s="85"/>
      <c r="AV236" s="85"/>
      <c r="AW236" s="83"/>
    </row>
    <row r="237" spans="2:49">
      <c r="B237" s="82"/>
      <c r="AW237" s="83"/>
    </row>
    <row r="238" spans="2:49">
      <c r="B238" s="84"/>
      <c r="D238" s="85"/>
      <c r="F238" s="85"/>
      <c r="H238" s="85"/>
      <c r="J238" s="85"/>
      <c r="L238" s="85"/>
      <c r="N238" s="85"/>
      <c r="P238" s="85"/>
      <c r="R238" s="85"/>
      <c r="T238" s="85"/>
      <c r="V238" s="85"/>
      <c r="X238" s="85"/>
      <c r="Z238" s="85"/>
      <c r="AB238" s="85"/>
      <c r="AD238" s="85"/>
      <c r="AF238" s="85"/>
      <c r="AH238" s="85"/>
      <c r="AJ238" s="85"/>
      <c r="AL238" s="85"/>
      <c r="AN238" s="85"/>
      <c r="AP238" s="85"/>
      <c r="AR238" s="85"/>
      <c r="AT238" s="85"/>
      <c r="AV238" s="85"/>
      <c r="AW238" s="83"/>
    </row>
    <row r="239" spans="2:49">
      <c r="B239" s="82"/>
      <c r="AW239" s="83"/>
    </row>
    <row r="240" spans="2:49">
      <c r="B240" s="84"/>
      <c r="D240" s="85"/>
      <c r="F240" s="85"/>
      <c r="H240" s="85"/>
      <c r="J240" s="85"/>
      <c r="L240" s="85"/>
      <c r="N240" s="85"/>
      <c r="P240" s="85"/>
      <c r="R240" s="85"/>
      <c r="T240" s="85"/>
      <c r="V240" s="85"/>
      <c r="X240" s="85"/>
      <c r="Z240" s="85"/>
      <c r="AB240" s="85"/>
      <c r="AD240" s="85"/>
      <c r="AF240" s="85"/>
      <c r="AH240" s="85"/>
      <c r="AJ240" s="85"/>
      <c r="AL240" s="85"/>
      <c r="AN240" s="85"/>
      <c r="AP240" s="85"/>
      <c r="AR240" s="85"/>
      <c r="AT240" s="85"/>
      <c r="AV240" s="85"/>
      <c r="AW240" s="83"/>
    </row>
    <row r="241" spans="2:49">
      <c r="B241" s="82"/>
      <c r="AW241" s="83"/>
    </row>
    <row r="242" spans="2:49">
      <c r="B242" s="84"/>
      <c r="D242" s="85"/>
      <c r="F242" s="85"/>
      <c r="H242" s="85"/>
      <c r="J242" s="85"/>
      <c r="L242" s="85"/>
      <c r="N242" s="85"/>
      <c r="P242" s="85"/>
      <c r="R242" s="85"/>
      <c r="T242" s="85"/>
      <c r="V242" s="85"/>
      <c r="X242" s="85"/>
      <c r="Z242" s="85"/>
      <c r="AB242" s="85"/>
      <c r="AD242" s="85"/>
      <c r="AF242" s="85"/>
      <c r="AH242" s="85"/>
      <c r="AJ242" s="85"/>
      <c r="AL242" s="85"/>
      <c r="AN242" s="85"/>
      <c r="AP242" s="85"/>
      <c r="AR242" s="85"/>
      <c r="AT242" s="85"/>
      <c r="AV242" s="85"/>
      <c r="AW242" s="83"/>
    </row>
    <row r="243" spans="2:49">
      <c r="B243" s="82"/>
      <c r="AW243" s="83"/>
    </row>
    <row r="244" spans="2:49">
      <c r="B244" s="84"/>
      <c r="D244" s="85"/>
      <c r="F244" s="85"/>
      <c r="H244" s="85"/>
      <c r="J244" s="85"/>
      <c r="L244" s="85"/>
      <c r="N244" s="85"/>
      <c r="P244" s="85"/>
      <c r="R244" s="85"/>
      <c r="T244" s="85"/>
      <c r="V244" s="85"/>
      <c r="X244" s="85"/>
      <c r="Z244" s="85"/>
      <c r="AB244" s="85"/>
      <c r="AD244" s="85"/>
      <c r="AF244" s="85"/>
      <c r="AH244" s="85"/>
      <c r="AJ244" s="85"/>
      <c r="AL244" s="85"/>
      <c r="AN244" s="85"/>
      <c r="AP244" s="85"/>
      <c r="AR244" s="85"/>
      <c r="AT244" s="85"/>
      <c r="AV244" s="85"/>
      <c r="AW244" s="83"/>
    </row>
    <row r="245" spans="2:49">
      <c r="B245" s="82"/>
      <c r="AW245" s="83"/>
    </row>
    <row r="246" spans="2:49">
      <c r="B246" s="84"/>
      <c r="D246" s="85"/>
      <c r="F246" s="85"/>
      <c r="H246" s="85"/>
      <c r="J246" s="85"/>
      <c r="L246" s="85"/>
      <c r="N246" s="85"/>
      <c r="P246" s="85"/>
      <c r="R246" s="85"/>
      <c r="T246" s="85"/>
      <c r="V246" s="85"/>
      <c r="X246" s="85"/>
      <c r="Z246" s="85"/>
      <c r="AB246" s="85"/>
      <c r="AD246" s="85"/>
      <c r="AF246" s="85"/>
      <c r="AH246" s="85"/>
      <c r="AJ246" s="85"/>
      <c r="AL246" s="85"/>
      <c r="AN246" s="85"/>
      <c r="AP246" s="85"/>
      <c r="AR246" s="85"/>
      <c r="AT246" s="85"/>
      <c r="AV246" s="85"/>
      <c r="AW246" s="83"/>
    </row>
    <row r="247" spans="2:49">
      <c r="B247" s="82"/>
      <c r="AW247" s="83"/>
    </row>
    <row r="248" spans="2:49">
      <c r="B248" s="84"/>
      <c r="D248" s="85"/>
      <c r="F248" s="85"/>
      <c r="H248" s="85"/>
      <c r="J248" s="85"/>
      <c r="L248" s="85"/>
      <c r="N248" s="85"/>
      <c r="P248" s="85"/>
      <c r="R248" s="85"/>
      <c r="T248" s="85"/>
      <c r="V248" s="85"/>
      <c r="X248" s="85"/>
      <c r="Z248" s="85"/>
      <c r="AB248" s="85"/>
      <c r="AD248" s="85"/>
      <c r="AF248" s="85"/>
      <c r="AH248" s="85"/>
      <c r="AJ248" s="85"/>
      <c r="AL248" s="85"/>
      <c r="AN248" s="85"/>
      <c r="AP248" s="85"/>
      <c r="AR248" s="85"/>
      <c r="AT248" s="85"/>
      <c r="AV248" s="85"/>
      <c r="AW248" s="83"/>
    </row>
    <row r="249" spans="2:49">
      <c r="B249" s="82"/>
      <c r="AW249" s="83"/>
    </row>
    <row r="250" spans="2:49">
      <c r="B250" s="84"/>
      <c r="D250" s="85"/>
      <c r="F250" s="85"/>
      <c r="H250" s="85"/>
      <c r="J250" s="85"/>
      <c r="L250" s="85"/>
      <c r="N250" s="85"/>
      <c r="P250" s="85"/>
      <c r="R250" s="85"/>
      <c r="T250" s="85"/>
      <c r="V250" s="85"/>
      <c r="X250" s="85"/>
      <c r="Z250" s="85"/>
      <c r="AB250" s="85"/>
      <c r="AD250" s="85"/>
      <c r="AF250" s="85"/>
      <c r="AH250" s="85"/>
      <c r="AJ250" s="85"/>
      <c r="AL250" s="85"/>
      <c r="AN250" s="85"/>
      <c r="AP250" s="85"/>
      <c r="AR250" s="85"/>
      <c r="AT250" s="85"/>
      <c r="AV250" s="85"/>
      <c r="AW250" s="83"/>
    </row>
    <row r="251" spans="2:49">
      <c r="B251" s="82"/>
      <c r="AW251" s="83"/>
    </row>
    <row r="252" spans="2:49">
      <c r="B252" s="84"/>
      <c r="D252" s="85"/>
      <c r="F252" s="85"/>
      <c r="H252" s="85"/>
      <c r="J252" s="85"/>
      <c r="L252" s="85"/>
      <c r="N252" s="85"/>
      <c r="P252" s="85"/>
      <c r="R252" s="85"/>
      <c r="T252" s="85"/>
      <c r="V252" s="85"/>
      <c r="X252" s="85"/>
      <c r="Z252" s="85"/>
      <c r="AB252" s="85"/>
      <c r="AD252" s="85"/>
      <c r="AF252" s="85"/>
      <c r="AH252" s="85"/>
      <c r="AJ252" s="85"/>
      <c r="AL252" s="85"/>
      <c r="AN252" s="85"/>
      <c r="AP252" s="85"/>
      <c r="AR252" s="85"/>
      <c r="AT252" s="85"/>
      <c r="AV252" s="85"/>
      <c r="AW252" s="83"/>
    </row>
    <row r="253" spans="2:49">
      <c r="B253" s="82"/>
      <c r="AW253" s="83"/>
    </row>
    <row r="254" spans="2:49">
      <c r="B254" s="84"/>
      <c r="D254" s="85"/>
      <c r="F254" s="85"/>
      <c r="H254" s="85"/>
      <c r="J254" s="85"/>
      <c r="L254" s="85"/>
      <c r="N254" s="85"/>
      <c r="P254" s="85"/>
      <c r="R254" s="85"/>
      <c r="T254" s="85"/>
      <c r="V254" s="85"/>
      <c r="X254" s="85"/>
      <c r="Z254" s="85"/>
      <c r="AB254" s="85"/>
      <c r="AD254" s="85"/>
      <c r="AF254" s="85"/>
      <c r="AH254" s="85"/>
      <c r="AJ254" s="85"/>
      <c r="AL254" s="85"/>
      <c r="AN254" s="85"/>
      <c r="AP254" s="85"/>
      <c r="AR254" s="85"/>
      <c r="AT254" s="85"/>
      <c r="AV254" s="85"/>
      <c r="AW254" s="83"/>
    </row>
    <row r="255" spans="2:49">
      <c r="B255" s="82"/>
      <c r="AW255" s="83"/>
    </row>
    <row r="256" spans="2:49">
      <c r="B256" s="84"/>
      <c r="D256" s="85"/>
      <c r="F256" s="85"/>
      <c r="H256" s="85"/>
      <c r="J256" s="85"/>
      <c r="L256" s="85"/>
      <c r="N256" s="85"/>
      <c r="P256" s="85"/>
      <c r="R256" s="85"/>
      <c r="T256" s="85"/>
      <c r="V256" s="85"/>
      <c r="X256" s="85"/>
      <c r="Z256" s="85"/>
      <c r="AB256" s="85"/>
      <c r="AD256" s="85"/>
      <c r="AF256" s="85"/>
      <c r="AH256" s="85"/>
      <c r="AJ256" s="85"/>
      <c r="AL256" s="85"/>
      <c r="AN256" s="85"/>
      <c r="AP256" s="85"/>
      <c r="AR256" s="85"/>
      <c r="AT256" s="85"/>
      <c r="AV256" s="85"/>
      <c r="AW256" s="83"/>
    </row>
    <row r="257" spans="2:49">
      <c r="B257" s="82"/>
      <c r="AW257" s="83"/>
    </row>
    <row r="258" spans="2:49">
      <c r="B258" s="84"/>
      <c r="D258" s="85"/>
      <c r="F258" s="85"/>
      <c r="H258" s="85"/>
      <c r="J258" s="85"/>
      <c r="L258" s="85"/>
      <c r="N258" s="85"/>
      <c r="P258" s="85"/>
      <c r="R258" s="85"/>
      <c r="T258" s="85"/>
      <c r="V258" s="85"/>
      <c r="X258" s="85"/>
      <c r="Z258" s="85"/>
      <c r="AB258" s="85"/>
      <c r="AD258" s="85"/>
      <c r="AF258" s="85"/>
      <c r="AH258" s="85"/>
      <c r="AJ258" s="85"/>
      <c r="AL258" s="85"/>
      <c r="AN258" s="85"/>
      <c r="AP258" s="85"/>
      <c r="AR258" s="85"/>
      <c r="AT258" s="85"/>
      <c r="AV258" s="85"/>
      <c r="AW258" s="83"/>
    </row>
    <row r="259" spans="2:49">
      <c r="B259" s="82"/>
      <c r="AW259" s="83"/>
    </row>
    <row r="260" spans="2:49">
      <c r="B260" s="84"/>
      <c r="D260" s="85"/>
      <c r="F260" s="85"/>
      <c r="H260" s="85"/>
      <c r="J260" s="85"/>
      <c r="L260" s="85"/>
      <c r="N260" s="85"/>
      <c r="P260" s="85"/>
      <c r="R260" s="85"/>
      <c r="T260" s="85"/>
      <c r="V260" s="85"/>
      <c r="X260" s="85"/>
      <c r="Z260" s="85"/>
      <c r="AB260" s="85"/>
      <c r="AD260" s="85"/>
      <c r="AF260" s="85"/>
      <c r="AH260" s="85"/>
      <c r="AJ260" s="85"/>
      <c r="AL260" s="85"/>
      <c r="AN260" s="85"/>
      <c r="AP260" s="85"/>
      <c r="AR260" s="85"/>
      <c r="AT260" s="85"/>
      <c r="AV260" s="85"/>
      <c r="AW260" s="83"/>
    </row>
    <row r="261" spans="2:49">
      <c r="B261" s="82"/>
      <c r="AW261" s="83"/>
    </row>
    <row r="262" spans="2:49">
      <c r="B262" s="84"/>
      <c r="D262" s="85"/>
      <c r="F262" s="85"/>
      <c r="H262" s="85"/>
      <c r="J262" s="85"/>
      <c r="L262" s="85"/>
      <c r="N262" s="85"/>
      <c r="P262" s="85"/>
      <c r="R262" s="85"/>
      <c r="T262" s="85"/>
      <c r="V262" s="85"/>
      <c r="X262" s="85"/>
      <c r="Z262" s="85"/>
      <c r="AB262" s="85"/>
      <c r="AD262" s="85"/>
      <c r="AF262" s="85"/>
      <c r="AH262" s="85"/>
      <c r="AJ262" s="85"/>
      <c r="AL262" s="85"/>
      <c r="AN262" s="85"/>
      <c r="AP262" s="85"/>
      <c r="AR262" s="85"/>
      <c r="AT262" s="85"/>
      <c r="AV262" s="85"/>
      <c r="AW262" s="83"/>
    </row>
    <row r="263" spans="2:49">
      <c r="B263" s="82"/>
      <c r="AW263" s="83"/>
    </row>
    <row r="264" spans="2:49">
      <c r="B264" s="84"/>
      <c r="D264" s="85"/>
      <c r="F264" s="85"/>
      <c r="H264" s="85"/>
      <c r="J264" s="85"/>
      <c r="L264" s="85"/>
      <c r="N264" s="85"/>
      <c r="P264" s="85"/>
      <c r="R264" s="85"/>
      <c r="T264" s="85"/>
      <c r="V264" s="85"/>
      <c r="X264" s="85"/>
      <c r="Z264" s="85"/>
      <c r="AB264" s="85"/>
      <c r="AD264" s="85"/>
      <c r="AF264" s="85"/>
      <c r="AH264" s="85"/>
      <c r="AJ264" s="85"/>
      <c r="AL264" s="85"/>
      <c r="AN264" s="85"/>
      <c r="AP264" s="85"/>
      <c r="AR264" s="85"/>
      <c r="AT264" s="85"/>
      <c r="AV264" s="85"/>
      <c r="AW264" s="83"/>
    </row>
    <row r="265" spans="2:49">
      <c r="B265" s="82"/>
      <c r="AW265" s="83"/>
    </row>
    <row r="266" spans="2:49">
      <c r="B266" s="84"/>
      <c r="D266" s="85"/>
      <c r="F266" s="85"/>
      <c r="H266" s="85"/>
      <c r="J266" s="85"/>
      <c r="L266" s="85"/>
      <c r="N266" s="85"/>
      <c r="P266" s="85"/>
      <c r="R266" s="85"/>
      <c r="T266" s="85"/>
      <c r="V266" s="85"/>
      <c r="X266" s="85"/>
      <c r="Z266" s="85"/>
      <c r="AB266" s="85"/>
      <c r="AD266" s="85"/>
      <c r="AF266" s="85"/>
      <c r="AH266" s="85"/>
      <c r="AJ266" s="85"/>
      <c r="AL266" s="85"/>
      <c r="AN266" s="85"/>
      <c r="AP266" s="85"/>
      <c r="AR266" s="85"/>
      <c r="AT266" s="85"/>
      <c r="AV266" s="85"/>
      <c r="AW266" s="83"/>
    </row>
    <row r="267" spans="2:49">
      <c r="B267" s="82"/>
      <c r="AW267" s="83"/>
    </row>
    <row r="268" spans="2:49">
      <c r="B268" s="84"/>
      <c r="D268" s="85"/>
      <c r="F268" s="85"/>
      <c r="H268" s="85"/>
      <c r="J268" s="85"/>
      <c r="L268" s="85"/>
      <c r="N268" s="85"/>
      <c r="P268" s="85"/>
      <c r="R268" s="85"/>
      <c r="T268" s="85"/>
      <c r="V268" s="85"/>
      <c r="X268" s="85"/>
      <c r="Z268" s="85"/>
      <c r="AB268" s="85"/>
      <c r="AD268" s="85"/>
      <c r="AF268" s="85"/>
      <c r="AH268" s="85"/>
      <c r="AJ268" s="85"/>
      <c r="AL268" s="85"/>
      <c r="AN268" s="85"/>
      <c r="AP268" s="85"/>
      <c r="AR268" s="85"/>
      <c r="AT268" s="85"/>
      <c r="AV268" s="85"/>
      <c r="AW268" s="83"/>
    </row>
    <row r="269" spans="2:49">
      <c r="B269" s="82"/>
      <c r="AW269" s="83"/>
    </row>
    <row r="270" spans="2:49">
      <c r="B270" s="84"/>
      <c r="D270" s="85"/>
      <c r="F270" s="85"/>
      <c r="H270" s="85"/>
      <c r="J270" s="85"/>
      <c r="L270" s="85"/>
      <c r="N270" s="85"/>
      <c r="P270" s="85"/>
      <c r="R270" s="85"/>
      <c r="T270" s="85"/>
      <c r="V270" s="85"/>
      <c r="X270" s="85"/>
      <c r="Z270" s="85"/>
      <c r="AB270" s="85"/>
      <c r="AD270" s="85"/>
      <c r="AF270" s="85"/>
      <c r="AH270" s="85"/>
      <c r="AJ270" s="85"/>
      <c r="AL270" s="85"/>
      <c r="AN270" s="85"/>
      <c r="AP270" s="85"/>
      <c r="AR270" s="85"/>
      <c r="AT270" s="85"/>
      <c r="AV270" s="85"/>
      <c r="AW270" s="83"/>
    </row>
    <row r="271" spans="2:49">
      <c r="B271" s="82"/>
      <c r="AW271" s="83"/>
    </row>
    <row r="272" spans="2:49">
      <c r="B272" s="84"/>
      <c r="D272" s="85"/>
      <c r="F272" s="85"/>
      <c r="H272" s="85"/>
      <c r="J272" s="85"/>
      <c r="L272" s="85"/>
      <c r="N272" s="85"/>
      <c r="P272" s="85"/>
      <c r="R272" s="85"/>
      <c r="T272" s="85"/>
      <c r="V272" s="85"/>
      <c r="X272" s="85"/>
      <c r="Z272" s="85"/>
      <c r="AB272" s="85"/>
      <c r="AD272" s="85"/>
      <c r="AF272" s="85"/>
      <c r="AH272" s="85"/>
      <c r="AJ272" s="85"/>
      <c r="AL272" s="85"/>
      <c r="AN272" s="85"/>
      <c r="AP272" s="85"/>
      <c r="AR272" s="85"/>
      <c r="AT272" s="85"/>
      <c r="AV272" s="85"/>
      <c r="AW272" s="83"/>
    </row>
    <row r="273" spans="2:49">
      <c r="B273" s="82"/>
      <c r="AW273" s="83"/>
    </row>
    <row r="274" spans="2:49">
      <c r="B274" s="84"/>
      <c r="D274" s="85"/>
      <c r="F274" s="85"/>
      <c r="H274" s="85"/>
      <c r="J274" s="85"/>
      <c r="L274" s="85"/>
      <c r="N274" s="85"/>
      <c r="P274" s="85"/>
      <c r="R274" s="85"/>
      <c r="T274" s="85"/>
      <c r="V274" s="85"/>
      <c r="X274" s="85"/>
      <c r="Z274" s="85"/>
      <c r="AB274" s="85"/>
      <c r="AD274" s="85"/>
      <c r="AF274" s="85"/>
      <c r="AH274" s="85"/>
      <c r="AJ274" s="85"/>
      <c r="AL274" s="85"/>
      <c r="AN274" s="85"/>
      <c r="AP274" s="85"/>
      <c r="AR274" s="85"/>
      <c r="AT274" s="85"/>
      <c r="AV274" s="85"/>
      <c r="AW274" s="83"/>
    </row>
    <row r="275" spans="2:49">
      <c r="B275" s="82"/>
      <c r="AW275" s="83"/>
    </row>
    <row r="276" spans="2:49">
      <c r="B276" s="84"/>
      <c r="D276" s="85"/>
      <c r="F276" s="85"/>
      <c r="H276" s="85"/>
      <c r="J276" s="85"/>
      <c r="L276" s="85"/>
      <c r="N276" s="85"/>
      <c r="P276" s="85"/>
      <c r="R276" s="85"/>
      <c r="T276" s="85"/>
      <c r="V276" s="85"/>
      <c r="X276" s="85"/>
      <c r="Z276" s="85"/>
      <c r="AB276" s="85"/>
      <c r="AD276" s="85"/>
      <c r="AF276" s="85"/>
      <c r="AH276" s="85"/>
      <c r="AJ276" s="85"/>
      <c r="AL276" s="85"/>
      <c r="AN276" s="85"/>
      <c r="AP276" s="85"/>
      <c r="AR276" s="85"/>
      <c r="AT276" s="85"/>
      <c r="AV276" s="85"/>
      <c r="AW276" s="83"/>
    </row>
    <row r="277" spans="2:49">
      <c r="B277" s="82"/>
      <c r="AW277" s="83"/>
    </row>
    <row r="278" spans="2:49">
      <c r="B278" s="84"/>
      <c r="D278" s="85"/>
      <c r="F278" s="85"/>
      <c r="H278" s="85"/>
      <c r="J278" s="85"/>
      <c r="L278" s="85"/>
      <c r="N278" s="85"/>
      <c r="P278" s="85"/>
      <c r="R278" s="85"/>
      <c r="T278" s="85"/>
      <c r="V278" s="85"/>
      <c r="X278" s="85"/>
      <c r="Z278" s="85"/>
      <c r="AB278" s="85"/>
      <c r="AD278" s="85"/>
      <c r="AF278" s="85"/>
      <c r="AH278" s="85"/>
      <c r="AJ278" s="85"/>
      <c r="AL278" s="85"/>
      <c r="AN278" s="85"/>
      <c r="AP278" s="85"/>
      <c r="AR278" s="85"/>
      <c r="AT278" s="85"/>
      <c r="AV278" s="85"/>
      <c r="AW278" s="83"/>
    </row>
    <row r="279" spans="2:49">
      <c r="B279" s="82"/>
      <c r="AW279" s="83"/>
    </row>
    <row r="280" spans="2:49">
      <c r="B280" s="84"/>
      <c r="D280" s="85"/>
      <c r="F280" s="85"/>
      <c r="H280" s="85"/>
      <c r="J280" s="85"/>
      <c r="L280" s="85"/>
      <c r="N280" s="85"/>
      <c r="P280" s="85"/>
      <c r="R280" s="85"/>
      <c r="T280" s="85"/>
      <c r="V280" s="85"/>
      <c r="X280" s="85"/>
      <c r="Z280" s="85"/>
      <c r="AB280" s="85"/>
      <c r="AD280" s="85"/>
      <c r="AF280" s="85"/>
      <c r="AH280" s="85"/>
      <c r="AJ280" s="85"/>
      <c r="AL280" s="85"/>
      <c r="AN280" s="85"/>
      <c r="AP280" s="85"/>
      <c r="AR280" s="85"/>
      <c r="AT280" s="85"/>
      <c r="AV280" s="85"/>
      <c r="AW280" s="83"/>
    </row>
    <row r="281" spans="2:49">
      <c r="B281" s="82"/>
      <c r="AW281" s="83"/>
    </row>
    <row r="282" spans="2:49">
      <c r="B282" s="84"/>
      <c r="D282" s="85"/>
      <c r="F282" s="85"/>
      <c r="H282" s="85"/>
      <c r="J282" s="85"/>
      <c r="L282" s="85"/>
      <c r="N282" s="85"/>
      <c r="P282" s="85"/>
      <c r="R282" s="85"/>
      <c r="T282" s="85"/>
      <c r="V282" s="85"/>
      <c r="X282" s="85"/>
      <c r="Z282" s="85"/>
      <c r="AB282" s="85"/>
      <c r="AD282" s="85"/>
      <c r="AF282" s="85"/>
      <c r="AH282" s="85"/>
      <c r="AJ282" s="85"/>
      <c r="AL282" s="85"/>
      <c r="AN282" s="85"/>
      <c r="AP282" s="85"/>
      <c r="AR282" s="85"/>
      <c r="AT282" s="85"/>
      <c r="AV282" s="85"/>
      <c r="AW282" s="83"/>
    </row>
    <row r="283" spans="2:49">
      <c r="B283" s="82"/>
      <c r="AW283" s="83"/>
    </row>
    <row r="284" spans="2:49">
      <c r="B284" s="84"/>
      <c r="D284" s="85"/>
      <c r="F284" s="85"/>
      <c r="H284" s="85"/>
      <c r="J284" s="85"/>
      <c r="L284" s="85"/>
      <c r="N284" s="85"/>
      <c r="P284" s="85"/>
      <c r="R284" s="85"/>
      <c r="T284" s="85"/>
      <c r="V284" s="85"/>
      <c r="X284" s="85"/>
      <c r="Z284" s="85"/>
      <c r="AB284" s="85"/>
      <c r="AD284" s="85"/>
      <c r="AF284" s="85"/>
      <c r="AH284" s="85"/>
      <c r="AJ284" s="85"/>
      <c r="AL284" s="85"/>
      <c r="AN284" s="85"/>
      <c r="AP284" s="85"/>
      <c r="AR284" s="85"/>
      <c r="AT284" s="85"/>
      <c r="AV284" s="85"/>
      <c r="AW284" s="83"/>
    </row>
    <row r="285" spans="2:49">
      <c r="B285" s="82"/>
      <c r="AW285" s="83"/>
    </row>
    <row r="286" spans="2:49">
      <c r="B286" s="84"/>
      <c r="D286" s="85"/>
      <c r="F286" s="85"/>
      <c r="H286" s="85"/>
      <c r="J286" s="85"/>
      <c r="L286" s="85"/>
      <c r="N286" s="85"/>
      <c r="P286" s="85"/>
      <c r="R286" s="85"/>
      <c r="T286" s="85"/>
      <c r="V286" s="85"/>
      <c r="X286" s="85"/>
      <c r="Z286" s="85"/>
      <c r="AB286" s="85"/>
      <c r="AD286" s="85"/>
      <c r="AF286" s="85"/>
      <c r="AH286" s="85"/>
      <c r="AJ286" s="85"/>
      <c r="AL286" s="85"/>
      <c r="AN286" s="85"/>
      <c r="AP286" s="85"/>
      <c r="AR286" s="85"/>
      <c r="AT286" s="85"/>
      <c r="AV286" s="85"/>
      <c r="AW286" s="83"/>
    </row>
    <row r="287" spans="2:49">
      <c r="B287" s="82"/>
      <c r="AW287" s="83"/>
    </row>
    <row r="288" spans="2:49">
      <c r="B288" s="84"/>
      <c r="D288" s="85"/>
      <c r="F288" s="85"/>
      <c r="H288" s="85"/>
      <c r="J288" s="85"/>
      <c r="L288" s="85"/>
      <c r="N288" s="85"/>
      <c r="P288" s="85"/>
      <c r="R288" s="85"/>
      <c r="T288" s="85"/>
      <c r="V288" s="85"/>
      <c r="X288" s="85"/>
      <c r="Z288" s="85"/>
      <c r="AB288" s="85"/>
      <c r="AD288" s="85"/>
      <c r="AF288" s="85"/>
      <c r="AH288" s="85"/>
      <c r="AJ288" s="85"/>
      <c r="AL288" s="85"/>
      <c r="AN288" s="85"/>
      <c r="AP288" s="85"/>
      <c r="AR288" s="85"/>
      <c r="AT288" s="85"/>
      <c r="AV288" s="85"/>
      <c r="AW288" s="83"/>
    </row>
    <row r="289" spans="2:49">
      <c r="B289" s="82"/>
      <c r="AW289" s="83"/>
    </row>
    <row r="290" spans="2:49">
      <c r="B290" s="84"/>
      <c r="D290" s="85"/>
      <c r="F290" s="85"/>
      <c r="H290" s="85"/>
      <c r="J290" s="85"/>
      <c r="L290" s="85"/>
      <c r="N290" s="85"/>
      <c r="P290" s="85"/>
      <c r="R290" s="85"/>
      <c r="T290" s="85"/>
      <c r="V290" s="85"/>
      <c r="X290" s="85"/>
      <c r="Z290" s="85"/>
      <c r="AB290" s="85"/>
      <c r="AD290" s="85"/>
      <c r="AF290" s="85"/>
      <c r="AH290" s="85"/>
      <c r="AJ290" s="85"/>
      <c r="AL290" s="85"/>
      <c r="AN290" s="85"/>
      <c r="AP290" s="85"/>
      <c r="AR290" s="85"/>
      <c r="AT290" s="85"/>
      <c r="AV290" s="85"/>
      <c r="AW290" s="83"/>
    </row>
    <row r="291" spans="2:49">
      <c r="B291" s="82"/>
      <c r="AW291" s="83"/>
    </row>
    <row r="292" spans="2:49">
      <c r="B292" s="84"/>
      <c r="D292" s="85"/>
      <c r="F292" s="85"/>
      <c r="H292" s="85"/>
      <c r="J292" s="85"/>
      <c r="L292" s="85"/>
      <c r="N292" s="85"/>
      <c r="P292" s="85"/>
      <c r="R292" s="85"/>
      <c r="T292" s="85"/>
      <c r="V292" s="85"/>
      <c r="X292" s="85"/>
      <c r="Z292" s="85"/>
      <c r="AB292" s="85"/>
      <c r="AD292" s="85"/>
      <c r="AF292" s="85"/>
      <c r="AH292" s="85"/>
      <c r="AJ292" s="85"/>
      <c r="AL292" s="85"/>
      <c r="AN292" s="85"/>
      <c r="AP292" s="85"/>
      <c r="AR292" s="85"/>
      <c r="AT292" s="85"/>
      <c r="AV292" s="85"/>
      <c r="AW292" s="83"/>
    </row>
    <row r="293" spans="2:49">
      <c r="B293" s="82"/>
      <c r="AW293" s="83"/>
    </row>
    <row r="294" spans="2:49">
      <c r="B294" s="84"/>
      <c r="D294" s="85"/>
      <c r="F294" s="85"/>
      <c r="H294" s="85"/>
      <c r="J294" s="85"/>
      <c r="L294" s="85"/>
      <c r="N294" s="85"/>
      <c r="P294" s="85"/>
      <c r="R294" s="85"/>
      <c r="T294" s="85"/>
      <c r="V294" s="85"/>
      <c r="X294" s="85"/>
      <c r="Z294" s="85"/>
      <c r="AB294" s="85"/>
      <c r="AD294" s="85"/>
      <c r="AF294" s="85"/>
      <c r="AH294" s="85"/>
      <c r="AJ294" s="85"/>
      <c r="AL294" s="85"/>
      <c r="AN294" s="85"/>
      <c r="AP294" s="85"/>
      <c r="AR294" s="85"/>
      <c r="AT294" s="85"/>
      <c r="AV294" s="85"/>
      <c r="AW294" s="83"/>
    </row>
    <row r="295" spans="2:49">
      <c r="B295" s="82"/>
      <c r="AW295" s="83"/>
    </row>
    <row r="296" spans="2:49">
      <c r="B296" s="84"/>
      <c r="D296" s="85"/>
      <c r="F296" s="85"/>
      <c r="H296" s="85"/>
      <c r="J296" s="85"/>
      <c r="L296" s="85"/>
      <c r="N296" s="85"/>
      <c r="P296" s="85"/>
      <c r="R296" s="85"/>
      <c r="T296" s="85"/>
      <c r="V296" s="85"/>
      <c r="X296" s="85"/>
      <c r="Z296" s="85"/>
      <c r="AB296" s="85"/>
      <c r="AD296" s="85"/>
      <c r="AF296" s="85"/>
      <c r="AH296" s="85"/>
      <c r="AJ296" s="85"/>
      <c r="AL296" s="85"/>
      <c r="AN296" s="85"/>
      <c r="AP296" s="85"/>
      <c r="AR296" s="85"/>
      <c r="AT296" s="85"/>
      <c r="AV296" s="85"/>
      <c r="AW296" s="83"/>
    </row>
    <row r="297" spans="2:49">
      <c r="B297" s="82"/>
      <c r="AW297" s="83"/>
    </row>
    <row r="298" spans="2:49">
      <c r="B298" s="84"/>
      <c r="D298" s="85"/>
      <c r="F298" s="85"/>
      <c r="H298" s="85"/>
      <c r="J298" s="85"/>
      <c r="L298" s="85"/>
      <c r="N298" s="85"/>
      <c r="P298" s="85"/>
      <c r="R298" s="85"/>
      <c r="T298" s="85"/>
      <c r="V298" s="85"/>
      <c r="X298" s="85"/>
      <c r="Z298" s="85"/>
      <c r="AB298" s="85"/>
      <c r="AD298" s="85"/>
      <c r="AF298" s="85"/>
      <c r="AH298" s="85"/>
      <c r="AJ298" s="85"/>
      <c r="AL298" s="85"/>
      <c r="AN298" s="85"/>
      <c r="AP298" s="85"/>
      <c r="AR298" s="85"/>
      <c r="AT298" s="85"/>
      <c r="AV298" s="85"/>
      <c r="AW298" s="83"/>
    </row>
    <row r="299" spans="2:49">
      <c r="B299" s="82"/>
      <c r="AW299" s="83"/>
    </row>
    <row r="300" spans="2:49">
      <c r="B300" s="84"/>
      <c r="D300" s="85"/>
      <c r="F300" s="85"/>
      <c r="H300" s="85"/>
      <c r="J300" s="85"/>
      <c r="L300" s="85"/>
      <c r="N300" s="85"/>
      <c r="P300" s="85"/>
      <c r="R300" s="85"/>
      <c r="T300" s="85"/>
      <c r="V300" s="85"/>
      <c r="X300" s="85"/>
      <c r="Z300" s="85"/>
      <c r="AB300" s="85"/>
      <c r="AD300" s="85"/>
      <c r="AF300" s="85"/>
      <c r="AH300" s="85"/>
      <c r="AJ300" s="85"/>
      <c r="AL300" s="85"/>
      <c r="AN300" s="85"/>
      <c r="AP300" s="85"/>
      <c r="AR300" s="85"/>
      <c r="AT300" s="85"/>
      <c r="AV300" s="85"/>
      <c r="AW300" s="83"/>
    </row>
    <row r="301" spans="2:49">
      <c r="B301" s="82"/>
      <c r="AW301" s="83"/>
    </row>
    <row r="302" spans="2:49">
      <c r="B302" s="84"/>
      <c r="D302" s="85"/>
      <c r="F302" s="85"/>
      <c r="H302" s="85"/>
      <c r="J302" s="85"/>
      <c r="L302" s="85"/>
      <c r="N302" s="85"/>
      <c r="P302" s="85"/>
      <c r="R302" s="85"/>
      <c r="T302" s="85"/>
      <c r="V302" s="85"/>
      <c r="X302" s="85"/>
      <c r="Z302" s="85"/>
      <c r="AB302" s="85"/>
      <c r="AD302" s="85"/>
      <c r="AF302" s="85"/>
      <c r="AH302" s="85"/>
      <c r="AJ302" s="85"/>
      <c r="AL302" s="85"/>
      <c r="AN302" s="85"/>
      <c r="AP302" s="85"/>
      <c r="AR302" s="85"/>
      <c r="AT302" s="85"/>
      <c r="AV302" s="85"/>
      <c r="AW302" s="83"/>
    </row>
    <row r="303" spans="2:49">
      <c r="B303" s="82"/>
      <c r="AW303" s="83"/>
    </row>
    <row r="304" spans="2:49">
      <c r="B304" s="84"/>
      <c r="D304" s="85"/>
      <c r="F304" s="85"/>
      <c r="H304" s="85"/>
      <c r="J304" s="85"/>
      <c r="L304" s="85"/>
      <c r="N304" s="85"/>
      <c r="P304" s="85"/>
      <c r="R304" s="85"/>
      <c r="T304" s="85"/>
      <c r="V304" s="85"/>
      <c r="X304" s="85"/>
      <c r="Z304" s="85"/>
      <c r="AB304" s="85"/>
      <c r="AD304" s="85"/>
      <c r="AF304" s="85"/>
      <c r="AH304" s="85"/>
      <c r="AJ304" s="85"/>
      <c r="AL304" s="85"/>
      <c r="AN304" s="85"/>
      <c r="AP304" s="85"/>
      <c r="AR304" s="85"/>
      <c r="AT304" s="85"/>
      <c r="AV304" s="85"/>
      <c r="AW304" s="83"/>
    </row>
    <row r="305" spans="2:49">
      <c r="B305" s="82"/>
      <c r="AW305" s="83"/>
    </row>
    <row r="306" spans="2:49">
      <c r="B306" s="84"/>
      <c r="D306" s="85"/>
      <c r="F306" s="85"/>
      <c r="H306" s="85"/>
      <c r="J306" s="85"/>
      <c r="L306" s="85"/>
      <c r="N306" s="85"/>
      <c r="P306" s="85"/>
      <c r="R306" s="85"/>
      <c r="T306" s="85"/>
      <c r="V306" s="85"/>
      <c r="X306" s="85"/>
      <c r="Z306" s="85"/>
      <c r="AB306" s="85"/>
      <c r="AD306" s="85"/>
      <c r="AF306" s="85"/>
      <c r="AH306" s="85"/>
      <c r="AJ306" s="85"/>
      <c r="AL306" s="85"/>
      <c r="AN306" s="85"/>
      <c r="AP306" s="85"/>
      <c r="AR306" s="85"/>
      <c r="AT306" s="85"/>
      <c r="AV306" s="85"/>
      <c r="AW306" s="83"/>
    </row>
    <row r="307" spans="2:49">
      <c r="B307" s="82"/>
      <c r="AW307" s="83"/>
    </row>
    <row r="308" spans="2:49">
      <c r="B308" s="84"/>
      <c r="D308" s="85"/>
      <c r="F308" s="85"/>
      <c r="H308" s="85"/>
      <c r="J308" s="85"/>
      <c r="L308" s="85"/>
      <c r="N308" s="85"/>
      <c r="P308" s="85"/>
      <c r="R308" s="85"/>
      <c r="T308" s="85"/>
      <c r="V308" s="85"/>
      <c r="X308" s="85"/>
      <c r="Z308" s="85"/>
      <c r="AB308" s="85"/>
      <c r="AD308" s="85"/>
      <c r="AF308" s="85"/>
      <c r="AH308" s="85"/>
      <c r="AJ308" s="85"/>
      <c r="AL308" s="85"/>
      <c r="AN308" s="85"/>
      <c r="AP308" s="85"/>
      <c r="AR308" s="85"/>
      <c r="AT308" s="85"/>
      <c r="AV308" s="85"/>
      <c r="AW308" s="83"/>
    </row>
    <row r="309" spans="2:49">
      <c r="B309" s="82"/>
      <c r="AW309" s="83"/>
    </row>
    <row r="310" spans="2:49">
      <c r="B310" s="84"/>
      <c r="D310" s="85"/>
      <c r="F310" s="85"/>
      <c r="H310" s="85"/>
      <c r="J310" s="85"/>
      <c r="L310" s="85"/>
      <c r="N310" s="85"/>
      <c r="P310" s="85"/>
      <c r="R310" s="85"/>
      <c r="T310" s="85"/>
      <c r="V310" s="85"/>
      <c r="X310" s="85"/>
      <c r="Z310" s="85"/>
      <c r="AB310" s="85"/>
      <c r="AD310" s="85"/>
      <c r="AF310" s="85"/>
      <c r="AH310" s="85"/>
      <c r="AJ310" s="85"/>
      <c r="AL310" s="85"/>
      <c r="AN310" s="85"/>
      <c r="AP310" s="85"/>
      <c r="AR310" s="85"/>
      <c r="AT310" s="85"/>
      <c r="AV310" s="85"/>
      <c r="AW310" s="83"/>
    </row>
    <row r="311" spans="2:49">
      <c r="B311" s="82"/>
      <c r="AW311" s="83"/>
    </row>
    <row r="312" spans="2:49">
      <c r="B312" s="84"/>
      <c r="D312" s="85"/>
      <c r="F312" s="85"/>
      <c r="H312" s="85"/>
      <c r="J312" s="85"/>
      <c r="L312" s="85"/>
      <c r="N312" s="85"/>
      <c r="P312" s="85"/>
      <c r="R312" s="85"/>
      <c r="T312" s="85"/>
      <c r="V312" s="85"/>
      <c r="X312" s="85"/>
      <c r="Z312" s="85"/>
      <c r="AB312" s="85"/>
      <c r="AD312" s="85"/>
      <c r="AF312" s="85"/>
      <c r="AH312" s="85"/>
      <c r="AJ312" s="85"/>
      <c r="AL312" s="85"/>
      <c r="AN312" s="85"/>
      <c r="AP312" s="85"/>
      <c r="AR312" s="85"/>
      <c r="AT312" s="85"/>
      <c r="AV312" s="85"/>
      <c r="AW312" s="83"/>
    </row>
    <row r="313" spans="2:49">
      <c r="B313" s="82"/>
      <c r="AW313" s="83"/>
    </row>
    <row r="314" spans="2:49">
      <c r="B314" s="84"/>
      <c r="D314" s="85"/>
      <c r="F314" s="85"/>
      <c r="H314" s="85"/>
      <c r="J314" s="85"/>
      <c r="L314" s="85"/>
      <c r="N314" s="85"/>
      <c r="P314" s="85"/>
      <c r="R314" s="85"/>
      <c r="T314" s="85"/>
      <c r="V314" s="85"/>
      <c r="X314" s="85"/>
      <c r="Z314" s="85"/>
      <c r="AB314" s="85"/>
      <c r="AD314" s="85"/>
      <c r="AF314" s="85"/>
      <c r="AH314" s="85"/>
      <c r="AJ314" s="85"/>
      <c r="AL314" s="85"/>
      <c r="AN314" s="85"/>
      <c r="AP314" s="85"/>
      <c r="AR314" s="85"/>
      <c r="AT314" s="85"/>
      <c r="AV314" s="85"/>
      <c r="AW314" s="83"/>
    </row>
    <row r="315" spans="2:49">
      <c r="B315" s="82"/>
      <c r="AW315" s="83"/>
    </row>
    <row r="316" spans="2:49">
      <c r="B316" s="84"/>
      <c r="D316" s="85"/>
      <c r="F316" s="85"/>
      <c r="H316" s="85"/>
      <c r="J316" s="85"/>
      <c r="L316" s="85"/>
      <c r="N316" s="85"/>
      <c r="P316" s="85"/>
      <c r="R316" s="85"/>
      <c r="T316" s="85"/>
      <c r="V316" s="85"/>
      <c r="X316" s="85"/>
      <c r="Z316" s="85"/>
      <c r="AB316" s="85"/>
      <c r="AD316" s="85"/>
      <c r="AF316" s="85"/>
      <c r="AH316" s="85"/>
      <c r="AJ316" s="85"/>
      <c r="AL316" s="85"/>
      <c r="AN316" s="85"/>
      <c r="AP316" s="85"/>
      <c r="AR316" s="85"/>
      <c r="AT316" s="85"/>
      <c r="AV316" s="85"/>
      <c r="AW316" s="83"/>
    </row>
    <row r="317" spans="2:49">
      <c r="B317" s="82"/>
      <c r="AW317" s="83"/>
    </row>
    <row r="318" spans="2:49">
      <c r="B318" s="84"/>
      <c r="D318" s="85"/>
      <c r="F318" s="85"/>
      <c r="H318" s="85"/>
      <c r="J318" s="85"/>
      <c r="L318" s="85"/>
      <c r="N318" s="85"/>
      <c r="P318" s="85"/>
      <c r="R318" s="85"/>
      <c r="T318" s="85"/>
      <c r="V318" s="85"/>
      <c r="X318" s="85"/>
      <c r="Z318" s="85"/>
      <c r="AB318" s="85"/>
      <c r="AD318" s="85"/>
      <c r="AF318" s="85"/>
      <c r="AH318" s="85"/>
      <c r="AJ318" s="85"/>
      <c r="AL318" s="85"/>
      <c r="AN318" s="85"/>
      <c r="AP318" s="85"/>
      <c r="AR318" s="85"/>
      <c r="AT318" s="85"/>
      <c r="AV318" s="85"/>
      <c r="AW318" s="83"/>
    </row>
    <row r="319" spans="2:49">
      <c r="B319" s="82"/>
      <c r="AW319" s="83"/>
    </row>
    <row r="320" spans="2:49">
      <c r="B320" s="84"/>
      <c r="D320" s="85"/>
      <c r="F320" s="85"/>
      <c r="H320" s="85"/>
      <c r="J320" s="85"/>
      <c r="L320" s="85"/>
      <c r="N320" s="85"/>
      <c r="P320" s="85"/>
      <c r="R320" s="85"/>
      <c r="T320" s="85"/>
      <c r="V320" s="85"/>
      <c r="X320" s="85"/>
      <c r="Z320" s="85"/>
      <c r="AB320" s="85"/>
      <c r="AD320" s="85"/>
      <c r="AF320" s="85"/>
      <c r="AH320" s="85"/>
      <c r="AJ320" s="85"/>
      <c r="AL320" s="85"/>
      <c r="AN320" s="85"/>
      <c r="AP320" s="85"/>
      <c r="AR320" s="85"/>
      <c r="AT320" s="85"/>
      <c r="AV320" s="85"/>
      <c r="AW320" s="83"/>
    </row>
    <row r="321" spans="2:49">
      <c r="B321" s="82"/>
      <c r="AW321" s="83"/>
    </row>
    <row r="322" spans="2:49">
      <c r="B322" s="84"/>
      <c r="D322" s="85"/>
      <c r="F322" s="85"/>
      <c r="H322" s="85"/>
      <c r="J322" s="85"/>
      <c r="L322" s="85"/>
      <c r="N322" s="85"/>
      <c r="P322" s="85"/>
      <c r="R322" s="85"/>
      <c r="T322" s="85"/>
      <c r="V322" s="85"/>
      <c r="X322" s="85"/>
      <c r="Z322" s="85"/>
      <c r="AB322" s="85"/>
      <c r="AD322" s="85"/>
      <c r="AF322" s="85"/>
      <c r="AH322" s="85"/>
      <c r="AJ322" s="85"/>
      <c r="AL322" s="85"/>
      <c r="AN322" s="85"/>
      <c r="AP322" s="85"/>
      <c r="AR322" s="85"/>
      <c r="AT322" s="85"/>
      <c r="AV322" s="85"/>
      <c r="AW322" s="83"/>
    </row>
    <row r="323" spans="2:49">
      <c r="B323" s="82"/>
      <c r="AW323" s="83"/>
    </row>
    <row r="324" spans="2:49">
      <c r="B324" s="84"/>
      <c r="D324" s="85"/>
      <c r="F324" s="85"/>
      <c r="H324" s="85"/>
      <c r="J324" s="85"/>
      <c r="L324" s="85"/>
      <c r="N324" s="85"/>
      <c r="P324" s="85"/>
      <c r="R324" s="85"/>
      <c r="T324" s="85"/>
      <c r="V324" s="85"/>
      <c r="X324" s="85"/>
      <c r="Z324" s="85"/>
      <c r="AB324" s="85"/>
      <c r="AD324" s="85"/>
      <c r="AF324" s="85"/>
      <c r="AH324" s="85"/>
      <c r="AJ324" s="85"/>
      <c r="AL324" s="85"/>
      <c r="AN324" s="85"/>
      <c r="AP324" s="85"/>
      <c r="AR324" s="85"/>
      <c r="AT324" s="85"/>
      <c r="AV324" s="85"/>
      <c r="AW324" s="83"/>
    </row>
    <row r="325" spans="2:49">
      <c r="B325" s="82"/>
      <c r="AW325" s="83"/>
    </row>
    <row r="326" spans="2:49">
      <c r="B326" s="84"/>
      <c r="D326" s="85"/>
      <c r="F326" s="85"/>
      <c r="H326" s="85"/>
      <c r="J326" s="85"/>
      <c r="L326" s="85"/>
      <c r="N326" s="85"/>
      <c r="P326" s="85"/>
      <c r="R326" s="85"/>
      <c r="T326" s="85"/>
      <c r="V326" s="85"/>
      <c r="X326" s="85"/>
      <c r="Z326" s="85"/>
      <c r="AB326" s="85"/>
      <c r="AD326" s="85"/>
      <c r="AF326" s="85"/>
      <c r="AH326" s="85"/>
      <c r="AJ326" s="85"/>
      <c r="AL326" s="85"/>
      <c r="AN326" s="85"/>
      <c r="AP326" s="85"/>
      <c r="AR326" s="85"/>
      <c r="AT326" s="85"/>
      <c r="AV326" s="85"/>
      <c r="AW326" s="83"/>
    </row>
    <row r="327" spans="2:49">
      <c r="B327" s="82"/>
      <c r="AW327" s="83"/>
    </row>
    <row r="328" spans="2:49">
      <c r="B328" s="84"/>
      <c r="D328" s="85"/>
      <c r="F328" s="85"/>
      <c r="H328" s="85"/>
      <c r="J328" s="85"/>
      <c r="L328" s="85"/>
      <c r="N328" s="85"/>
      <c r="P328" s="85"/>
      <c r="R328" s="85"/>
      <c r="T328" s="85"/>
      <c r="V328" s="85"/>
      <c r="X328" s="85"/>
      <c r="Z328" s="85"/>
      <c r="AB328" s="85"/>
      <c r="AD328" s="85"/>
      <c r="AF328" s="85"/>
      <c r="AH328" s="85"/>
      <c r="AJ328" s="85"/>
      <c r="AL328" s="85"/>
      <c r="AN328" s="85"/>
      <c r="AP328" s="85"/>
      <c r="AR328" s="85"/>
      <c r="AT328" s="85"/>
      <c r="AV328" s="85"/>
      <c r="AW328" s="83"/>
    </row>
    <row r="329" spans="2:49">
      <c r="B329" s="82"/>
      <c r="AW329" s="83"/>
    </row>
    <row r="330" spans="2:49">
      <c r="B330" s="84"/>
      <c r="D330" s="85"/>
      <c r="F330" s="85"/>
      <c r="H330" s="85"/>
      <c r="J330" s="85"/>
      <c r="L330" s="85"/>
      <c r="N330" s="85"/>
      <c r="P330" s="85"/>
      <c r="R330" s="85"/>
      <c r="T330" s="85"/>
      <c r="V330" s="85"/>
      <c r="X330" s="85"/>
      <c r="Z330" s="85"/>
      <c r="AB330" s="85"/>
      <c r="AD330" s="85"/>
      <c r="AF330" s="85"/>
      <c r="AH330" s="85"/>
      <c r="AJ330" s="85"/>
      <c r="AL330" s="85"/>
      <c r="AN330" s="85"/>
      <c r="AP330" s="85"/>
      <c r="AR330" s="85"/>
      <c r="AT330" s="85"/>
      <c r="AV330" s="85"/>
      <c r="AW330" s="83"/>
    </row>
    <row r="331" spans="2:49">
      <c r="B331" s="82"/>
      <c r="AW331" s="83"/>
    </row>
    <row r="332" spans="2:49">
      <c r="B332" s="84"/>
      <c r="D332" s="85"/>
      <c r="F332" s="85"/>
      <c r="H332" s="85"/>
      <c r="J332" s="85"/>
      <c r="L332" s="85"/>
      <c r="N332" s="85"/>
      <c r="P332" s="85"/>
      <c r="R332" s="85"/>
      <c r="T332" s="85"/>
      <c r="V332" s="85"/>
      <c r="X332" s="85"/>
      <c r="Z332" s="85"/>
      <c r="AB332" s="85"/>
      <c r="AD332" s="85"/>
      <c r="AF332" s="85"/>
      <c r="AH332" s="85"/>
      <c r="AJ332" s="85"/>
      <c r="AL332" s="85"/>
      <c r="AN332" s="85"/>
      <c r="AP332" s="85"/>
      <c r="AR332" s="85"/>
      <c r="AT332" s="85"/>
      <c r="AV332" s="85"/>
      <c r="AW332" s="83"/>
    </row>
    <row r="333" spans="2:49">
      <c r="B333" s="82"/>
      <c r="AW333" s="83"/>
    </row>
    <row r="334" spans="2:49">
      <c r="B334" s="84"/>
      <c r="D334" s="85"/>
      <c r="F334" s="85"/>
      <c r="H334" s="85"/>
      <c r="J334" s="85"/>
      <c r="L334" s="85"/>
      <c r="N334" s="85"/>
      <c r="P334" s="85"/>
      <c r="R334" s="85"/>
      <c r="T334" s="85"/>
      <c r="V334" s="85"/>
      <c r="X334" s="85"/>
      <c r="Z334" s="85"/>
      <c r="AB334" s="85"/>
      <c r="AD334" s="85"/>
      <c r="AF334" s="85"/>
      <c r="AH334" s="85"/>
      <c r="AJ334" s="85"/>
      <c r="AL334" s="85"/>
      <c r="AN334" s="85"/>
      <c r="AP334" s="85"/>
      <c r="AR334" s="85"/>
      <c r="AT334" s="85"/>
      <c r="AV334" s="85"/>
      <c r="AW334" s="83"/>
    </row>
    <row r="335" spans="2:49">
      <c r="B335" s="82"/>
      <c r="AW335" s="83"/>
    </row>
    <row r="336" spans="2:49">
      <c r="B336" s="84"/>
      <c r="D336" s="85"/>
      <c r="F336" s="85"/>
      <c r="H336" s="85"/>
      <c r="J336" s="85"/>
      <c r="L336" s="85"/>
      <c r="N336" s="85"/>
      <c r="P336" s="85"/>
      <c r="R336" s="85"/>
      <c r="T336" s="85"/>
      <c r="V336" s="85"/>
      <c r="X336" s="85"/>
      <c r="Z336" s="85"/>
      <c r="AB336" s="85"/>
      <c r="AD336" s="85"/>
      <c r="AF336" s="85"/>
      <c r="AH336" s="85"/>
      <c r="AJ336" s="85"/>
      <c r="AL336" s="85"/>
      <c r="AN336" s="85"/>
      <c r="AP336" s="85"/>
      <c r="AR336" s="85"/>
      <c r="AT336" s="85"/>
      <c r="AV336" s="85"/>
      <c r="AW336" s="83"/>
    </row>
    <row r="337" spans="2:49">
      <c r="B337" s="82"/>
      <c r="AW337" s="83"/>
    </row>
    <row r="338" spans="2:49">
      <c r="B338" s="84"/>
      <c r="D338" s="85"/>
      <c r="F338" s="85"/>
      <c r="H338" s="85"/>
      <c r="J338" s="85"/>
      <c r="L338" s="85"/>
      <c r="N338" s="85"/>
      <c r="P338" s="85"/>
      <c r="R338" s="85"/>
      <c r="T338" s="85"/>
      <c r="V338" s="85"/>
      <c r="X338" s="85"/>
      <c r="Z338" s="85"/>
      <c r="AB338" s="85"/>
      <c r="AD338" s="85"/>
      <c r="AF338" s="85"/>
      <c r="AH338" s="85"/>
      <c r="AJ338" s="85"/>
      <c r="AL338" s="85"/>
      <c r="AN338" s="85"/>
      <c r="AP338" s="85"/>
      <c r="AR338" s="85"/>
      <c r="AT338" s="85"/>
      <c r="AV338" s="85"/>
      <c r="AW338" s="83"/>
    </row>
    <row r="339" spans="2:49">
      <c r="B339" s="82"/>
      <c r="AW339" s="83"/>
    </row>
    <row r="340" spans="2:49">
      <c r="B340" s="84"/>
      <c r="D340" s="85"/>
      <c r="F340" s="85"/>
      <c r="H340" s="85"/>
      <c r="J340" s="85"/>
      <c r="L340" s="85"/>
      <c r="N340" s="85"/>
      <c r="P340" s="85"/>
      <c r="R340" s="85"/>
      <c r="T340" s="85"/>
      <c r="V340" s="85"/>
      <c r="X340" s="85"/>
      <c r="Z340" s="85"/>
      <c r="AB340" s="85"/>
      <c r="AD340" s="85"/>
      <c r="AF340" s="85"/>
      <c r="AH340" s="85"/>
      <c r="AJ340" s="85"/>
      <c r="AL340" s="85"/>
      <c r="AN340" s="85"/>
      <c r="AP340" s="85"/>
      <c r="AR340" s="85"/>
      <c r="AT340" s="85"/>
      <c r="AV340" s="85"/>
      <c r="AW340" s="83"/>
    </row>
    <row r="341" spans="2:49">
      <c r="B341" s="82"/>
      <c r="AW341" s="83"/>
    </row>
    <row r="342" spans="2:49">
      <c r="B342" s="84"/>
      <c r="D342" s="85"/>
      <c r="F342" s="85"/>
      <c r="H342" s="85"/>
      <c r="J342" s="85"/>
      <c r="L342" s="85"/>
      <c r="N342" s="85"/>
      <c r="P342" s="85"/>
      <c r="R342" s="85"/>
      <c r="T342" s="85"/>
      <c r="V342" s="85"/>
      <c r="X342" s="85"/>
      <c r="Z342" s="85"/>
      <c r="AB342" s="85"/>
      <c r="AD342" s="85"/>
      <c r="AF342" s="85"/>
      <c r="AH342" s="85"/>
      <c r="AJ342" s="85"/>
      <c r="AL342" s="85"/>
      <c r="AN342" s="85"/>
      <c r="AP342" s="85"/>
      <c r="AR342" s="85"/>
      <c r="AT342" s="85"/>
      <c r="AV342" s="85"/>
      <c r="AW342" s="83"/>
    </row>
    <row r="343" spans="2:49">
      <c r="B343" s="82"/>
      <c r="AW343" s="83"/>
    </row>
    <row r="344" spans="2:49">
      <c r="B344" s="84"/>
      <c r="D344" s="85"/>
      <c r="F344" s="85"/>
      <c r="H344" s="85"/>
      <c r="J344" s="85"/>
      <c r="L344" s="85"/>
      <c r="N344" s="85"/>
      <c r="P344" s="85"/>
      <c r="R344" s="85"/>
      <c r="T344" s="85"/>
      <c r="V344" s="85"/>
      <c r="X344" s="85"/>
      <c r="Z344" s="85"/>
      <c r="AB344" s="85"/>
      <c r="AD344" s="85"/>
      <c r="AF344" s="85"/>
      <c r="AH344" s="85"/>
      <c r="AJ344" s="85"/>
      <c r="AL344" s="85"/>
      <c r="AN344" s="85"/>
      <c r="AP344" s="85"/>
      <c r="AR344" s="85"/>
      <c r="AT344" s="85"/>
      <c r="AV344" s="85"/>
      <c r="AW344" s="83"/>
    </row>
    <row r="345" spans="2:49">
      <c r="B345" s="82"/>
      <c r="AW345" s="83"/>
    </row>
    <row r="346" spans="2:49">
      <c r="B346" s="84"/>
      <c r="D346" s="85"/>
      <c r="F346" s="85"/>
      <c r="H346" s="85"/>
      <c r="J346" s="85"/>
      <c r="L346" s="85"/>
      <c r="N346" s="85"/>
      <c r="P346" s="85"/>
      <c r="R346" s="85"/>
      <c r="T346" s="85"/>
      <c r="V346" s="85"/>
      <c r="X346" s="85"/>
      <c r="Z346" s="85"/>
      <c r="AB346" s="85"/>
      <c r="AD346" s="85"/>
      <c r="AF346" s="85"/>
      <c r="AH346" s="85"/>
      <c r="AJ346" s="85"/>
      <c r="AL346" s="85"/>
      <c r="AN346" s="85"/>
      <c r="AP346" s="85"/>
      <c r="AR346" s="85"/>
      <c r="AT346" s="85"/>
      <c r="AV346" s="85"/>
      <c r="AW346" s="83"/>
    </row>
    <row r="347" spans="2:49">
      <c r="B347" s="82"/>
      <c r="AW347" s="83"/>
    </row>
    <row r="348" spans="2:49">
      <c r="B348" s="84"/>
      <c r="D348" s="85"/>
      <c r="F348" s="85"/>
      <c r="H348" s="85"/>
      <c r="J348" s="85"/>
      <c r="L348" s="85"/>
      <c r="N348" s="85"/>
      <c r="P348" s="85"/>
      <c r="R348" s="85"/>
      <c r="T348" s="85"/>
      <c r="V348" s="85"/>
      <c r="X348" s="85"/>
      <c r="Z348" s="85"/>
      <c r="AB348" s="85"/>
      <c r="AD348" s="85"/>
      <c r="AF348" s="85"/>
      <c r="AH348" s="85"/>
      <c r="AJ348" s="85"/>
      <c r="AL348" s="85"/>
      <c r="AN348" s="85"/>
      <c r="AP348" s="85"/>
      <c r="AR348" s="85"/>
      <c r="AT348" s="85"/>
      <c r="AV348" s="85"/>
      <c r="AW348" s="83"/>
    </row>
    <row r="349" spans="2:49">
      <c r="B349" s="82"/>
      <c r="AW349" s="83"/>
    </row>
    <row r="350" spans="2:49">
      <c r="B350" s="84"/>
      <c r="D350" s="85"/>
      <c r="F350" s="85"/>
      <c r="H350" s="85"/>
      <c r="J350" s="85"/>
      <c r="L350" s="85"/>
      <c r="N350" s="85"/>
      <c r="P350" s="85"/>
      <c r="R350" s="85"/>
      <c r="T350" s="85"/>
      <c r="V350" s="85"/>
      <c r="X350" s="85"/>
      <c r="Z350" s="85"/>
      <c r="AB350" s="85"/>
      <c r="AD350" s="85"/>
      <c r="AF350" s="85"/>
      <c r="AH350" s="85"/>
      <c r="AJ350" s="85"/>
      <c r="AL350" s="85"/>
      <c r="AN350" s="85"/>
      <c r="AP350" s="85"/>
      <c r="AR350" s="85"/>
      <c r="AT350" s="85"/>
      <c r="AV350" s="85"/>
      <c r="AW350" s="83"/>
    </row>
    <row r="351" spans="2:49">
      <c r="B351" s="82"/>
      <c r="AW351" s="83"/>
    </row>
    <row r="352" spans="2:49">
      <c r="B352" s="84"/>
      <c r="D352" s="85"/>
      <c r="F352" s="85"/>
      <c r="H352" s="85"/>
      <c r="J352" s="85"/>
      <c r="L352" s="85"/>
      <c r="N352" s="85"/>
      <c r="P352" s="85"/>
      <c r="R352" s="85"/>
      <c r="T352" s="85"/>
      <c r="V352" s="85"/>
      <c r="X352" s="85"/>
      <c r="Z352" s="85"/>
      <c r="AB352" s="85"/>
      <c r="AD352" s="85"/>
      <c r="AF352" s="85"/>
      <c r="AH352" s="85"/>
      <c r="AJ352" s="85"/>
      <c r="AL352" s="85"/>
      <c r="AN352" s="85"/>
      <c r="AP352" s="85"/>
      <c r="AR352" s="85"/>
      <c r="AT352" s="85"/>
      <c r="AV352" s="85"/>
      <c r="AW352" s="83"/>
    </row>
    <row r="353" spans="2:49">
      <c r="B353" s="82"/>
      <c r="AW353" s="83"/>
    </row>
    <row r="354" spans="2:49">
      <c r="B354" s="84"/>
      <c r="D354" s="85"/>
      <c r="F354" s="85"/>
      <c r="H354" s="85"/>
      <c r="J354" s="85"/>
      <c r="L354" s="85"/>
      <c r="N354" s="85"/>
      <c r="P354" s="85"/>
      <c r="R354" s="85"/>
      <c r="T354" s="85"/>
      <c r="V354" s="85"/>
      <c r="X354" s="85"/>
      <c r="Z354" s="85"/>
      <c r="AB354" s="85"/>
      <c r="AD354" s="85"/>
      <c r="AF354" s="85"/>
      <c r="AH354" s="85"/>
      <c r="AJ354" s="85"/>
      <c r="AL354" s="85"/>
      <c r="AN354" s="85"/>
      <c r="AP354" s="85"/>
      <c r="AR354" s="85"/>
      <c r="AT354" s="85"/>
      <c r="AV354" s="85"/>
      <c r="AW354" s="83"/>
    </row>
    <row r="355" spans="2:49">
      <c r="B355" s="82"/>
      <c r="AW355" s="83"/>
    </row>
    <row r="356" spans="2:49">
      <c r="B356" s="84"/>
      <c r="D356" s="85"/>
      <c r="F356" s="85"/>
      <c r="H356" s="85"/>
      <c r="J356" s="85"/>
      <c r="L356" s="85"/>
      <c r="N356" s="85"/>
      <c r="P356" s="85"/>
      <c r="R356" s="85"/>
      <c r="T356" s="85"/>
      <c r="V356" s="85"/>
      <c r="X356" s="85"/>
      <c r="Z356" s="85"/>
      <c r="AB356" s="85"/>
      <c r="AD356" s="85"/>
      <c r="AF356" s="85"/>
      <c r="AH356" s="85"/>
      <c r="AJ356" s="85"/>
      <c r="AL356" s="85"/>
      <c r="AN356" s="85"/>
      <c r="AP356" s="85"/>
      <c r="AR356" s="85"/>
      <c r="AT356" s="85"/>
      <c r="AV356" s="85"/>
      <c r="AW356" s="83"/>
    </row>
    <row r="357" spans="2:49">
      <c r="B357" s="82"/>
      <c r="AW357" s="83"/>
    </row>
    <row r="358" spans="2:49">
      <c r="B358" s="84"/>
      <c r="D358" s="85"/>
      <c r="F358" s="85"/>
      <c r="H358" s="85"/>
      <c r="J358" s="85"/>
      <c r="L358" s="85"/>
      <c r="N358" s="85"/>
      <c r="P358" s="85"/>
      <c r="R358" s="85"/>
      <c r="T358" s="85"/>
      <c r="V358" s="85"/>
      <c r="X358" s="85"/>
      <c r="Z358" s="85"/>
      <c r="AB358" s="85"/>
      <c r="AD358" s="85"/>
      <c r="AF358" s="85"/>
      <c r="AH358" s="85"/>
      <c r="AJ358" s="85"/>
      <c r="AL358" s="85"/>
      <c r="AN358" s="85"/>
      <c r="AP358" s="85"/>
      <c r="AR358" s="85"/>
      <c r="AT358" s="85"/>
      <c r="AV358" s="85"/>
      <c r="AW358" s="83"/>
    </row>
    <row r="359" spans="2:49">
      <c r="B359" s="82"/>
      <c r="AW359" s="83"/>
    </row>
    <row r="360" spans="2:49">
      <c r="B360" s="84"/>
      <c r="D360" s="85"/>
      <c r="F360" s="85"/>
      <c r="H360" s="85"/>
      <c r="J360" s="85"/>
      <c r="L360" s="85"/>
      <c r="N360" s="85"/>
      <c r="P360" s="85"/>
      <c r="R360" s="85"/>
      <c r="T360" s="85"/>
      <c r="V360" s="85"/>
      <c r="X360" s="85"/>
      <c r="Z360" s="85"/>
      <c r="AB360" s="85"/>
      <c r="AD360" s="85"/>
      <c r="AF360" s="85"/>
      <c r="AH360" s="85"/>
      <c r="AJ360" s="85"/>
      <c r="AL360" s="85"/>
      <c r="AN360" s="85"/>
      <c r="AP360" s="85"/>
      <c r="AR360" s="85"/>
      <c r="AT360" s="85"/>
      <c r="AV360" s="85"/>
      <c r="AW360" s="83"/>
    </row>
    <row r="361" spans="2:49">
      <c r="B361" s="82"/>
      <c r="AW361" s="83"/>
    </row>
    <row r="362" spans="2:49">
      <c r="B362" s="84"/>
      <c r="D362" s="85"/>
      <c r="F362" s="85"/>
      <c r="H362" s="85"/>
      <c r="J362" s="85"/>
      <c r="L362" s="85"/>
      <c r="N362" s="85"/>
      <c r="P362" s="85"/>
      <c r="R362" s="85"/>
      <c r="T362" s="85"/>
      <c r="V362" s="85"/>
      <c r="X362" s="85"/>
      <c r="Z362" s="85"/>
      <c r="AB362" s="85"/>
      <c r="AD362" s="85"/>
      <c r="AF362" s="85"/>
      <c r="AH362" s="85"/>
      <c r="AJ362" s="85"/>
      <c r="AL362" s="85"/>
      <c r="AN362" s="85"/>
      <c r="AP362" s="85"/>
      <c r="AR362" s="85"/>
      <c r="AT362" s="85"/>
      <c r="AV362" s="85"/>
      <c r="AW362" s="83"/>
    </row>
    <row r="363" spans="2:49">
      <c r="B363" s="82"/>
      <c r="AW363" s="83"/>
    </row>
    <row r="364" spans="2:49">
      <c r="B364" s="84"/>
      <c r="D364" s="85"/>
      <c r="F364" s="85"/>
      <c r="H364" s="85"/>
      <c r="J364" s="85"/>
      <c r="L364" s="85"/>
      <c r="N364" s="85"/>
      <c r="P364" s="85"/>
      <c r="R364" s="85"/>
      <c r="T364" s="85"/>
      <c r="V364" s="85"/>
      <c r="X364" s="85"/>
      <c r="Z364" s="85"/>
      <c r="AB364" s="85"/>
      <c r="AD364" s="85"/>
      <c r="AF364" s="85"/>
      <c r="AH364" s="85"/>
      <c r="AJ364" s="85"/>
      <c r="AL364" s="85"/>
      <c r="AN364" s="85"/>
      <c r="AP364" s="85"/>
      <c r="AR364" s="85"/>
      <c r="AT364" s="85"/>
      <c r="AV364" s="85"/>
      <c r="AW364" s="83"/>
    </row>
    <row r="365" spans="2:49">
      <c r="B365" s="82"/>
      <c r="AW365" s="83"/>
    </row>
    <row r="366" spans="2:49">
      <c r="B366" s="84"/>
      <c r="D366" s="85"/>
      <c r="F366" s="85"/>
      <c r="H366" s="85"/>
      <c r="J366" s="85"/>
      <c r="L366" s="85"/>
      <c r="N366" s="85"/>
      <c r="P366" s="85"/>
      <c r="R366" s="85"/>
      <c r="T366" s="85"/>
      <c r="V366" s="85"/>
      <c r="X366" s="85"/>
      <c r="Z366" s="85"/>
      <c r="AB366" s="85"/>
      <c r="AD366" s="85"/>
      <c r="AF366" s="85"/>
      <c r="AH366" s="85"/>
      <c r="AJ366" s="85"/>
      <c r="AL366" s="85"/>
      <c r="AN366" s="85"/>
      <c r="AP366" s="85"/>
      <c r="AR366" s="85"/>
      <c r="AT366" s="85"/>
      <c r="AV366" s="85"/>
      <c r="AW366" s="83"/>
    </row>
    <row r="367" spans="2:49">
      <c r="B367" s="82"/>
      <c r="AW367" s="83"/>
    </row>
    <row r="368" spans="2:49">
      <c r="B368" s="84"/>
      <c r="D368" s="85"/>
      <c r="F368" s="85"/>
      <c r="H368" s="85"/>
      <c r="J368" s="85"/>
      <c r="L368" s="85"/>
      <c r="N368" s="85"/>
      <c r="P368" s="85"/>
      <c r="R368" s="85"/>
      <c r="T368" s="85"/>
      <c r="V368" s="85"/>
      <c r="X368" s="85"/>
      <c r="Z368" s="85"/>
      <c r="AB368" s="85"/>
      <c r="AD368" s="85"/>
      <c r="AF368" s="85"/>
      <c r="AH368" s="85"/>
      <c r="AJ368" s="85"/>
      <c r="AL368" s="85"/>
      <c r="AN368" s="85"/>
      <c r="AP368" s="85"/>
      <c r="AR368" s="85"/>
      <c r="AT368" s="85"/>
      <c r="AV368" s="85"/>
      <c r="AW368" s="83"/>
    </row>
    <row r="369" spans="2:49">
      <c r="B369" s="82"/>
      <c r="AW369" s="83"/>
    </row>
    <row r="370" spans="2:49">
      <c r="B370" s="84"/>
      <c r="D370" s="85"/>
      <c r="F370" s="85"/>
      <c r="H370" s="85"/>
      <c r="J370" s="85"/>
      <c r="L370" s="85"/>
      <c r="N370" s="85"/>
      <c r="P370" s="85"/>
      <c r="R370" s="85"/>
      <c r="T370" s="85"/>
      <c r="V370" s="85"/>
      <c r="X370" s="85"/>
      <c r="Z370" s="85"/>
      <c r="AB370" s="85"/>
      <c r="AD370" s="85"/>
      <c r="AF370" s="85"/>
      <c r="AH370" s="85"/>
      <c r="AJ370" s="85"/>
      <c r="AL370" s="85"/>
      <c r="AN370" s="85"/>
      <c r="AP370" s="85"/>
      <c r="AR370" s="85"/>
      <c r="AT370" s="85"/>
      <c r="AV370" s="85"/>
      <c r="AW370" s="83"/>
    </row>
    <row r="371" spans="2:49">
      <c r="B371" s="82"/>
      <c r="AW371" s="83"/>
    </row>
    <row r="372" spans="2:49">
      <c r="B372" s="84"/>
      <c r="D372" s="85"/>
      <c r="F372" s="85"/>
      <c r="H372" s="85"/>
      <c r="J372" s="85"/>
      <c r="L372" s="85"/>
      <c r="N372" s="85"/>
      <c r="P372" s="85"/>
      <c r="R372" s="85"/>
      <c r="T372" s="85"/>
      <c r="V372" s="85"/>
      <c r="X372" s="85"/>
      <c r="Z372" s="85"/>
      <c r="AB372" s="85"/>
      <c r="AD372" s="85"/>
      <c r="AF372" s="85"/>
      <c r="AH372" s="85"/>
      <c r="AJ372" s="85"/>
      <c r="AL372" s="85"/>
      <c r="AN372" s="85"/>
      <c r="AP372" s="85"/>
      <c r="AR372" s="85"/>
      <c r="AT372" s="85"/>
      <c r="AV372" s="85"/>
      <c r="AW372" s="83"/>
    </row>
    <row r="373" spans="2:49">
      <c r="B373" s="82"/>
      <c r="AW373" s="83"/>
    </row>
    <row r="374" spans="2:49">
      <c r="B374" s="84"/>
      <c r="D374" s="85"/>
      <c r="F374" s="85"/>
      <c r="H374" s="85"/>
      <c r="J374" s="85"/>
      <c r="L374" s="85"/>
      <c r="N374" s="85"/>
      <c r="P374" s="85"/>
      <c r="R374" s="85"/>
      <c r="T374" s="85"/>
      <c r="V374" s="85"/>
      <c r="X374" s="85"/>
      <c r="Z374" s="85"/>
      <c r="AB374" s="85"/>
      <c r="AD374" s="85"/>
      <c r="AF374" s="85"/>
      <c r="AH374" s="85"/>
      <c r="AJ374" s="85"/>
      <c r="AL374" s="85"/>
      <c r="AN374" s="85"/>
      <c r="AP374" s="85"/>
      <c r="AR374" s="85"/>
      <c r="AT374" s="85"/>
      <c r="AV374" s="85"/>
      <c r="AW374" s="83"/>
    </row>
    <row r="375" spans="2:49">
      <c r="B375" s="82"/>
      <c r="AW375" s="83"/>
    </row>
    <row r="376" spans="2:49">
      <c r="B376" s="84"/>
      <c r="D376" s="85"/>
      <c r="F376" s="85"/>
      <c r="H376" s="85"/>
      <c r="J376" s="85"/>
      <c r="L376" s="85"/>
      <c r="N376" s="85"/>
      <c r="P376" s="85"/>
      <c r="R376" s="85"/>
      <c r="T376" s="85"/>
      <c r="V376" s="85"/>
      <c r="X376" s="85"/>
      <c r="Z376" s="85"/>
      <c r="AB376" s="85"/>
      <c r="AD376" s="85"/>
      <c r="AF376" s="85"/>
      <c r="AH376" s="85"/>
      <c r="AJ376" s="85"/>
      <c r="AL376" s="85"/>
      <c r="AN376" s="85"/>
      <c r="AP376" s="85"/>
      <c r="AR376" s="85"/>
      <c r="AT376" s="85"/>
      <c r="AV376" s="85"/>
      <c r="AW376" s="83"/>
    </row>
    <row r="377" spans="2:49">
      <c r="B377" s="82"/>
      <c r="AW377" s="83"/>
    </row>
    <row r="378" spans="2:49">
      <c r="B378" s="84"/>
      <c r="D378" s="85"/>
      <c r="F378" s="85"/>
      <c r="H378" s="85"/>
      <c r="J378" s="85"/>
      <c r="L378" s="85"/>
      <c r="N378" s="85"/>
      <c r="P378" s="85"/>
      <c r="R378" s="85"/>
      <c r="T378" s="85"/>
      <c r="V378" s="85"/>
      <c r="X378" s="85"/>
      <c r="Z378" s="85"/>
      <c r="AB378" s="85"/>
      <c r="AD378" s="85"/>
      <c r="AF378" s="85"/>
      <c r="AH378" s="85"/>
      <c r="AJ378" s="85"/>
      <c r="AL378" s="85"/>
      <c r="AN378" s="85"/>
      <c r="AP378" s="85"/>
      <c r="AR378" s="85"/>
      <c r="AT378" s="85"/>
      <c r="AV378" s="85"/>
      <c r="AW378" s="83"/>
    </row>
    <row r="379" spans="2:49">
      <c r="B379" s="82"/>
      <c r="AW379" s="83"/>
    </row>
    <row r="380" spans="2:49">
      <c r="B380" s="84"/>
      <c r="D380" s="85"/>
      <c r="F380" s="85"/>
      <c r="H380" s="85"/>
      <c r="J380" s="85"/>
      <c r="L380" s="85"/>
      <c r="N380" s="85"/>
      <c r="P380" s="85"/>
      <c r="R380" s="85"/>
      <c r="T380" s="85"/>
      <c r="V380" s="85"/>
      <c r="X380" s="85"/>
      <c r="Z380" s="85"/>
      <c r="AB380" s="85"/>
      <c r="AD380" s="85"/>
      <c r="AF380" s="85"/>
      <c r="AH380" s="85"/>
      <c r="AJ380" s="85"/>
      <c r="AL380" s="85"/>
      <c r="AN380" s="85"/>
      <c r="AP380" s="85"/>
      <c r="AR380" s="85"/>
      <c r="AT380" s="85"/>
      <c r="AV380" s="85"/>
      <c r="AW380" s="83"/>
    </row>
    <row r="381" spans="2:49">
      <c r="B381" s="82"/>
      <c r="AW381" s="83"/>
    </row>
    <row r="382" spans="2:49">
      <c r="B382" s="84"/>
      <c r="D382" s="85"/>
      <c r="F382" s="85"/>
      <c r="H382" s="85"/>
      <c r="J382" s="85"/>
      <c r="L382" s="85"/>
      <c r="N382" s="85"/>
      <c r="P382" s="85"/>
      <c r="R382" s="85"/>
      <c r="T382" s="85"/>
      <c r="V382" s="85"/>
      <c r="X382" s="85"/>
      <c r="Z382" s="85"/>
      <c r="AB382" s="85"/>
      <c r="AD382" s="85"/>
      <c r="AF382" s="85"/>
      <c r="AH382" s="85"/>
      <c r="AJ382" s="85"/>
      <c r="AL382" s="85"/>
      <c r="AN382" s="85"/>
      <c r="AP382" s="85"/>
      <c r="AR382" s="85"/>
      <c r="AT382" s="85"/>
      <c r="AV382" s="85"/>
      <c r="AW382" s="83"/>
    </row>
    <row r="383" spans="2:49">
      <c r="B383" s="82"/>
      <c r="AW383" s="83"/>
    </row>
    <row r="384" spans="2:49">
      <c r="B384" s="84"/>
      <c r="D384" s="85"/>
      <c r="F384" s="85"/>
      <c r="H384" s="85"/>
      <c r="J384" s="85"/>
      <c r="L384" s="85"/>
      <c r="N384" s="85"/>
      <c r="P384" s="85"/>
      <c r="R384" s="85"/>
      <c r="T384" s="85"/>
      <c r="V384" s="85"/>
      <c r="X384" s="85"/>
      <c r="Z384" s="85"/>
      <c r="AB384" s="85"/>
      <c r="AD384" s="85"/>
      <c r="AF384" s="85"/>
      <c r="AH384" s="85"/>
      <c r="AJ384" s="85"/>
      <c r="AL384" s="85"/>
      <c r="AN384" s="85"/>
      <c r="AP384" s="85"/>
      <c r="AR384" s="85"/>
      <c r="AT384" s="85"/>
      <c r="AV384" s="85"/>
      <c r="AW384" s="83"/>
    </row>
    <row r="385" spans="2:49">
      <c r="B385" s="82"/>
      <c r="AW385" s="83"/>
    </row>
    <row r="386" spans="2:49">
      <c r="B386" s="84"/>
      <c r="D386" s="85"/>
      <c r="F386" s="85"/>
      <c r="H386" s="85"/>
      <c r="J386" s="85"/>
      <c r="L386" s="85"/>
      <c r="N386" s="85"/>
      <c r="P386" s="85"/>
      <c r="R386" s="85"/>
      <c r="T386" s="85"/>
      <c r="V386" s="85"/>
      <c r="X386" s="85"/>
      <c r="Z386" s="85"/>
      <c r="AB386" s="85"/>
      <c r="AD386" s="85"/>
      <c r="AF386" s="85"/>
      <c r="AH386" s="85"/>
      <c r="AJ386" s="85"/>
      <c r="AL386" s="85"/>
      <c r="AN386" s="85"/>
      <c r="AP386" s="85"/>
      <c r="AR386" s="85"/>
      <c r="AT386" s="85"/>
      <c r="AV386" s="85"/>
      <c r="AW386" s="83"/>
    </row>
    <row r="387" spans="2:49">
      <c r="B387" s="82"/>
      <c r="AW387" s="83"/>
    </row>
    <row r="388" spans="2:49">
      <c r="B388" s="84"/>
      <c r="D388" s="85"/>
      <c r="F388" s="85"/>
      <c r="H388" s="85"/>
      <c r="J388" s="85"/>
      <c r="L388" s="85"/>
      <c r="N388" s="85"/>
      <c r="P388" s="85"/>
      <c r="R388" s="85"/>
      <c r="T388" s="85"/>
      <c r="V388" s="85"/>
      <c r="X388" s="85"/>
      <c r="Z388" s="85"/>
      <c r="AB388" s="85"/>
      <c r="AD388" s="85"/>
      <c r="AF388" s="85"/>
      <c r="AH388" s="85"/>
      <c r="AJ388" s="85"/>
      <c r="AL388" s="85"/>
      <c r="AN388" s="85"/>
      <c r="AP388" s="85"/>
      <c r="AR388" s="85"/>
      <c r="AT388" s="85"/>
      <c r="AV388" s="85"/>
      <c r="AW388" s="83"/>
    </row>
    <row r="389" spans="2:49">
      <c r="B389" s="82"/>
      <c r="AW389" s="83"/>
    </row>
    <row r="390" spans="2:49">
      <c r="B390" s="84"/>
      <c r="D390" s="85"/>
      <c r="F390" s="85"/>
      <c r="H390" s="85"/>
      <c r="J390" s="85"/>
      <c r="L390" s="85"/>
      <c r="N390" s="85"/>
      <c r="P390" s="85"/>
      <c r="R390" s="85"/>
      <c r="T390" s="85"/>
      <c r="V390" s="85"/>
      <c r="X390" s="85"/>
      <c r="Z390" s="85"/>
      <c r="AB390" s="85"/>
      <c r="AD390" s="85"/>
      <c r="AF390" s="85"/>
      <c r="AH390" s="85"/>
      <c r="AJ390" s="85"/>
      <c r="AL390" s="85"/>
      <c r="AN390" s="85"/>
      <c r="AP390" s="85"/>
      <c r="AR390" s="85"/>
      <c r="AT390" s="85"/>
      <c r="AV390" s="85"/>
      <c r="AW390" s="83"/>
    </row>
    <row r="391" spans="2:49">
      <c r="B391" s="82"/>
      <c r="AW391" s="83"/>
    </row>
    <row r="392" spans="2:49">
      <c r="B392" s="84"/>
      <c r="D392" s="85"/>
      <c r="F392" s="85"/>
      <c r="H392" s="85"/>
      <c r="J392" s="85"/>
      <c r="L392" s="85"/>
      <c r="N392" s="85"/>
      <c r="P392" s="85"/>
      <c r="R392" s="85"/>
      <c r="T392" s="85"/>
      <c r="V392" s="85"/>
      <c r="X392" s="85"/>
      <c r="Z392" s="85"/>
      <c r="AB392" s="85"/>
      <c r="AD392" s="85"/>
      <c r="AF392" s="85"/>
      <c r="AH392" s="85"/>
      <c r="AJ392" s="85"/>
      <c r="AL392" s="85"/>
      <c r="AN392" s="85"/>
      <c r="AP392" s="85"/>
      <c r="AR392" s="85"/>
      <c r="AT392" s="85"/>
      <c r="AV392" s="85"/>
      <c r="AW392" s="83"/>
    </row>
    <row r="393" spans="2:49">
      <c r="B393" s="82"/>
      <c r="AW393" s="83"/>
    </row>
    <row r="394" spans="2:49">
      <c r="B394" s="84"/>
      <c r="D394" s="85"/>
      <c r="F394" s="85"/>
      <c r="H394" s="85"/>
      <c r="J394" s="85"/>
      <c r="L394" s="85"/>
      <c r="N394" s="85"/>
      <c r="P394" s="85"/>
      <c r="R394" s="85"/>
      <c r="T394" s="85"/>
      <c r="V394" s="85"/>
      <c r="X394" s="85"/>
      <c r="Z394" s="85"/>
      <c r="AB394" s="85"/>
      <c r="AD394" s="85"/>
      <c r="AF394" s="85"/>
      <c r="AH394" s="85"/>
      <c r="AJ394" s="85"/>
      <c r="AL394" s="85"/>
      <c r="AN394" s="85"/>
      <c r="AP394" s="85"/>
      <c r="AR394" s="85"/>
      <c r="AT394" s="85"/>
      <c r="AV394" s="85"/>
      <c r="AW394" s="83"/>
    </row>
    <row r="395" spans="2:49">
      <c r="B395" s="82"/>
      <c r="AW395" s="83"/>
    </row>
    <row r="396" spans="2:49">
      <c r="B396" s="84"/>
      <c r="D396" s="85"/>
      <c r="F396" s="85"/>
      <c r="H396" s="85"/>
      <c r="J396" s="85"/>
      <c r="L396" s="85"/>
      <c r="N396" s="85"/>
      <c r="P396" s="85"/>
      <c r="R396" s="85"/>
      <c r="T396" s="85"/>
      <c r="V396" s="85"/>
      <c r="X396" s="85"/>
      <c r="Z396" s="85"/>
      <c r="AB396" s="85"/>
      <c r="AD396" s="85"/>
      <c r="AF396" s="85"/>
      <c r="AH396" s="85"/>
      <c r="AJ396" s="85"/>
      <c r="AL396" s="85"/>
      <c r="AN396" s="85"/>
      <c r="AP396" s="85"/>
      <c r="AR396" s="85"/>
      <c r="AT396" s="85"/>
      <c r="AV396" s="85"/>
      <c r="AW396" s="83"/>
    </row>
    <row r="397" spans="2:49">
      <c r="B397" s="82"/>
      <c r="AW397" s="83"/>
    </row>
    <row r="398" spans="2:49">
      <c r="B398" s="84"/>
      <c r="D398" s="85"/>
      <c r="F398" s="85"/>
      <c r="H398" s="85"/>
      <c r="J398" s="85"/>
      <c r="L398" s="85"/>
      <c r="N398" s="85"/>
      <c r="P398" s="85"/>
      <c r="R398" s="85"/>
      <c r="T398" s="85"/>
      <c r="V398" s="85"/>
      <c r="X398" s="85"/>
      <c r="Z398" s="85"/>
      <c r="AB398" s="85"/>
      <c r="AD398" s="85"/>
      <c r="AF398" s="85"/>
      <c r="AH398" s="85"/>
      <c r="AJ398" s="85"/>
      <c r="AL398" s="85"/>
      <c r="AN398" s="85"/>
      <c r="AP398" s="85"/>
      <c r="AR398" s="85"/>
      <c r="AT398" s="85"/>
      <c r="AV398" s="85"/>
      <c r="AW398" s="83"/>
    </row>
    <row r="399" spans="2:49">
      <c r="B399" s="82"/>
      <c r="AW399" s="83"/>
    </row>
    <row r="400" spans="2:49">
      <c r="B400" s="84"/>
      <c r="D400" s="85"/>
      <c r="F400" s="85"/>
      <c r="H400" s="85"/>
      <c r="J400" s="85"/>
      <c r="L400" s="85"/>
      <c r="N400" s="85"/>
      <c r="P400" s="85"/>
      <c r="R400" s="85"/>
      <c r="T400" s="85"/>
      <c r="V400" s="85"/>
      <c r="X400" s="85"/>
      <c r="Z400" s="85"/>
      <c r="AB400" s="85"/>
      <c r="AD400" s="85"/>
      <c r="AF400" s="85"/>
      <c r="AH400" s="85"/>
      <c r="AJ400" s="85"/>
      <c r="AL400" s="85"/>
      <c r="AN400" s="85"/>
      <c r="AP400" s="85"/>
      <c r="AR400" s="85"/>
      <c r="AT400" s="85"/>
      <c r="AV400" s="85"/>
      <c r="AW400" s="83"/>
    </row>
    <row r="401" spans="2:49">
      <c r="B401" s="82"/>
      <c r="AW401" s="83"/>
    </row>
    <row r="402" spans="2:49">
      <c r="B402" s="84"/>
      <c r="D402" s="85"/>
      <c r="F402" s="85"/>
      <c r="H402" s="85"/>
      <c r="J402" s="85"/>
      <c r="L402" s="85"/>
      <c r="N402" s="85"/>
      <c r="P402" s="85"/>
      <c r="R402" s="85"/>
      <c r="T402" s="85"/>
      <c r="V402" s="85"/>
      <c r="X402" s="85"/>
      <c r="Z402" s="85"/>
      <c r="AB402" s="85"/>
      <c r="AD402" s="85"/>
      <c r="AF402" s="85"/>
      <c r="AH402" s="85"/>
      <c r="AJ402" s="85"/>
      <c r="AL402" s="85"/>
      <c r="AN402" s="85"/>
      <c r="AP402" s="85"/>
      <c r="AR402" s="85"/>
      <c r="AT402" s="85"/>
      <c r="AV402" s="85"/>
      <c r="AW402" s="83"/>
    </row>
    <row r="403" spans="2:49">
      <c r="B403" s="82"/>
      <c r="AW403" s="83"/>
    </row>
    <row r="404" spans="2:49">
      <c r="B404" s="84"/>
      <c r="D404" s="85"/>
      <c r="F404" s="85"/>
      <c r="H404" s="85"/>
      <c r="J404" s="85"/>
      <c r="L404" s="85"/>
      <c r="N404" s="85"/>
      <c r="P404" s="85"/>
      <c r="R404" s="85"/>
      <c r="T404" s="85"/>
      <c r="V404" s="85"/>
      <c r="X404" s="85"/>
      <c r="Z404" s="85"/>
      <c r="AB404" s="85"/>
      <c r="AD404" s="85"/>
      <c r="AF404" s="85"/>
      <c r="AH404" s="85"/>
      <c r="AJ404" s="85"/>
      <c r="AL404" s="85"/>
      <c r="AN404" s="85"/>
      <c r="AP404" s="85"/>
      <c r="AR404" s="85"/>
      <c r="AT404" s="85"/>
      <c r="AV404" s="85"/>
      <c r="AW404" s="83"/>
    </row>
    <row r="405" spans="2:49">
      <c r="B405" s="82"/>
      <c r="AW405" s="83"/>
    </row>
    <row r="406" spans="2:49">
      <c r="B406" s="84"/>
      <c r="D406" s="85"/>
      <c r="F406" s="85"/>
      <c r="H406" s="85"/>
      <c r="J406" s="85"/>
      <c r="L406" s="85"/>
      <c r="N406" s="85"/>
      <c r="P406" s="85"/>
      <c r="R406" s="85"/>
      <c r="T406" s="85"/>
      <c r="V406" s="85"/>
      <c r="X406" s="85"/>
      <c r="Z406" s="85"/>
      <c r="AB406" s="85"/>
      <c r="AD406" s="85"/>
      <c r="AF406" s="85"/>
      <c r="AH406" s="85"/>
      <c r="AJ406" s="85"/>
      <c r="AL406" s="85"/>
      <c r="AN406" s="85"/>
      <c r="AP406" s="85"/>
      <c r="AR406" s="85"/>
      <c r="AT406" s="85"/>
      <c r="AV406" s="85"/>
      <c r="AW406" s="83"/>
    </row>
    <row r="407" spans="2:49">
      <c r="B407" s="82"/>
      <c r="AW407" s="83"/>
    </row>
    <row r="408" spans="2:49">
      <c r="B408" s="84"/>
      <c r="D408" s="85"/>
      <c r="F408" s="85"/>
      <c r="H408" s="85"/>
      <c r="J408" s="85"/>
      <c r="L408" s="85"/>
      <c r="N408" s="85"/>
      <c r="P408" s="85"/>
      <c r="R408" s="85"/>
      <c r="T408" s="85"/>
      <c r="V408" s="85"/>
      <c r="X408" s="85"/>
      <c r="Z408" s="85"/>
      <c r="AB408" s="85"/>
      <c r="AD408" s="85"/>
      <c r="AF408" s="85"/>
      <c r="AH408" s="85"/>
      <c r="AJ408" s="85"/>
      <c r="AL408" s="85"/>
      <c r="AN408" s="85"/>
      <c r="AP408" s="85"/>
      <c r="AR408" s="85"/>
      <c r="AT408" s="85"/>
      <c r="AV408" s="85"/>
      <c r="AW408" s="83"/>
    </row>
    <row r="409" spans="2:49">
      <c r="B409" s="82"/>
      <c r="AW409" s="83"/>
    </row>
    <row r="410" spans="2:49">
      <c r="B410" s="84"/>
      <c r="D410" s="85"/>
      <c r="F410" s="85"/>
      <c r="H410" s="85"/>
      <c r="J410" s="85"/>
      <c r="L410" s="85"/>
      <c r="N410" s="85"/>
      <c r="P410" s="85"/>
      <c r="R410" s="85"/>
      <c r="T410" s="85"/>
      <c r="V410" s="85"/>
      <c r="X410" s="85"/>
      <c r="Z410" s="85"/>
      <c r="AB410" s="85"/>
      <c r="AD410" s="85"/>
      <c r="AF410" s="85"/>
      <c r="AH410" s="85"/>
      <c r="AJ410" s="85"/>
      <c r="AL410" s="85"/>
      <c r="AN410" s="85"/>
      <c r="AP410" s="85"/>
      <c r="AR410" s="85"/>
      <c r="AT410" s="85"/>
      <c r="AV410" s="85"/>
      <c r="AW410" s="83"/>
    </row>
    <row r="411" spans="2:49">
      <c r="B411" s="82"/>
      <c r="AW411" s="83"/>
    </row>
    <row r="412" spans="2:49">
      <c r="B412" s="84"/>
      <c r="D412" s="85"/>
      <c r="F412" s="85"/>
      <c r="H412" s="85"/>
      <c r="J412" s="85"/>
      <c r="L412" s="85"/>
      <c r="N412" s="85"/>
      <c r="P412" s="85"/>
      <c r="R412" s="85"/>
      <c r="T412" s="85"/>
      <c r="V412" s="85"/>
      <c r="X412" s="85"/>
      <c r="Z412" s="85"/>
      <c r="AB412" s="85"/>
      <c r="AD412" s="85"/>
      <c r="AF412" s="85"/>
      <c r="AH412" s="85"/>
      <c r="AJ412" s="85"/>
      <c r="AL412" s="85"/>
      <c r="AN412" s="85"/>
      <c r="AP412" s="85"/>
      <c r="AR412" s="85"/>
      <c r="AT412" s="85"/>
      <c r="AV412" s="85"/>
      <c r="AW412" s="83"/>
    </row>
    <row r="413" spans="2:49">
      <c r="B413" s="82"/>
      <c r="AW413" s="83"/>
    </row>
    <row r="414" spans="2:49">
      <c r="B414" s="84"/>
      <c r="D414" s="85"/>
      <c r="F414" s="85"/>
      <c r="H414" s="85"/>
      <c r="J414" s="85"/>
      <c r="L414" s="85"/>
      <c r="N414" s="85"/>
      <c r="P414" s="85"/>
      <c r="R414" s="85"/>
      <c r="T414" s="85"/>
      <c r="V414" s="85"/>
      <c r="X414" s="85"/>
      <c r="Z414" s="85"/>
      <c r="AB414" s="85"/>
      <c r="AD414" s="85"/>
      <c r="AF414" s="85"/>
      <c r="AH414" s="85"/>
      <c r="AJ414" s="85"/>
      <c r="AL414" s="85"/>
      <c r="AN414" s="85"/>
      <c r="AP414" s="85"/>
      <c r="AR414" s="85"/>
      <c r="AT414" s="85"/>
      <c r="AV414" s="85"/>
      <c r="AW414" s="83"/>
    </row>
    <row r="415" spans="2:49">
      <c r="B415" s="82"/>
      <c r="AW415" s="83"/>
    </row>
    <row r="416" spans="2:49">
      <c r="B416" s="84"/>
      <c r="D416" s="85"/>
      <c r="F416" s="85"/>
      <c r="H416" s="85"/>
      <c r="J416" s="85"/>
      <c r="L416" s="85"/>
      <c r="N416" s="85"/>
      <c r="P416" s="85"/>
      <c r="R416" s="85"/>
      <c r="T416" s="85"/>
      <c r="V416" s="85"/>
      <c r="X416" s="85"/>
      <c r="Z416" s="85"/>
      <c r="AB416" s="85"/>
      <c r="AD416" s="85"/>
      <c r="AF416" s="85"/>
      <c r="AH416" s="85"/>
      <c r="AJ416" s="85"/>
      <c r="AL416" s="85"/>
      <c r="AN416" s="85"/>
      <c r="AP416" s="85"/>
      <c r="AR416" s="85"/>
      <c r="AT416" s="85"/>
      <c r="AV416" s="85"/>
      <c r="AW416" s="83"/>
    </row>
    <row r="417" spans="2:49">
      <c r="B417" s="82"/>
      <c r="AW417" s="83"/>
    </row>
    <row r="418" spans="2:49">
      <c r="B418" s="84"/>
      <c r="D418" s="85"/>
      <c r="F418" s="85"/>
      <c r="H418" s="85"/>
      <c r="J418" s="85"/>
      <c r="L418" s="85"/>
      <c r="N418" s="85"/>
      <c r="P418" s="85"/>
      <c r="R418" s="85"/>
      <c r="T418" s="85"/>
      <c r="V418" s="85"/>
      <c r="X418" s="85"/>
      <c r="Z418" s="85"/>
      <c r="AB418" s="85"/>
      <c r="AD418" s="85"/>
      <c r="AF418" s="85"/>
      <c r="AH418" s="85"/>
      <c r="AJ418" s="85"/>
      <c r="AL418" s="85"/>
      <c r="AN418" s="85"/>
      <c r="AP418" s="85"/>
      <c r="AR418" s="85"/>
      <c r="AT418" s="85"/>
      <c r="AV418" s="85"/>
      <c r="AW418" s="83"/>
    </row>
    <row r="419" spans="2:49">
      <c r="B419" s="82"/>
      <c r="AW419" s="83"/>
    </row>
    <row r="420" spans="2:49">
      <c r="B420" s="84"/>
      <c r="D420" s="85"/>
      <c r="F420" s="85"/>
      <c r="H420" s="85"/>
      <c r="J420" s="85"/>
      <c r="L420" s="85"/>
      <c r="N420" s="85"/>
      <c r="P420" s="85"/>
      <c r="R420" s="85"/>
      <c r="T420" s="85"/>
      <c r="V420" s="85"/>
      <c r="X420" s="85"/>
      <c r="Z420" s="85"/>
      <c r="AB420" s="85"/>
      <c r="AD420" s="85"/>
      <c r="AF420" s="85"/>
      <c r="AH420" s="85"/>
      <c r="AJ420" s="85"/>
      <c r="AL420" s="85"/>
      <c r="AN420" s="85"/>
      <c r="AP420" s="85"/>
      <c r="AR420" s="85"/>
      <c r="AT420" s="85"/>
      <c r="AV420" s="85"/>
      <c r="AW420" s="83"/>
    </row>
    <row r="421" spans="2:49">
      <c r="B421" s="82"/>
      <c r="AW421" s="83"/>
    </row>
    <row r="422" spans="2:49">
      <c r="B422" s="84"/>
      <c r="D422" s="85"/>
      <c r="F422" s="85"/>
      <c r="H422" s="85"/>
      <c r="J422" s="85"/>
      <c r="L422" s="85"/>
      <c r="N422" s="85"/>
      <c r="P422" s="85"/>
      <c r="R422" s="85"/>
      <c r="T422" s="85"/>
      <c r="V422" s="85"/>
      <c r="X422" s="85"/>
      <c r="Z422" s="85"/>
      <c r="AB422" s="85"/>
      <c r="AD422" s="85"/>
      <c r="AF422" s="85"/>
      <c r="AH422" s="85"/>
      <c r="AJ422" s="85"/>
      <c r="AL422" s="85"/>
      <c r="AN422" s="85"/>
      <c r="AP422" s="85"/>
      <c r="AR422" s="85"/>
      <c r="AT422" s="85"/>
      <c r="AV422" s="85"/>
      <c r="AW422" s="83"/>
    </row>
    <row r="423" spans="2:49">
      <c r="B423" s="82"/>
      <c r="AW423" s="83"/>
    </row>
    <row r="424" spans="2:49">
      <c r="B424" s="84"/>
      <c r="D424" s="85"/>
      <c r="F424" s="85"/>
      <c r="H424" s="85"/>
      <c r="J424" s="85"/>
      <c r="L424" s="85"/>
      <c r="N424" s="85"/>
      <c r="P424" s="85"/>
      <c r="R424" s="85"/>
      <c r="T424" s="85"/>
      <c r="V424" s="85"/>
      <c r="X424" s="85"/>
      <c r="Z424" s="85"/>
      <c r="AB424" s="85"/>
      <c r="AD424" s="85"/>
      <c r="AF424" s="85"/>
      <c r="AH424" s="85"/>
      <c r="AJ424" s="85"/>
      <c r="AL424" s="85"/>
      <c r="AN424" s="85"/>
      <c r="AP424" s="85"/>
      <c r="AR424" s="85"/>
      <c r="AT424" s="85"/>
      <c r="AV424" s="85"/>
      <c r="AW424" s="83"/>
    </row>
    <row r="425" spans="2:49">
      <c r="B425" s="82"/>
      <c r="AW425" s="83"/>
    </row>
    <row r="426" spans="2:49">
      <c r="B426" s="84"/>
      <c r="D426" s="85"/>
      <c r="F426" s="85"/>
      <c r="H426" s="85"/>
      <c r="J426" s="85"/>
      <c r="L426" s="85"/>
      <c r="N426" s="85"/>
      <c r="P426" s="85"/>
      <c r="R426" s="85"/>
      <c r="T426" s="85"/>
      <c r="V426" s="85"/>
      <c r="X426" s="85"/>
      <c r="Z426" s="85"/>
      <c r="AB426" s="85"/>
      <c r="AD426" s="85"/>
      <c r="AF426" s="85"/>
      <c r="AH426" s="85"/>
      <c r="AJ426" s="85"/>
      <c r="AL426" s="85"/>
      <c r="AN426" s="85"/>
      <c r="AP426" s="85"/>
      <c r="AR426" s="85"/>
      <c r="AT426" s="85"/>
      <c r="AV426" s="85"/>
      <c r="AW426" s="83"/>
    </row>
    <row r="427" spans="2:49">
      <c r="B427" s="82"/>
      <c r="AW427" s="83"/>
    </row>
    <row r="428" spans="2:49">
      <c r="B428" s="84"/>
      <c r="D428" s="85"/>
      <c r="F428" s="85"/>
      <c r="H428" s="85"/>
      <c r="J428" s="85"/>
      <c r="L428" s="85"/>
      <c r="N428" s="85"/>
      <c r="P428" s="85"/>
      <c r="R428" s="85"/>
      <c r="T428" s="85"/>
      <c r="V428" s="85"/>
      <c r="X428" s="85"/>
      <c r="Z428" s="85"/>
      <c r="AB428" s="85"/>
      <c r="AD428" s="85"/>
      <c r="AF428" s="85"/>
      <c r="AH428" s="85"/>
      <c r="AJ428" s="85"/>
      <c r="AL428" s="85"/>
      <c r="AN428" s="85"/>
      <c r="AP428" s="85"/>
      <c r="AR428" s="85"/>
      <c r="AT428" s="85"/>
      <c r="AV428" s="85"/>
      <c r="AW428" s="83"/>
    </row>
    <row r="429" spans="2:49">
      <c r="B429" s="82"/>
      <c r="AW429" s="83"/>
    </row>
    <row r="430" spans="2:49">
      <c r="B430" s="84"/>
      <c r="D430" s="85"/>
      <c r="F430" s="85"/>
      <c r="H430" s="85"/>
      <c r="J430" s="85"/>
      <c r="L430" s="85"/>
      <c r="N430" s="85"/>
      <c r="P430" s="85"/>
      <c r="R430" s="85"/>
      <c r="T430" s="85"/>
      <c r="V430" s="85"/>
      <c r="X430" s="85"/>
      <c r="Z430" s="85"/>
      <c r="AB430" s="85"/>
      <c r="AD430" s="85"/>
      <c r="AF430" s="85"/>
      <c r="AH430" s="85"/>
      <c r="AJ430" s="85"/>
      <c r="AL430" s="85"/>
      <c r="AN430" s="85"/>
      <c r="AP430" s="85"/>
      <c r="AR430" s="85"/>
      <c r="AT430" s="85"/>
      <c r="AV430" s="85"/>
      <c r="AW430" s="83"/>
    </row>
    <row r="431" spans="2:49">
      <c r="B431" s="82"/>
      <c r="AW431" s="83"/>
    </row>
    <row r="432" spans="2:49">
      <c r="B432" s="84"/>
      <c r="D432" s="85"/>
      <c r="F432" s="85"/>
      <c r="H432" s="85"/>
      <c r="J432" s="85"/>
      <c r="L432" s="85"/>
      <c r="N432" s="85"/>
      <c r="P432" s="85"/>
      <c r="R432" s="85"/>
      <c r="T432" s="85"/>
      <c r="V432" s="85"/>
      <c r="X432" s="85"/>
      <c r="Z432" s="85"/>
      <c r="AB432" s="85"/>
      <c r="AD432" s="85"/>
      <c r="AF432" s="85"/>
      <c r="AH432" s="85"/>
      <c r="AJ432" s="85"/>
      <c r="AL432" s="85"/>
      <c r="AN432" s="85"/>
      <c r="AP432" s="85"/>
      <c r="AR432" s="85"/>
      <c r="AT432" s="85"/>
      <c r="AV432" s="85"/>
      <c r="AW432" s="83"/>
    </row>
    <row r="433" spans="2:49">
      <c r="B433" s="82"/>
      <c r="AW433" s="83"/>
    </row>
    <row r="434" spans="2:49">
      <c r="B434" s="84"/>
      <c r="D434" s="85"/>
      <c r="F434" s="85"/>
      <c r="H434" s="85"/>
      <c r="J434" s="85"/>
      <c r="L434" s="85"/>
      <c r="N434" s="85"/>
      <c r="P434" s="85"/>
      <c r="R434" s="85"/>
      <c r="T434" s="85"/>
      <c r="V434" s="85"/>
      <c r="X434" s="85"/>
      <c r="Z434" s="85"/>
      <c r="AB434" s="85"/>
      <c r="AD434" s="85"/>
      <c r="AF434" s="85"/>
      <c r="AH434" s="85"/>
      <c r="AJ434" s="85"/>
      <c r="AL434" s="85"/>
      <c r="AN434" s="85"/>
      <c r="AP434" s="85"/>
      <c r="AR434" s="85"/>
      <c r="AT434" s="85"/>
      <c r="AV434" s="85"/>
      <c r="AW434" s="83"/>
    </row>
    <row r="435" spans="2:49">
      <c r="B435" s="82"/>
      <c r="AW435" s="83"/>
    </row>
    <row r="436" spans="2:49">
      <c r="B436" s="84"/>
      <c r="D436" s="85"/>
      <c r="F436" s="85"/>
      <c r="H436" s="85"/>
      <c r="J436" s="85"/>
      <c r="L436" s="85"/>
      <c r="N436" s="85"/>
      <c r="P436" s="85"/>
      <c r="R436" s="85"/>
      <c r="T436" s="85"/>
      <c r="V436" s="85"/>
      <c r="X436" s="85"/>
      <c r="Z436" s="85"/>
      <c r="AB436" s="85"/>
      <c r="AD436" s="85"/>
      <c r="AF436" s="85"/>
      <c r="AH436" s="85"/>
      <c r="AJ436" s="85"/>
      <c r="AL436" s="85"/>
      <c r="AN436" s="85"/>
      <c r="AP436" s="85"/>
      <c r="AR436" s="85"/>
      <c r="AT436" s="85"/>
      <c r="AV436" s="85"/>
      <c r="AW436" s="83"/>
    </row>
    <row r="437" spans="2:49">
      <c r="B437" s="82"/>
      <c r="AW437" s="83"/>
    </row>
    <row r="438" spans="2:49">
      <c r="B438" s="84"/>
      <c r="D438" s="85"/>
      <c r="F438" s="85"/>
      <c r="H438" s="85"/>
      <c r="J438" s="85"/>
      <c r="L438" s="85"/>
      <c r="N438" s="85"/>
      <c r="P438" s="85"/>
      <c r="R438" s="85"/>
      <c r="T438" s="85"/>
      <c r="V438" s="85"/>
      <c r="X438" s="85"/>
      <c r="Z438" s="85"/>
      <c r="AB438" s="85"/>
      <c r="AD438" s="85"/>
      <c r="AF438" s="85"/>
      <c r="AH438" s="85"/>
      <c r="AJ438" s="85"/>
      <c r="AL438" s="85"/>
      <c r="AN438" s="85"/>
      <c r="AP438" s="85"/>
      <c r="AR438" s="85"/>
      <c r="AT438" s="85"/>
      <c r="AV438" s="85"/>
      <c r="AW438" s="83"/>
    </row>
    <row r="439" spans="2:49">
      <c r="B439" s="82"/>
      <c r="AW439" s="83"/>
    </row>
    <row r="440" spans="2:49">
      <c r="B440" s="84"/>
      <c r="D440" s="85"/>
      <c r="F440" s="85"/>
      <c r="H440" s="85"/>
      <c r="J440" s="85"/>
      <c r="L440" s="85"/>
      <c r="N440" s="85"/>
      <c r="P440" s="85"/>
      <c r="R440" s="85"/>
      <c r="T440" s="85"/>
      <c r="V440" s="85"/>
      <c r="X440" s="85"/>
      <c r="Z440" s="85"/>
      <c r="AB440" s="85"/>
      <c r="AD440" s="85"/>
      <c r="AF440" s="85"/>
      <c r="AH440" s="85"/>
      <c r="AJ440" s="85"/>
      <c r="AL440" s="85"/>
      <c r="AN440" s="85"/>
      <c r="AP440" s="85"/>
      <c r="AR440" s="85"/>
      <c r="AT440" s="85"/>
      <c r="AV440" s="85"/>
      <c r="AW440" s="83"/>
    </row>
    <row r="441" spans="2:49">
      <c r="B441" s="82"/>
      <c r="AW441" s="83"/>
    </row>
    <row r="442" spans="2:49">
      <c r="B442" s="84"/>
      <c r="D442" s="85"/>
      <c r="F442" s="85"/>
      <c r="H442" s="85"/>
      <c r="J442" s="85"/>
      <c r="L442" s="85"/>
      <c r="N442" s="85"/>
      <c r="P442" s="85"/>
      <c r="R442" s="85"/>
      <c r="T442" s="85"/>
      <c r="V442" s="85"/>
      <c r="X442" s="85"/>
      <c r="Z442" s="85"/>
      <c r="AB442" s="85"/>
      <c r="AD442" s="85"/>
      <c r="AF442" s="85"/>
      <c r="AH442" s="85"/>
      <c r="AJ442" s="85"/>
      <c r="AL442" s="85"/>
      <c r="AN442" s="85"/>
      <c r="AP442" s="85"/>
      <c r="AR442" s="85"/>
      <c r="AT442" s="85"/>
      <c r="AV442" s="85"/>
      <c r="AW442" s="83"/>
    </row>
    <row r="443" spans="2:49">
      <c r="B443" s="82"/>
      <c r="AW443" s="83"/>
    </row>
    <row r="444" spans="2:49">
      <c r="B444" s="84"/>
      <c r="D444" s="85"/>
      <c r="F444" s="85"/>
      <c r="H444" s="85"/>
      <c r="J444" s="85"/>
      <c r="L444" s="85"/>
      <c r="N444" s="85"/>
      <c r="P444" s="85"/>
      <c r="R444" s="85"/>
      <c r="T444" s="85"/>
      <c r="V444" s="85"/>
      <c r="X444" s="85"/>
      <c r="Z444" s="85"/>
      <c r="AB444" s="85"/>
      <c r="AD444" s="85"/>
      <c r="AF444" s="85"/>
      <c r="AH444" s="85"/>
      <c r="AJ444" s="85"/>
      <c r="AL444" s="85"/>
      <c r="AN444" s="85"/>
      <c r="AP444" s="85"/>
      <c r="AR444" s="85"/>
      <c r="AT444" s="85"/>
      <c r="AV444" s="85"/>
      <c r="AW444" s="83"/>
    </row>
    <row r="445" spans="2:49">
      <c r="B445" s="82"/>
      <c r="AW445" s="83"/>
    </row>
    <row r="446" spans="2:49">
      <c r="B446" s="84"/>
      <c r="D446" s="85"/>
      <c r="F446" s="85"/>
      <c r="H446" s="85"/>
      <c r="J446" s="85"/>
      <c r="L446" s="85"/>
      <c r="N446" s="85"/>
      <c r="P446" s="85"/>
      <c r="R446" s="85"/>
      <c r="T446" s="85"/>
      <c r="V446" s="85"/>
      <c r="X446" s="85"/>
      <c r="Z446" s="85"/>
      <c r="AB446" s="85"/>
      <c r="AD446" s="85"/>
      <c r="AF446" s="85"/>
      <c r="AH446" s="85"/>
      <c r="AJ446" s="85"/>
      <c r="AL446" s="85"/>
      <c r="AN446" s="85"/>
      <c r="AP446" s="85"/>
      <c r="AR446" s="85"/>
      <c r="AT446" s="85"/>
      <c r="AV446" s="85"/>
      <c r="AW446" s="83"/>
    </row>
    <row r="447" spans="2:49">
      <c r="B447" s="82"/>
      <c r="AW447" s="83"/>
    </row>
    <row r="448" spans="2:49">
      <c r="B448" s="84"/>
      <c r="D448" s="85"/>
      <c r="F448" s="85"/>
      <c r="H448" s="85"/>
      <c r="J448" s="85"/>
      <c r="L448" s="85"/>
      <c r="N448" s="85"/>
      <c r="P448" s="85"/>
      <c r="R448" s="85"/>
      <c r="T448" s="85"/>
      <c r="V448" s="85"/>
      <c r="X448" s="85"/>
      <c r="Z448" s="85"/>
      <c r="AB448" s="85"/>
      <c r="AD448" s="85"/>
      <c r="AF448" s="85"/>
      <c r="AH448" s="85"/>
      <c r="AJ448" s="85"/>
      <c r="AL448" s="85"/>
      <c r="AN448" s="85"/>
      <c r="AP448" s="85"/>
      <c r="AR448" s="85"/>
      <c r="AT448" s="85"/>
      <c r="AV448" s="85"/>
      <c r="AW448" s="83"/>
    </row>
    <row r="449" spans="2:49">
      <c r="B449" s="82"/>
      <c r="AW449" s="83"/>
    </row>
    <row r="450" spans="2:49">
      <c r="B450" s="84"/>
      <c r="D450" s="85"/>
      <c r="F450" s="85"/>
      <c r="H450" s="85"/>
      <c r="J450" s="85"/>
      <c r="L450" s="85"/>
      <c r="N450" s="85"/>
      <c r="P450" s="85"/>
      <c r="R450" s="85"/>
      <c r="T450" s="85"/>
      <c r="V450" s="85"/>
      <c r="X450" s="85"/>
      <c r="Z450" s="85"/>
      <c r="AB450" s="85"/>
      <c r="AD450" s="85"/>
      <c r="AF450" s="85"/>
      <c r="AH450" s="85"/>
      <c r="AJ450" s="85"/>
      <c r="AL450" s="85"/>
      <c r="AN450" s="85"/>
      <c r="AP450" s="85"/>
      <c r="AR450" s="85"/>
      <c r="AT450" s="85"/>
      <c r="AV450" s="85"/>
      <c r="AW450" s="83"/>
    </row>
    <row r="451" spans="2:49">
      <c r="B451" s="82"/>
      <c r="AW451" s="83"/>
    </row>
    <row r="452" spans="2:49">
      <c r="B452" s="84"/>
      <c r="D452" s="85"/>
      <c r="F452" s="85"/>
      <c r="H452" s="85"/>
      <c r="J452" s="85"/>
      <c r="L452" s="85"/>
      <c r="N452" s="85"/>
      <c r="P452" s="85"/>
      <c r="R452" s="85"/>
      <c r="T452" s="85"/>
      <c r="V452" s="85"/>
      <c r="X452" s="85"/>
      <c r="Z452" s="85"/>
      <c r="AB452" s="85"/>
      <c r="AD452" s="85"/>
      <c r="AF452" s="85"/>
      <c r="AH452" s="85"/>
      <c r="AJ452" s="85"/>
      <c r="AL452" s="85"/>
      <c r="AN452" s="85"/>
      <c r="AP452" s="85"/>
      <c r="AR452" s="85"/>
      <c r="AT452" s="85"/>
      <c r="AV452" s="85"/>
      <c r="AW452" s="83"/>
    </row>
    <row r="453" spans="2:49">
      <c r="B453" s="82"/>
      <c r="AW453" s="83"/>
    </row>
    <row r="454" spans="2:49">
      <c r="B454" s="84"/>
      <c r="D454" s="85"/>
      <c r="F454" s="85"/>
      <c r="H454" s="85"/>
      <c r="J454" s="85"/>
      <c r="L454" s="85"/>
      <c r="N454" s="85"/>
      <c r="P454" s="85"/>
      <c r="R454" s="85"/>
      <c r="T454" s="85"/>
      <c r="V454" s="85"/>
      <c r="X454" s="85"/>
      <c r="Z454" s="85"/>
      <c r="AB454" s="85"/>
      <c r="AD454" s="85"/>
      <c r="AF454" s="85"/>
      <c r="AH454" s="85"/>
      <c r="AJ454" s="85"/>
      <c r="AL454" s="85"/>
      <c r="AN454" s="85"/>
      <c r="AP454" s="85"/>
      <c r="AR454" s="85"/>
      <c r="AT454" s="85"/>
      <c r="AV454" s="85"/>
      <c r="AW454" s="83"/>
    </row>
    <row r="455" spans="2:49">
      <c r="B455" s="82"/>
      <c r="AW455" s="83"/>
    </row>
    <row r="456" spans="2:49">
      <c r="B456" s="84"/>
      <c r="D456" s="85"/>
      <c r="F456" s="85"/>
      <c r="H456" s="85"/>
      <c r="J456" s="85"/>
      <c r="L456" s="85"/>
      <c r="N456" s="85"/>
      <c r="P456" s="85"/>
      <c r="R456" s="85"/>
      <c r="T456" s="85"/>
      <c r="V456" s="85"/>
      <c r="X456" s="85"/>
      <c r="Z456" s="85"/>
      <c r="AB456" s="85"/>
      <c r="AD456" s="85"/>
      <c r="AF456" s="85"/>
      <c r="AH456" s="85"/>
      <c r="AJ456" s="85"/>
      <c r="AL456" s="85"/>
      <c r="AN456" s="85"/>
      <c r="AP456" s="85"/>
      <c r="AR456" s="85"/>
      <c r="AT456" s="85"/>
      <c r="AV456" s="85"/>
      <c r="AW456" s="83"/>
    </row>
    <row r="457" spans="2:49">
      <c r="B457" s="82"/>
      <c r="AW457" s="83"/>
    </row>
    <row r="458" spans="2:49">
      <c r="B458" s="84"/>
      <c r="D458" s="85"/>
      <c r="F458" s="85"/>
      <c r="H458" s="85"/>
      <c r="J458" s="85"/>
      <c r="L458" s="85"/>
      <c r="N458" s="85"/>
      <c r="P458" s="85"/>
      <c r="R458" s="85"/>
      <c r="T458" s="85"/>
      <c r="V458" s="85"/>
      <c r="X458" s="85"/>
      <c r="Z458" s="85"/>
      <c r="AB458" s="85"/>
      <c r="AD458" s="85"/>
      <c r="AF458" s="85"/>
      <c r="AH458" s="85"/>
      <c r="AJ458" s="85"/>
      <c r="AL458" s="85"/>
      <c r="AN458" s="85"/>
      <c r="AP458" s="85"/>
      <c r="AR458" s="85"/>
      <c r="AT458" s="85"/>
      <c r="AV458" s="85"/>
      <c r="AW458" s="83"/>
    </row>
    <row r="459" spans="2:49">
      <c r="B459" s="82"/>
      <c r="AW459" s="83"/>
    </row>
    <row r="460" spans="2:49">
      <c r="B460" s="84"/>
      <c r="D460" s="85"/>
      <c r="F460" s="85"/>
      <c r="H460" s="85"/>
      <c r="J460" s="85"/>
      <c r="L460" s="85"/>
      <c r="N460" s="85"/>
      <c r="P460" s="85"/>
      <c r="R460" s="85"/>
      <c r="T460" s="85"/>
      <c r="V460" s="85"/>
      <c r="X460" s="85"/>
      <c r="Z460" s="85"/>
      <c r="AB460" s="85"/>
      <c r="AD460" s="85"/>
      <c r="AF460" s="85"/>
      <c r="AH460" s="85"/>
      <c r="AJ460" s="85"/>
      <c r="AL460" s="85"/>
      <c r="AN460" s="85"/>
      <c r="AP460" s="85"/>
      <c r="AR460" s="85"/>
      <c r="AT460" s="85"/>
      <c r="AV460" s="85"/>
      <c r="AW460" s="83"/>
    </row>
    <row r="461" spans="2:49">
      <c r="B461" s="82"/>
      <c r="AW461" s="83"/>
    </row>
    <row r="462" spans="2:49">
      <c r="B462" s="84"/>
      <c r="D462" s="85"/>
      <c r="F462" s="85"/>
      <c r="H462" s="85"/>
      <c r="J462" s="85"/>
      <c r="L462" s="85"/>
      <c r="N462" s="85"/>
      <c r="P462" s="85"/>
      <c r="R462" s="85"/>
      <c r="T462" s="85"/>
      <c r="V462" s="85"/>
      <c r="X462" s="85"/>
      <c r="Z462" s="85"/>
      <c r="AB462" s="85"/>
      <c r="AD462" s="85"/>
      <c r="AF462" s="85"/>
      <c r="AH462" s="85"/>
      <c r="AJ462" s="85"/>
      <c r="AL462" s="85"/>
      <c r="AN462" s="85"/>
      <c r="AP462" s="85"/>
      <c r="AR462" s="85"/>
      <c r="AT462" s="85"/>
      <c r="AV462" s="85"/>
      <c r="AW462" s="83"/>
    </row>
    <row r="463" spans="2:49">
      <c r="B463" s="82"/>
      <c r="AW463" s="83"/>
    </row>
    <row r="464" spans="2:49">
      <c r="B464" s="84"/>
      <c r="D464" s="85"/>
      <c r="F464" s="85"/>
      <c r="H464" s="85"/>
      <c r="J464" s="85"/>
      <c r="L464" s="85"/>
      <c r="N464" s="85"/>
      <c r="P464" s="85"/>
      <c r="R464" s="85"/>
      <c r="T464" s="85"/>
      <c r="V464" s="85"/>
      <c r="X464" s="85"/>
      <c r="Z464" s="85"/>
      <c r="AB464" s="85"/>
      <c r="AD464" s="85"/>
      <c r="AF464" s="85"/>
      <c r="AH464" s="85"/>
      <c r="AJ464" s="85"/>
      <c r="AL464" s="85"/>
      <c r="AN464" s="85"/>
      <c r="AP464" s="85"/>
      <c r="AR464" s="85"/>
      <c r="AT464" s="85"/>
      <c r="AV464" s="85"/>
      <c r="AW464" s="83"/>
    </row>
    <row r="465" spans="2:49">
      <c r="B465" s="82"/>
      <c r="AW465" s="83"/>
    </row>
    <row r="466" spans="2:49">
      <c r="B466" s="84"/>
      <c r="D466" s="85"/>
      <c r="F466" s="85"/>
      <c r="H466" s="85"/>
      <c r="J466" s="85"/>
      <c r="L466" s="85"/>
      <c r="N466" s="85"/>
      <c r="P466" s="85"/>
      <c r="R466" s="85"/>
      <c r="T466" s="85"/>
      <c r="V466" s="85"/>
      <c r="X466" s="85"/>
      <c r="Z466" s="85"/>
      <c r="AB466" s="85"/>
      <c r="AD466" s="85"/>
      <c r="AF466" s="85"/>
      <c r="AH466" s="85"/>
      <c r="AJ466" s="85"/>
      <c r="AL466" s="85"/>
      <c r="AN466" s="85"/>
      <c r="AP466" s="85"/>
      <c r="AR466" s="85"/>
      <c r="AT466" s="85"/>
      <c r="AV466" s="85"/>
      <c r="AW466" s="83"/>
    </row>
    <row r="467" spans="2:49">
      <c r="B467" s="82"/>
      <c r="AW467" s="83"/>
    </row>
    <row r="468" spans="2:49">
      <c r="B468" s="84"/>
      <c r="D468" s="85"/>
      <c r="F468" s="85"/>
      <c r="H468" s="85"/>
      <c r="J468" s="85"/>
      <c r="L468" s="85"/>
      <c r="N468" s="85"/>
      <c r="P468" s="85"/>
      <c r="R468" s="85"/>
      <c r="T468" s="85"/>
      <c r="V468" s="85"/>
      <c r="X468" s="85"/>
      <c r="Z468" s="85"/>
      <c r="AB468" s="85"/>
      <c r="AD468" s="85"/>
      <c r="AF468" s="85"/>
      <c r="AH468" s="85"/>
      <c r="AJ468" s="85"/>
      <c r="AL468" s="85"/>
      <c r="AN468" s="85"/>
      <c r="AP468" s="85"/>
      <c r="AR468" s="85"/>
      <c r="AT468" s="85"/>
      <c r="AV468" s="85"/>
      <c r="AW468" s="83"/>
    </row>
    <row r="469" spans="2:49">
      <c r="B469" s="82"/>
      <c r="AW469" s="83"/>
    </row>
    <row r="470" spans="2:49" ht="14" thickBot="1">
      <c r="B470" s="86"/>
      <c r="C470" s="87"/>
      <c r="D470" s="88"/>
      <c r="E470" s="87"/>
      <c r="F470" s="88"/>
      <c r="G470" s="87"/>
      <c r="H470" s="88"/>
      <c r="I470" s="87"/>
      <c r="J470" s="88"/>
      <c r="K470" s="87"/>
      <c r="L470" s="88"/>
      <c r="M470" s="87"/>
      <c r="N470" s="88"/>
      <c r="O470" s="87"/>
      <c r="P470" s="88"/>
      <c r="Q470" s="87"/>
      <c r="R470" s="88"/>
      <c r="S470" s="87"/>
      <c r="T470" s="88"/>
      <c r="U470" s="87"/>
      <c r="V470" s="88"/>
      <c r="W470" s="87"/>
      <c r="X470" s="88"/>
      <c r="Y470" s="87"/>
      <c r="Z470" s="88"/>
      <c r="AA470" s="87"/>
      <c r="AB470" s="88"/>
      <c r="AC470" s="87"/>
      <c r="AD470" s="88"/>
      <c r="AE470" s="87"/>
      <c r="AF470" s="88"/>
      <c r="AG470" s="87"/>
      <c r="AH470" s="88"/>
      <c r="AI470" s="87"/>
      <c r="AJ470" s="88"/>
      <c r="AK470" s="87"/>
      <c r="AL470" s="88"/>
      <c r="AM470" s="87"/>
      <c r="AN470" s="88"/>
      <c r="AO470" s="87"/>
      <c r="AP470" s="88"/>
      <c r="AQ470" s="87"/>
      <c r="AR470" s="88"/>
      <c r="AS470" s="87"/>
      <c r="AT470" s="88"/>
      <c r="AU470" s="87"/>
      <c r="AV470" s="88"/>
      <c r="AW470" s="89"/>
    </row>
    <row r="471" spans="2:49" ht="14" thickTop="1"/>
  </sheetData>
  <pageMargins left="0.7" right="0.7" top="0.78740157499999996" bottom="0.78740157499999996" header="0.3" footer="0.3"/>
  <pageSetup paperSize="9"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DD2A-A1A1-0E4C-907E-5356C3A5F208}">
  <sheetPr codeName="List2">
    <pageSetUpPr autoPageBreaks="0"/>
  </sheetPr>
  <dimension ref="A1:G17"/>
  <sheetViews>
    <sheetView zoomScaleNormal="100" workbookViewId="0">
      <selection activeCell="C20" sqref="C20"/>
    </sheetView>
  </sheetViews>
  <sheetFormatPr baseColWidth="10" defaultColWidth="9.1640625" defaultRowHeight="13"/>
  <cols>
    <col min="1" max="1" width="10.5" style="8" customWidth="1"/>
    <col min="2" max="2" width="10" style="8" customWidth="1"/>
    <col min="3" max="3" width="9.1640625" style="8"/>
    <col min="4" max="4" width="9.1640625" style="9"/>
    <col min="5" max="16384" width="9.1640625" style="8"/>
  </cols>
  <sheetData>
    <row r="1" spans="1:7" ht="16">
      <c r="A1" s="12" t="s">
        <v>30</v>
      </c>
      <c r="B1" s="7"/>
      <c r="C1" s="7"/>
      <c r="D1" s="7"/>
      <c r="E1" s="7"/>
      <c r="F1" s="7"/>
      <c r="G1" s="7"/>
    </row>
    <row r="2" spans="1:7">
      <c r="A2" s="7"/>
      <c r="B2" s="7"/>
      <c r="C2" s="7"/>
      <c r="D2" s="7"/>
      <c r="E2" s="7"/>
      <c r="F2" s="7"/>
      <c r="G2" s="7"/>
    </row>
    <row r="3" spans="1:7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</row>
    <row r="4" spans="1:7">
      <c r="A4" s="7" t="s">
        <v>22</v>
      </c>
      <c r="B4" s="7">
        <v>24</v>
      </c>
      <c r="C4" s="7">
        <v>27</v>
      </c>
      <c r="D4" s="7">
        <v>32</v>
      </c>
      <c r="E4" s="7">
        <v>44</v>
      </c>
      <c r="F4" s="7">
        <v>25</v>
      </c>
      <c r="G4" s="7">
        <f t="shared" ref="G4:G9" si="0">SUM(B4:F4)</f>
        <v>152</v>
      </c>
    </row>
    <row r="5" spans="1:7">
      <c r="A5" s="7" t="s">
        <v>23</v>
      </c>
      <c r="B5" s="7">
        <v>12</v>
      </c>
      <c r="C5" s="7">
        <v>10</v>
      </c>
      <c r="D5" s="7">
        <v>8</v>
      </c>
      <c r="E5" s="7">
        <v>9</v>
      </c>
      <c r="F5" s="7">
        <v>8</v>
      </c>
      <c r="G5" s="7">
        <f t="shared" si="0"/>
        <v>47</v>
      </c>
    </row>
    <row r="6" spans="1:7">
      <c r="A6" s="7" t="s">
        <v>24</v>
      </c>
      <c r="B6" s="7">
        <v>16</v>
      </c>
      <c r="C6" s="7">
        <v>8</v>
      </c>
      <c r="D6" s="7">
        <v>13</v>
      </c>
      <c r="E6" s="7">
        <v>7</v>
      </c>
      <c r="F6" s="7">
        <v>11</v>
      </c>
      <c r="G6" s="7">
        <f t="shared" si="0"/>
        <v>55</v>
      </c>
    </row>
    <row r="7" spans="1:7">
      <c r="A7" s="7" t="s">
        <v>25</v>
      </c>
      <c r="B7" s="7">
        <v>5</v>
      </c>
      <c r="C7" s="7">
        <v>3</v>
      </c>
      <c r="D7" s="7">
        <v>6</v>
      </c>
      <c r="E7" s="7">
        <v>7</v>
      </c>
      <c r="F7" s="7">
        <v>4</v>
      </c>
      <c r="G7" s="7">
        <f t="shared" si="0"/>
        <v>25</v>
      </c>
    </row>
    <row r="8" spans="1:7">
      <c r="A8" s="7" t="s">
        <v>26</v>
      </c>
      <c r="B8" s="7">
        <v>9</v>
      </c>
      <c r="C8" s="7">
        <v>13</v>
      </c>
      <c r="D8" s="7">
        <v>12</v>
      </c>
      <c r="E8" s="7">
        <v>8</v>
      </c>
      <c r="F8" s="7">
        <v>11</v>
      </c>
      <c r="G8" s="7">
        <f t="shared" si="0"/>
        <v>53</v>
      </c>
    </row>
    <row r="9" spans="1:7">
      <c r="A9" s="7" t="s">
        <v>21</v>
      </c>
      <c r="B9" s="7">
        <f>SUM(B4:B8)</f>
        <v>66</v>
      </c>
      <c r="C9" s="7">
        <f>SUM(C4:C8)</f>
        <v>61</v>
      </c>
      <c r="D9" s="7">
        <f>SUM(D4:D8)</f>
        <v>71</v>
      </c>
      <c r="E9" s="7">
        <f>SUM(E4:E8)</f>
        <v>75</v>
      </c>
      <c r="F9" s="7">
        <f>SUM(F4:F8)</f>
        <v>59</v>
      </c>
      <c r="G9" s="7">
        <f t="shared" si="0"/>
        <v>332</v>
      </c>
    </row>
    <row r="10" spans="1:7">
      <c r="A10" s="9"/>
      <c r="B10" s="9"/>
      <c r="C10" s="9"/>
      <c r="E10" s="9"/>
      <c r="F10" s="9"/>
      <c r="G10" s="9"/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1"/>
      <c r="B12" s="9"/>
      <c r="C12" s="9"/>
      <c r="E12" s="9"/>
      <c r="F12" s="9"/>
      <c r="G12" s="9"/>
    </row>
    <row r="13" spans="1:7">
      <c r="A13" s="11"/>
      <c r="B13" s="9"/>
      <c r="C13" s="9"/>
      <c r="E13" s="9"/>
      <c r="F13" s="9"/>
      <c r="G13" s="9"/>
    </row>
    <row r="14" spans="1:7">
      <c r="A14" s="10" t="s">
        <v>27</v>
      </c>
      <c r="B14" s="9"/>
      <c r="C14" s="9"/>
      <c r="E14" s="9"/>
      <c r="F14" s="9"/>
      <c r="G14" s="9"/>
    </row>
    <row r="15" spans="1:7">
      <c r="A15" s="10" t="s">
        <v>28</v>
      </c>
      <c r="B15" s="9"/>
      <c r="C15" s="9"/>
      <c r="E15" s="9"/>
      <c r="F15" s="9"/>
      <c r="G15" s="9"/>
    </row>
    <row r="16" spans="1:7">
      <c r="A16" s="10" t="s">
        <v>29</v>
      </c>
      <c r="B16" s="9"/>
      <c r="C16" s="9"/>
      <c r="E16" s="9"/>
      <c r="F16" s="9"/>
      <c r="G16" s="9"/>
    </row>
    <row r="17" spans="1:1">
      <c r="A17" s="10" t="s">
        <v>31</v>
      </c>
    </row>
  </sheetData>
  <phoneticPr fontId="1" type="noConversion"/>
  <pageMargins left="1.3385826771653544" right="0.78740157480314965" top="0.98425196850393704" bottom="0.98425196850393704" header="0.51181102362204722" footer="0.51181102362204722"/>
  <pageSetup paperSize="9" scale="88" orientation="portrait" draft="1" cellComments="asDisplayed" horizontalDpi="200" verticalDpi="200"/>
  <headerFooter alignWithMargins="0">
    <oddHeader>&amp;L&amp;"Arial CE,tučné kurzíva\&amp;7Josef Pecinovský
Družstevní 640
411 08  Štětí&amp;C&amp;"Arial CE,tučné\&amp;11Přehled o nákupu knih
v letech 1992 - 1996&amp;R&amp;F</oddHeader>
    <oddFooter>&amp;LStrana &amp;P z &amp;N celkem&amp;R&amp;D &amp;T</oddFooter>
  </headerFooter>
  <colBreaks count="1" manualBreakCount="1">
    <brk id="7" max="2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9E3E-5E46-454F-845F-BAB999E6ABF4}">
  <sheetPr codeName="List3">
    <pageSetUpPr autoPageBreaks="0"/>
  </sheetPr>
  <dimension ref="A1:G20"/>
  <sheetViews>
    <sheetView workbookViewId="0">
      <selection activeCell="A3" sqref="A3"/>
    </sheetView>
  </sheetViews>
  <sheetFormatPr baseColWidth="10" defaultColWidth="11.5" defaultRowHeight="13"/>
  <cols>
    <col min="1" max="5" width="11.5" style="9"/>
    <col min="6" max="6" width="19.1640625" style="9" customWidth="1"/>
    <col min="7" max="16384" width="11.5" style="9"/>
  </cols>
  <sheetData>
    <row r="1" spans="1:7" ht="16">
      <c r="A1" s="15" t="s">
        <v>32</v>
      </c>
    </row>
    <row r="3" spans="1:7" ht="14.25" customHeight="1">
      <c r="C3" s="73"/>
      <c r="D3" s="73"/>
    </row>
    <row r="4" spans="1:7" ht="13.5" customHeight="1">
      <c r="C4" s="73"/>
      <c r="D4" s="73"/>
    </row>
    <row r="5" spans="1:7">
      <c r="C5" s="73"/>
      <c r="D5" s="73"/>
      <c r="G5" s="13"/>
    </row>
    <row r="6" spans="1:7">
      <c r="C6" s="73"/>
      <c r="D6" s="73"/>
      <c r="G6" s="13"/>
    </row>
    <row r="7" spans="1:7">
      <c r="C7" s="73"/>
      <c r="D7" s="73"/>
      <c r="G7" s="13"/>
    </row>
    <row r="8" spans="1:7">
      <c r="C8" s="73"/>
      <c r="D8" s="73"/>
      <c r="G8" s="13"/>
    </row>
    <row r="9" spans="1:7">
      <c r="C9" s="73"/>
      <c r="D9" s="73"/>
      <c r="G9" s="13"/>
    </row>
    <row r="10" spans="1:7">
      <c r="C10" s="73"/>
      <c r="D10" s="73"/>
      <c r="G10" s="13"/>
    </row>
    <row r="11" spans="1:7">
      <c r="D11" s="73"/>
      <c r="G11" s="13"/>
    </row>
    <row r="12" spans="1:7">
      <c r="D12" s="73"/>
      <c r="G12" s="13"/>
    </row>
    <row r="13" spans="1:7">
      <c r="D13" s="73"/>
      <c r="G13" s="13"/>
    </row>
    <row r="14" spans="1:7">
      <c r="A14" s="10"/>
      <c r="D14" s="73"/>
    </row>
    <row r="15" spans="1:7">
      <c r="D15" s="73"/>
    </row>
    <row r="16" spans="1:7">
      <c r="D16" s="73"/>
    </row>
    <row r="17" spans="1:4">
      <c r="D17" s="73"/>
    </row>
    <row r="18" spans="1:4">
      <c r="D18" s="73"/>
    </row>
    <row r="19" spans="1:4">
      <c r="D19" s="73"/>
    </row>
    <row r="20" spans="1:4">
      <c r="A20" s="14"/>
      <c r="D20" s="7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horizontalDpi="200" verticalDpi="2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48BC-A2A9-9A40-8672-D4AF29C0B8AA}">
  <sheetPr codeName="List14"/>
  <dimension ref="A1:G22"/>
  <sheetViews>
    <sheetView workbookViewId="0">
      <selection activeCell="A5" sqref="A5"/>
    </sheetView>
  </sheetViews>
  <sheetFormatPr baseColWidth="10" defaultColWidth="9.1640625" defaultRowHeight="13"/>
  <cols>
    <col min="1" max="2" width="14.33203125" style="16" customWidth="1"/>
    <col min="3" max="6" width="9.1640625" style="16"/>
    <col min="7" max="7" width="15.6640625" style="16" customWidth="1"/>
    <col min="8" max="16384" width="9.1640625" style="16"/>
  </cols>
  <sheetData>
    <row r="1" spans="1:7" ht="16">
      <c r="A1" s="18" t="s">
        <v>73</v>
      </c>
    </row>
    <row r="2" spans="1:7" ht="16">
      <c r="A2" s="18" t="s">
        <v>111</v>
      </c>
    </row>
    <row r="3" spans="1:7" ht="19.5" customHeight="1"/>
    <row r="4" spans="1:7" ht="23.25" customHeight="1">
      <c r="A4" s="51" t="s">
        <v>34</v>
      </c>
      <c r="B4" s="51" t="s">
        <v>35</v>
      </c>
    </row>
    <row r="5" spans="1:7">
      <c r="A5" s="16" t="s">
        <v>36</v>
      </c>
      <c r="B5" s="16" t="s">
        <v>33</v>
      </c>
      <c r="G5" s="16" t="s">
        <v>101</v>
      </c>
    </row>
    <row r="6" spans="1:7">
      <c r="G6" s="16" t="s">
        <v>102</v>
      </c>
    </row>
    <row r="7" spans="1:7">
      <c r="G7" s="16" t="s">
        <v>103</v>
      </c>
    </row>
    <row r="8" spans="1:7">
      <c r="G8" s="16" t="s">
        <v>107</v>
      </c>
    </row>
    <row r="9" spans="1:7">
      <c r="G9" s="16" t="s">
        <v>108</v>
      </c>
    </row>
    <row r="10" spans="1:7">
      <c r="G10" s="16" t="s">
        <v>109</v>
      </c>
    </row>
    <row r="11" spans="1:7">
      <c r="G11" s="16" t="s">
        <v>110</v>
      </c>
    </row>
    <row r="12" spans="1:7">
      <c r="G12" s="16" t="s">
        <v>104</v>
      </c>
    </row>
    <row r="13" spans="1:7">
      <c r="G13" s="16" t="s">
        <v>105</v>
      </c>
    </row>
    <row r="14" spans="1:7">
      <c r="G14" s="16" t="s">
        <v>106</v>
      </c>
    </row>
    <row r="22" spans="1:1">
      <c r="A22" s="17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490E-D40C-5045-9C57-59934F4EC616}">
  <dimension ref="A1:I7"/>
  <sheetViews>
    <sheetView zoomScaleNormal="100" workbookViewId="0">
      <selection activeCell="N50" sqref="N50"/>
    </sheetView>
  </sheetViews>
  <sheetFormatPr baseColWidth="10" defaultColWidth="9.1640625" defaultRowHeight="13"/>
  <cols>
    <col min="1" max="1" width="9" style="27" customWidth="1"/>
    <col min="2" max="2" width="17.5" style="27" customWidth="1"/>
    <col min="3" max="3" width="9.1640625" style="27"/>
    <col min="4" max="4" width="1.5" style="27" customWidth="1"/>
    <col min="5" max="5" width="14.6640625" style="27" customWidth="1"/>
    <col min="6" max="6" width="9.1640625" style="27"/>
    <col min="7" max="7" width="1.5" style="27" customWidth="1"/>
    <col min="8" max="8" width="14.6640625" style="27" customWidth="1"/>
    <col min="9" max="16384" width="9.1640625" style="27"/>
  </cols>
  <sheetData>
    <row r="1" spans="1:9" ht="16">
      <c r="A1" s="31" t="s">
        <v>69</v>
      </c>
    </row>
    <row r="2" spans="1:9" ht="16">
      <c r="A2" s="31"/>
    </row>
    <row r="3" spans="1:9" ht="16">
      <c r="A3" s="31" t="s">
        <v>68</v>
      </c>
      <c r="B3" s="28" t="s">
        <v>51</v>
      </c>
      <c r="C3" s="29"/>
    </row>
    <row r="4" spans="1:9" ht="16">
      <c r="A4" s="31"/>
      <c r="B4" s="50">
        <v>37622</v>
      </c>
      <c r="C4" s="30" t="s">
        <v>67</v>
      </c>
    </row>
    <row r="5" spans="1:9" ht="16">
      <c r="A5" s="31"/>
    </row>
    <row r="6" spans="1:9" ht="15" customHeight="1">
      <c r="A6" s="26"/>
    </row>
    <row r="7" spans="1:9">
      <c r="B7" s="28" t="s">
        <v>51</v>
      </c>
      <c r="C7" s="28"/>
      <c r="E7" s="28" t="s">
        <v>52</v>
      </c>
      <c r="F7" s="28"/>
      <c r="H7" s="28" t="s">
        <v>52</v>
      </c>
      <c r="I7" s="28"/>
    </row>
  </sheetData>
  <phoneticPr fontId="9" type="noConversion"/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6929-5ABC-3048-B269-91E6C0F73B1B}">
  <sheetPr codeName="Sheet5"/>
  <dimension ref="A1:E21"/>
  <sheetViews>
    <sheetView workbookViewId="0">
      <selection activeCell="E19" sqref="E19"/>
    </sheetView>
  </sheetViews>
  <sheetFormatPr baseColWidth="10" defaultColWidth="9.1640625" defaultRowHeight="13"/>
  <cols>
    <col min="1" max="16384" width="9.1640625" style="19"/>
  </cols>
  <sheetData>
    <row r="1" spans="1:5" ht="16">
      <c r="A1" s="22" t="s">
        <v>61</v>
      </c>
    </row>
    <row r="3" spans="1:5">
      <c r="A3" s="20" t="s">
        <v>37</v>
      </c>
      <c r="B3" s="20" t="s">
        <v>38</v>
      </c>
      <c r="C3" s="20"/>
      <c r="D3" s="20" t="s">
        <v>44</v>
      </c>
      <c r="E3" s="20" t="s">
        <v>45</v>
      </c>
    </row>
    <row r="4" spans="1:5">
      <c r="A4" s="19" t="s">
        <v>39</v>
      </c>
      <c r="B4" s="19">
        <v>151</v>
      </c>
      <c r="E4" s="19">
        <v>1</v>
      </c>
    </row>
    <row r="5" spans="1:5">
      <c r="A5" s="19" t="s">
        <v>40</v>
      </c>
      <c r="B5" s="19">
        <v>90</v>
      </c>
      <c r="E5" s="19">
        <v>5</v>
      </c>
    </row>
    <row r="6" spans="1:5">
      <c r="A6" s="19" t="s">
        <v>41</v>
      </c>
      <c r="B6" s="19">
        <v>63</v>
      </c>
      <c r="D6" s="19">
        <v>1</v>
      </c>
    </row>
    <row r="7" spans="1:5">
      <c r="A7" s="19" t="s">
        <v>42</v>
      </c>
      <c r="B7" s="19">
        <v>28</v>
      </c>
      <c r="D7" s="19">
        <v>10</v>
      </c>
    </row>
    <row r="8" spans="1:5">
      <c r="A8" s="19" t="s">
        <v>43</v>
      </c>
      <c r="B8" s="19">
        <v>64</v>
      </c>
      <c r="E8" s="19">
        <v>20</v>
      </c>
    </row>
    <row r="21" spans="1:1">
      <c r="A21" s="21"/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75F3-6E91-DF4E-9AE1-0897BEADB9AB}">
  <sheetPr codeName="List22">
    <pageSetUpPr autoPageBreaks="0"/>
  </sheetPr>
  <dimension ref="A1:G18"/>
  <sheetViews>
    <sheetView zoomScaleNormal="100" workbookViewId="0"/>
  </sheetViews>
  <sheetFormatPr baseColWidth="10" defaultColWidth="9.1640625" defaultRowHeight="13"/>
  <cols>
    <col min="1" max="1" width="10.5" style="8" customWidth="1"/>
    <col min="2" max="2" width="10" style="8" customWidth="1"/>
    <col min="3" max="3" width="9.1640625" style="8"/>
    <col min="4" max="4" width="9.1640625" style="9"/>
    <col min="5" max="9" width="9.1640625" style="8"/>
    <col min="10" max="10" width="9.1640625" style="8" customWidth="1"/>
    <col min="11" max="16384" width="9.1640625" style="8"/>
  </cols>
  <sheetData>
    <row r="1" spans="1:7" ht="16">
      <c r="A1" s="15" t="s">
        <v>62</v>
      </c>
      <c r="B1" s="9"/>
      <c r="C1" s="9"/>
      <c r="E1" s="9"/>
      <c r="F1" s="9"/>
      <c r="G1" s="9"/>
    </row>
    <row r="2" spans="1:7">
      <c r="A2" s="9"/>
      <c r="B2" s="9"/>
      <c r="C2" s="9"/>
      <c r="E2" s="9"/>
      <c r="F2" s="9"/>
      <c r="G2" s="9"/>
    </row>
    <row r="3" spans="1:7">
      <c r="A3" s="10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</row>
    <row r="4" spans="1:7">
      <c r="A4" s="10" t="s">
        <v>22</v>
      </c>
      <c r="B4" s="9">
        <v>24</v>
      </c>
      <c r="C4" s="9">
        <v>27</v>
      </c>
      <c r="D4" s="9">
        <v>32</v>
      </c>
      <c r="E4" s="9">
        <v>44</v>
      </c>
      <c r="F4" s="9">
        <v>25</v>
      </c>
      <c r="G4" s="9">
        <f>B4+C4+D4+E4+F4</f>
        <v>152</v>
      </c>
    </row>
    <row r="5" spans="1:7">
      <c r="A5" s="10" t="s">
        <v>23</v>
      </c>
      <c r="B5" s="9">
        <v>12</v>
      </c>
      <c r="C5" s="9">
        <v>10</v>
      </c>
      <c r="D5" s="9">
        <v>8</v>
      </c>
      <c r="E5" s="9">
        <v>9</v>
      </c>
      <c r="F5" s="9">
        <v>8</v>
      </c>
      <c r="G5" s="9">
        <f>SUM(B5:F5)</f>
        <v>47</v>
      </c>
    </row>
    <row r="6" spans="1:7">
      <c r="A6" s="10" t="s">
        <v>24</v>
      </c>
      <c r="B6" s="9">
        <v>16</v>
      </c>
      <c r="C6" s="9">
        <v>8</v>
      </c>
      <c r="D6" s="9">
        <v>13</v>
      </c>
      <c r="E6" s="9">
        <v>7</v>
      </c>
      <c r="F6" s="9">
        <v>11</v>
      </c>
      <c r="G6" s="9">
        <f>SUM(B6:F6)</f>
        <v>55</v>
      </c>
    </row>
    <row r="7" spans="1:7">
      <c r="A7" s="10" t="s">
        <v>25</v>
      </c>
      <c r="B7" s="9">
        <v>5</v>
      </c>
      <c r="C7" s="9">
        <v>3</v>
      </c>
      <c r="D7" s="9">
        <v>6</v>
      </c>
      <c r="E7" s="9">
        <v>7</v>
      </c>
      <c r="F7" s="9">
        <v>4</v>
      </c>
      <c r="G7" s="9">
        <f>SUM(B7:F7)</f>
        <v>25</v>
      </c>
    </row>
    <row r="8" spans="1:7">
      <c r="A8" s="10" t="s">
        <v>26</v>
      </c>
      <c r="B8" s="9">
        <v>9</v>
      </c>
      <c r="C8" s="9">
        <v>13</v>
      </c>
      <c r="D8" s="9">
        <v>12</v>
      </c>
      <c r="E8" s="9">
        <v>8</v>
      </c>
      <c r="F8" s="9">
        <v>11</v>
      </c>
      <c r="G8" s="9">
        <f>SUM(B8:F8)</f>
        <v>53</v>
      </c>
    </row>
    <row r="9" spans="1:7">
      <c r="A9" s="10" t="s">
        <v>21</v>
      </c>
      <c r="B9" s="9">
        <f t="shared" ref="B9:G9" si="0">SUM(B4:B8)</f>
        <v>66</v>
      </c>
      <c r="C9" s="9">
        <f t="shared" si="0"/>
        <v>61</v>
      </c>
      <c r="D9" s="9">
        <f t="shared" si="0"/>
        <v>71</v>
      </c>
      <c r="E9" s="9">
        <f t="shared" si="0"/>
        <v>75</v>
      </c>
      <c r="F9" s="9">
        <f t="shared" si="0"/>
        <v>59</v>
      </c>
      <c r="G9" s="9">
        <f t="shared" si="0"/>
        <v>332</v>
      </c>
    </row>
    <row r="10" spans="1:7">
      <c r="A10" s="11"/>
      <c r="B10" s="9"/>
      <c r="C10" s="9"/>
      <c r="E10" s="9"/>
      <c r="F10" s="9"/>
      <c r="G10" s="9"/>
    </row>
    <row r="11" spans="1:7">
      <c r="A11" s="10" t="s">
        <v>48</v>
      </c>
      <c r="B11" s="9"/>
      <c r="C11" s="9"/>
      <c r="E11" s="9"/>
      <c r="F11" s="9"/>
      <c r="G11" s="9"/>
    </row>
    <row r="12" spans="1:7">
      <c r="A12" s="10" t="s">
        <v>46</v>
      </c>
      <c r="B12" s="9"/>
      <c r="C12" s="9"/>
      <c r="E12" s="9"/>
      <c r="F12" s="9"/>
      <c r="G12" s="9"/>
    </row>
    <row r="13" spans="1:7">
      <c r="A13" s="10" t="s">
        <v>47</v>
      </c>
    </row>
    <row r="14" spans="1:7">
      <c r="A14" s="10"/>
    </row>
    <row r="15" spans="1:7">
      <c r="A15" s="10"/>
    </row>
    <row r="18" spans="1:1">
      <c r="A18" s="14"/>
    </row>
  </sheetData>
  <phoneticPr fontId="1" type="noConversion"/>
  <pageMargins left="1.3385826771653544" right="0.78740157480314965" top="0.98425196850393704" bottom="0.98425196850393704" header="0.51181102362204722" footer="0.51181102362204722"/>
  <pageSetup paperSize="9" scale="88" orientation="portrait" draft="1" cellComments="asDisplayed" horizontalDpi="200" verticalDpi="200"/>
  <headerFooter alignWithMargins="0">
    <oddHeader>&amp;L&amp;"Arial CE,tučné kurzíva\&amp;7Josef Pecinovský
Družstevní 640
411 08  Štětí&amp;C&amp;"Arial CE,tučné\&amp;11Přehled o nákupu knih
v letech 1992 - 1996&amp;R&amp;F</oddHeader>
    <oddFooter>&amp;LStrana &amp;P z &amp;N celkem&amp;R&amp;D &amp;T</oddFooter>
  </headerFooter>
  <colBreaks count="1" manualBreakCount="1">
    <brk id="7" max="2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27ED-4F88-7249-9A3A-BA0812BB5117}">
  <dimension ref="A1:I34"/>
  <sheetViews>
    <sheetView tabSelected="1" workbookViewId="0"/>
  </sheetViews>
  <sheetFormatPr baseColWidth="10" defaultColWidth="9.1640625" defaultRowHeight="13"/>
  <cols>
    <col min="1" max="1" width="14.83203125" style="33" customWidth="1"/>
    <col min="2" max="2" width="10.33203125" style="33" customWidth="1"/>
    <col min="3" max="3" width="3.1640625" style="33" customWidth="1"/>
    <col min="4" max="4" width="11.5" style="33" bestFit="1" customWidth="1"/>
    <col min="5" max="5" width="3" style="33" customWidth="1"/>
    <col min="6" max="6" width="9.1640625" style="33"/>
    <col min="7" max="7" width="2.83203125" style="33" customWidth="1"/>
    <col min="8" max="16384" width="9.1640625" style="33"/>
  </cols>
  <sheetData>
    <row r="1" spans="1:9" ht="16">
      <c r="A1" s="32" t="s">
        <v>53</v>
      </c>
    </row>
    <row r="2" spans="1:9" ht="16">
      <c r="A2" s="32" t="s">
        <v>63</v>
      </c>
      <c r="I2" s="52"/>
    </row>
    <row r="3" spans="1:9" ht="16">
      <c r="A3" s="32" t="s">
        <v>64</v>
      </c>
      <c r="I3" s="52"/>
    </row>
    <row r="4" spans="1:9" ht="16">
      <c r="A4" s="32" t="s">
        <v>65</v>
      </c>
      <c r="I4" s="52"/>
    </row>
    <row r="5" spans="1:9" ht="16">
      <c r="A5" s="32" t="s">
        <v>66</v>
      </c>
      <c r="I5" s="52"/>
    </row>
    <row r="6" spans="1:9" ht="19.5" customHeight="1">
      <c r="A6" s="32" t="s">
        <v>74</v>
      </c>
    </row>
    <row r="8" spans="1:9" ht="14" thickBot="1"/>
    <row r="9" spans="1:9" ht="25.5" customHeight="1">
      <c r="B9" s="92" t="s">
        <v>54</v>
      </c>
      <c r="C9" s="93"/>
      <c r="D9" s="93"/>
      <c r="E9" s="93"/>
      <c r="F9" s="93"/>
      <c r="G9" s="93"/>
      <c r="H9" s="94"/>
    </row>
    <row r="10" spans="1:9" ht="20.25" customHeight="1" thickBot="1">
      <c r="B10" s="34" t="s">
        <v>55</v>
      </c>
      <c r="C10" s="35"/>
      <c r="D10" s="36" t="s">
        <v>56</v>
      </c>
      <c r="E10" s="36"/>
      <c r="F10" s="36" t="s">
        <v>57</v>
      </c>
      <c r="G10" s="36"/>
      <c r="H10" s="37" t="s">
        <v>58</v>
      </c>
    </row>
    <row r="11" spans="1:9">
      <c r="B11" s="38">
        <v>37316</v>
      </c>
      <c r="C11" s="39"/>
      <c r="D11" s="40">
        <v>7</v>
      </c>
      <c r="E11" s="40"/>
      <c r="F11" s="40">
        <v>5</v>
      </c>
      <c r="G11" s="40"/>
      <c r="H11" s="41">
        <v>12</v>
      </c>
    </row>
    <row r="12" spans="1:9">
      <c r="B12" s="42">
        <v>37319</v>
      </c>
      <c r="C12" s="43"/>
      <c r="D12" s="44">
        <v>9</v>
      </c>
      <c r="E12" s="44"/>
      <c r="F12" s="44">
        <v>3</v>
      </c>
      <c r="G12" s="44"/>
      <c r="H12" s="45">
        <v>16</v>
      </c>
    </row>
    <row r="13" spans="1:9">
      <c r="B13" s="42">
        <v>37320</v>
      </c>
      <c r="C13" s="43"/>
      <c r="D13" s="44">
        <v>12</v>
      </c>
      <c r="E13" s="44"/>
      <c r="F13" s="44">
        <v>22</v>
      </c>
      <c r="G13" s="44"/>
      <c r="H13" s="45">
        <v>7</v>
      </c>
    </row>
    <row r="14" spans="1:9">
      <c r="B14" s="42">
        <v>37321</v>
      </c>
      <c r="C14" s="43"/>
      <c r="D14" s="44">
        <v>7</v>
      </c>
      <c r="E14" s="44"/>
      <c r="F14" s="44">
        <v>2</v>
      </c>
      <c r="G14" s="44"/>
      <c r="H14" s="45">
        <v>97</v>
      </c>
    </row>
    <row r="15" spans="1:9">
      <c r="B15" s="42">
        <v>37322</v>
      </c>
      <c r="C15" s="43"/>
      <c r="D15" s="44">
        <v>6</v>
      </c>
      <c r="E15" s="44"/>
      <c r="F15" s="44">
        <v>7</v>
      </c>
      <c r="G15" s="44"/>
      <c r="H15" s="45">
        <v>3</v>
      </c>
    </row>
    <row r="16" spans="1:9">
      <c r="B16" s="42">
        <v>37323</v>
      </c>
      <c r="C16" s="43"/>
      <c r="D16" s="44">
        <v>9</v>
      </c>
      <c r="E16" s="44"/>
      <c r="F16" s="44">
        <v>8</v>
      </c>
      <c r="G16" s="44"/>
      <c r="H16" s="45">
        <v>9</v>
      </c>
    </row>
    <row r="17" spans="2:8">
      <c r="B17" s="42">
        <v>37326</v>
      </c>
      <c r="C17" s="43"/>
      <c r="D17" s="44">
        <v>7</v>
      </c>
      <c r="E17" s="44"/>
      <c r="F17" s="44">
        <v>7</v>
      </c>
      <c r="G17" s="44"/>
      <c r="H17" s="45">
        <v>34</v>
      </c>
    </row>
    <row r="18" spans="2:8">
      <c r="B18" s="42">
        <v>37327</v>
      </c>
      <c r="C18" s="43"/>
      <c r="D18" s="44">
        <v>8</v>
      </c>
      <c r="E18" s="44"/>
      <c r="F18" s="44">
        <v>9</v>
      </c>
      <c r="G18" s="44"/>
      <c r="H18" s="45">
        <v>32</v>
      </c>
    </row>
    <row r="19" spans="2:8">
      <c r="B19" s="42">
        <v>37328</v>
      </c>
      <c r="C19" s="43"/>
      <c r="D19" s="44">
        <v>7</v>
      </c>
      <c r="E19" s="44"/>
      <c r="F19" s="44">
        <v>12</v>
      </c>
      <c r="G19" s="44"/>
      <c r="H19" s="45">
        <v>64</v>
      </c>
    </row>
    <row r="20" spans="2:8">
      <c r="B20" s="42">
        <v>37329</v>
      </c>
      <c r="C20" s="43"/>
      <c r="D20" s="44">
        <v>9</v>
      </c>
      <c r="E20" s="44"/>
      <c r="F20" s="44">
        <v>7</v>
      </c>
      <c r="G20" s="44"/>
      <c r="H20" s="45">
        <v>22</v>
      </c>
    </row>
    <row r="21" spans="2:8">
      <c r="B21" s="42">
        <v>37330</v>
      </c>
      <c r="C21" s="43"/>
      <c r="D21" s="44">
        <v>12</v>
      </c>
      <c r="E21" s="44"/>
      <c r="F21" s="44">
        <v>6</v>
      </c>
      <c r="G21" s="44"/>
      <c r="H21" s="45">
        <v>13</v>
      </c>
    </row>
    <row r="22" spans="2:8">
      <c r="B22" s="42">
        <v>37333</v>
      </c>
      <c r="C22" s="43"/>
      <c r="D22" s="44">
        <v>7</v>
      </c>
      <c r="E22" s="44"/>
      <c r="F22" s="44">
        <v>9</v>
      </c>
      <c r="G22" s="44"/>
      <c r="H22" s="45">
        <v>54</v>
      </c>
    </row>
    <row r="23" spans="2:8">
      <c r="B23" s="42">
        <v>37334</v>
      </c>
      <c r="C23" s="43"/>
      <c r="D23" s="44">
        <v>6</v>
      </c>
      <c r="E23" s="44"/>
      <c r="F23" s="44">
        <v>7</v>
      </c>
      <c r="G23" s="44"/>
      <c r="H23" s="45">
        <v>21</v>
      </c>
    </row>
    <row r="24" spans="2:8">
      <c r="B24" s="42">
        <v>37335</v>
      </c>
      <c r="C24" s="43"/>
      <c r="D24" s="44">
        <v>9</v>
      </c>
      <c r="E24" s="44"/>
      <c r="F24" s="44">
        <v>9</v>
      </c>
      <c r="G24" s="44"/>
      <c r="H24" s="45">
        <v>66</v>
      </c>
    </row>
    <row r="25" spans="2:8">
      <c r="B25" s="42">
        <v>37336</v>
      </c>
      <c r="C25" s="43"/>
      <c r="D25" s="44">
        <v>7</v>
      </c>
      <c r="E25" s="44"/>
      <c r="F25" s="44">
        <v>12</v>
      </c>
      <c r="G25" s="44"/>
      <c r="H25" s="45">
        <v>9</v>
      </c>
    </row>
    <row r="26" spans="2:8">
      <c r="B26" s="42">
        <v>37337</v>
      </c>
      <c r="C26" s="43"/>
      <c r="D26" s="44">
        <v>7</v>
      </c>
      <c r="E26" s="44"/>
      <c r="F26" s="44">
        <v>7</v>
      </c>
      <c r="G26" s="44"/>
      <c r="H26" s="45">
        <v>7</v>
      </c>
    </row>
    <row r="27" spans="2:8">
      <c r="B27" s="42">
        <v>37340</v>
      </c>
      <c r="C27" s="43"/>
      <c r="D27" s="44">
        <v>8</v>
      </c>
      <c r="E27" s="44"/>
      <c r="F27" s="44">
        <v>6</v>
      </c>
      <c r="G27" s="44"/>
      <c r="H27" s="45">
        <v>8</v>
      </c>
    </row>
    <row r="28" spans="2:8">
      <c r="B28" s="42">
        <v>37341</v>
      </c>
      <c r="C28" s="43"/>
      <c r="D28" s="44">
        <v>7</v>
      </c>
      <c r="E28" s="44"/>
      <c r="F28" s="44">
        <v>9</v>
      </c>
      <c r="G28" s="44"/>
      <c r="H28" s="45">
        <v>7</v>
      </c>
    </row>
    <row r="29" spans="2:8">
      <c r="B29" s="42">
        <v>37342</v>
      </c>
      <c r="C29" s="43"/>
      <c r="D29" s="44">
        <v>9</v>
      </c>
      <c r="E29" s="44"/>
      <c r="F29" s="44">
        <v>6</v>
      </c>
      <c r="G29" s="44"/>
      <c r="H29" s="45">
        <v>9</v>
      </c>
    </row>
    <row r="30" spans="2:8">
      <c r="B30" s="42">
        <v>37343</v>
      </c>
      <c r="C30" s="43"/>
      <c r="D30" s="44">
        <v>12</v>
      </c>
      <c r="E30" s="44"/>
      <c r="F30" s="44">
        <v>9</v>
      </c>
      <c r="G30" s="44"/>
      <c r="H30" s="45">
        <v>12</v>
      </c>
    </row>
    <row r="31" spans="2:8">
      <c r="B31" s="42">
        <v>37344</v>
      </c>
      <c r="C31" s="43"/>
      <c r="D31" s="44">
        <v>7</v>
      </c>
      <c r="E31" s="44"/>
      <c r="F31" s="44">
        <v>7</v>
      </c>
      <c r="G31" s="44"/>
      <c r="H31" s="45">
        <v>7</v>
      </c>
    </row>
    <row r="32" spans="2:8">
      <c r="B32" s="42">
        <v>37347</v>
      </c>
      <c r="C32" s="43"/>
      <c r="D32" s="44">
        <v>6</v>
      </c>
      <c r="E32" s="44"/>
      <c r="F32" s="44">
        <v>7</v>
      </c>
      <c r="G32" s="44"/>
      <c r="H32" s="45">
        <v>6</v>
      </c>
    </row>
    <row r="33" spans="2:8">
      <c r="B33" s="42">
        <v>37348</v>
      </c>
      <c r="C33" s="43"/>
      <c r="D33" s="44">
        <v>9</v>
      </c>
      <c r="E33" s="44"/>
      <c r="F33" s="44">
        <v>8</v>
      </c>
      <c r="G33" s="44"/>
      <c r="H33" s="45">
        <v>9</v>
      </c>
    </row>
    <row r="34" spans="2:8" ht="14" thickBot="1">
      <c r="B34" s="46">
        <v>37349</v>
      </c>
      <c r="C34" s="47"/>
      <c r="D34" s="48">
        <v>7</v>
      </c>
      <c r="E34" s="48"/>
      <c r="F34" s="48">
        <v>45</v>
      </c>
      <c r="G34" s="48"/>
      <c r="H34" s="49">
        <v>11</v>
      </c>
    </row>
  </sheetData>
  <mergeCells count="1">
    <mergeCell ref="B9:H9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12</vt:i4>
      </vt:variant>
    </vt:vector>
  </HeadingPairs>
  <TitlesOfParts>
    <vt:vector size="12" baseType="lpstr">
      <vt:lpstr>separace obsahu a formátu</vt:lpstr>
      <vt:lpstr>Velikost buňky</vt:lpstr>
      <vt:lpstr>Sloupce a listy</vt:lpstr>
      <vt:lpstr>Formátování</vt:lpstr>
      <vt:lpstr>Šachovnice</vt:lpstr>
      <vt:lpstr>Komentáře</vt:lpstr>
      <vt:lpstr>Řady</vt:lpstr>
      <vt:lpstr>Vlastní řady</vt:lpstr>
      <vt:lpstr>Kalendářní řady+formátování</vt:lpstr>
      <vt:lpstr>Vložit jinak</vt:lpstr>
      <vt:lpstr>Oblasti</vt:lpstr>
      <vt:lpstr>Stavový řádek</vt:lpstr>
    </vt:vector>
  </TitlesOfParts>
  <Company>Štěně a Králíček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Štěně a Králíček</dc:creator>
  <cp:lastModifiedBy>Hlas Karel, Mgr.</cp:lastModifiedBy>
  <dcterms:created xsi:type="dcterms:W3CDTF">2005-01-23T16:59:07Z</dcterms:created>
  <dcterms:modified xsi:type="dcterms:W3CDTF">2026-10-02T13:52:38Z</dcterms:modified>
</cp:coreProperties>
</file>