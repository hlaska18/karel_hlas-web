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"/>
    </mc:Choice>
  </mc:AlternateContent>
  <xr:revisionPtr revIDLastSave="0" documentId="8_{9556BDC3-D856-DE4C-A17A-250621744C14}" xr6:coauthVersionLast="47" xr6:coauthVersionMax="47" xr10:uidLastSave="{00000000-0000-0000-0000-000000000000}"/>
  <bookViews>
    <workbookView xWindow="240" yWindow="700" windowWidth="32720" windowHeight="19820" xr2:uid="{84A23192-1C27-7345-9589-DBE6AF4B542E}"/>
  </bookViews>
  <sheets>
    <sheet name="podm.form.+RANK" sheetId="1" r:id="rId1"/>
    <sheet name="IF_A_NEBO" sheetId="7" r:id="rId2"/>
    <sheet name="IF_slovní+RANK" sheetId="2" r:id="rId3"/>
    <sheet name="IF_A" sheetId="6" r:id="rId4"/>
    <sheet name="IF+COUNT" sheetId="5" r:id="rId5"/>
    <sheet name="COUNT+IF" sheetId="3" r:id="rId6"/>
    <sheet name="RANK+IF" sheetId="4" r:id="rId7"/>
  </sheets>
  <definedNames>
    <definedName name="průměry">'podm.form.+RANK'!$M$4:$M$11</definedName>
    <definedName name="přijatí">'IF_slovní+RANK'!$E$4:$E$31</definedName>
    <definedName name="série">'podm.form.+RANK'!$C$4:$L$11</definedName>
    <definedName name="umístění">'podm.form.+RANK'!$N$4:$N$11</definedName>
    <definedName name="vyhodnocení">'IF_slovní+RANK'!$D$4:$D$31</definedName>
  </definedName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<sst xmlns="http://schemas.openxmlformats.org/spreadsheetml/2006/main" count="1163" uniqueCount="605">
  <si>
    <t>Karlo</t>
  </si>
  <si>
    <t>Josif</t>
  </si>
  <si>
    <t>Jan</t>
  </si>
  <si>
    <t>Franc</t>
  </si>
  <si>
    <t>série 1</t>
  </si>
  <si>
    <t>série 2</t>
  </si>
  <si>
    <t>série 3</t>
  </si>
  <si>
    <t>série 4</t>
  </si>
  <si>
    <t>série 5</t>
  </si>
  <si>
    <t>série 6</t>
  </si>
  <si>
    <t>série 7</t>
  </si>
  <si>
    <t>série 8</t>
  </si>
  <si>
    <t>série 9</t>
  </si>
  <si>
    <t>série 10</t>
  </si>
  <si>
    <t>Simona</t>
  </si>
  <si>
    <t>Pavla</t>
  </si>
  <si>
    <t>Gusta</t>
  </si>
  <si>
    <t>Erika</t>
  </si>
  <si>
    <r>
      <t>Střelba ze vzduchové zbraně</t>
    </r>
    <r>
      <rPr>
        <sz val="10"/>
        <rFont val="Arial"/>
        <charset val="238"/>
      </rPr>
      <t xml:space="preserve">
</t>
    </r>
    <r>
      <rPr>
        <b/>
        <i/>
        <sz val="12"/>
        <color indexed="48"/>
        <rFont val="Times New Roman"/>
        <family val="1"/>
        <charset val="238"/>
      </rPr>
      <t>(10 ran do standardního terče)</t>
    </r>
  </si>
  <si>
    <t>Aritmetický průměr</t>
  </si>
  <si>
    <t>průměr skupiny:</t>
  </si>
  <si>
    <t>Karel Hujer</t>
  </si>
  <si>
    <t>František Poláček</t>
  </si>
  <si>
    <t>Marie Anderlová</t>
  </si>
  <si>
    <t>Václav Adamov</t>
  </si>
  <si>
    <t>Jiří Pokorný</t>
  </si>
  <si>
    <t>Albert Novák</t>
  </si>
  <si>
    <t>Miroslav Vláčel</t>
  </si>
  <si>
    <t>Adam Vomáčka</t>
  </si>
  <si>
    <t>Zdeněk Zedínek</t>
  </si>
  <si>
    <t>Jana Vzpurná</t>
  </si>
  <si>
    <t>Eliška Nížková</t>
  </si>
  <si>
    <t>Marika Veselá</t>
  </si>
  <si>
    <t>Jan Taufer</t>
  </si>
  <si>
    <t>Pavlína Janatová</t>
  </si>
  <si>
    <t>Klára Pokorná</t>
  </si>
  <si>
    <t>Blanka Omáčková</t>
  </si>
  <si>
    <t>Ludmila Smutná</t>
  </si>
  <si>
    <t>Pavel Kontour</t>
  </si>
  <si>
    <t>Dana Králová</t>
  </si>
  <si>
    <t>Olga Pechová</t>
  </si>
  <si>
    <t>Karel Hlavatý</t>
  </si>
  <si>
    <t>Jaromír Stein</t>
  </si>
  <si>
    <t>Gabriel Svítal</t>
  </si>
  <si>
    <t>Leopolda Polská</t>
  </si>
  <si>
    <t>Kryštof Záveský</t>
  </si>
  <si>
    <t>Eva Mírová</t>
  </si>
  <si>
    <t>Ondřej Klábosil</t>
  </si>
  <si>
    <t>Simona Neuvážilová</t>
  </si>
  <si>
    <t>Vyhodnocení vědomostního testu</t>
  </si>
  <si>
    <t>Pořadí</t>
  </si>
  <si>
    <t>počet přijímaných:</t>
  </si>
  <si>
    <t xml:space="preserve"> ID </t>
  </si>
  <si>
    <t>Index</t>
  </si>
  <si>
    <t>Modul</t>
  </si>
  <si>
    <t>Uspěl (ano/ne)</t>
  </si>
  <si>
    <t>Body celkem</t>
  </si>
  <si>
    <t>Podmínky testování</t>
  </si>
  <si>
    <t>CZ043088</t>
  </si>
  <si>
    <t>Standardní</t>
  </si>
  <si>
    <t>Ztížené</t>
  </si>
  <si>
    <t>CZ043098</t>
  </si>
  <si>
    <t>CZ043099</t>
  </si>
  <si>
    <t>CZ046814</t>
  </si>
  <si>
    <t>CZ043095</t>
  </si>
  <si>
    <t>CZ043101</t>
  </si>
  <si>
    <t>CZ043089</t>
  </si>
  <si>
    <t>CZ043103</t>
  </si>
  <si>
    <t>CZ043090</t>
  </si>
  <si>
    <t>CZ043097</t>
  </si>
  <si>
    <t>CZ043091</t>
  </si>
  <si>
    <t>CZ043094</t>
  </si>
  <si>
    <t>CZ043092</t>
  </si>
  <si>
    <t>CZ043093</t>
  </si>
  <si>
    <t>CZ043100</t>
  </si>
  <si>
    <t>CZ043096</t>
  </si>
  <si>
    <t>CZ043102</t>
  </si>
  <si>
    <t>celkem splněných</t>
  </si>
  <si>
    <t>celkem nesplněných</t>
  </si>
  <si>
    <t>Bude přijato uchazečů:</t>
  </si>
  <si>
    <t>JMÉNO</t>
  </si>
  <si>
    <t>BODY</t>
  </si>
  <si>
    <t>POŘADÍ</t>
  </si>
  <si>
    <t>PŘIJAT NEPŘIJAT</t>
  </si>
  <si>
    <t>ČESKÝ JAZYK</t>
  </si>
  <si>
    <t>MATEMATIKA</t>
  </si>
  <si>
    <t>CELKEM</t>
  </si>
  <si>
    <t xml:space="preserve">Beneš Kamil </t>
  </si>
  <si>
    <t xml:space="preserve">Benešová Eva </t>
  </si>
  <si>
    <t xml:space="preserve">Beranová Petra </t>
  </si>
  <si>
    <t xml:space="preserve">Brožek Jindřich </t>
  </si>
  <si>
    <t>Devátý Zdeněk</t>
  </si>
  <si>
    <t xml:space="preserve">Dítě Ladislav </t>
  </si>
  <si>
    <t>Forejt Dan</t>
  </si>
  <si>
    <t xml:space="preserve">Gumal Jan </t>
  </si>
  <si>
    <t>Halas Daniel</t>
  </si>
  <si>
    <t>Havlíček Jan</t>
  </si>
  <si>
    <t>Hazalková Jana</t>
  </si>
  <si>
    <t xml:space="preserve">Hezoučký Petr </t>
  </si>
  <si>
    <t xml:space="preserve">Koukol Milan </t>
  </si>
  <si>
    <t>Liška Stanislav</t>
  </si>
  <si>
    <t xml:space="preserve">Ludvíková Leona </t>
  </si>
  <si>
    <t xml:space="preserve">Malá Hana </t>
  </si>
  <si>
    <t xml:space="preserve">Martínek Ivo </t>
  </si>
  <si>
    <t xml:space="preserve">Matásek Jiří </t>
  </si>
  <si>
    <t xml:space="preserve">Navrátil Miroslav </t>
  </si>
  <si>
    <t>Novák František</t>
  </si>
  <si>
    <t>Nováková Naděžda</t>
  </si>
  <si>
    <t>Peterka Jan</t>
  </si>
  <si>
    <t>Rysá Zdenka</t>
  </si>
  <si>
    <t xml:space="preserve">Souček Jiří </t>
  </si>
  <si>
    <t xml:space="preserve">Stará Jana </t>
  </si>
  <si>
    <t xml:space="preserve">Syrová Leopolda </t>
  </si>
  <si>
    <t>Tejnský Robert</t>
  </si>
  <si>
    <t xml:space="preserve">Trávníček Jaromír </t>
  </si>
  <si>
    <t xml:space="preserve">Tůmová Jana </t>
  </si>
  <si>
    <t>Urbánková Jarmila</t>
  </si>
  <si>
    <t xml:space="preserve">Zaoral Martin </t>
  </si>
  <si>
    <t>Záruba Radim</t>
  </si>
  <si>
    <t>Ambrozová</t>
  </si>
  <si>
    <t>Markéta</t>
  </si>
  <si>
    <t>Arndt</t>
  </si>
  <si>
    <t>VŠ klasifikace</t>
  </si>
  <si>
    <t>Babka</t>
  </si>
  <si>
    <t>výborně</t>
  </si>
  <si>
    <t>Bačíková</t>
  </si>
  <si>
    <t>Michaela</t>
  </si>
  <si>
    <t>velmi dobře</t>
  </si>
  <si>
    <t>Bachr</t>
  </si>
  <si>
    <t>Ondřej</t>
  </si>
  <si>
    <t>dobře</t>
  </si>
  <si>
    <t>Balounová</t>
  </si>
  <si>
    <t>Martina</t>
  </si>
  <si>
    <t>nevyhovující</t>
  </si>
  <si>
    <t>Zuzana</t>
  </si>
  <si>
    <t>Bartuška</t>
  </si>
  <si>
    <t>Radek</t>
  </si>
  <si>
    <t>Bauer</t>
  </si>
  <si>
    <t>Miroslav</t>
  </si>
  <si>
    <t>Bayerl</t>
  </si>
  <si>
    <t>Pavel</t>
  </si>
  <si>
    <t>Bdinková</t>
  </si>
  <si>
    <t>Bednarčíková</t>
  </si>
  <si>
    <t>Jitka</t>
  </si>
  <si>
    <t>Benešová</t>
  </si>
  <si>
    <t>Veronika</t>
  </si>
  <si>
    <t>Beran</t>
  </si>
  <si>
    <t>Václav</t>
  </si>
  <si>
    <t>Bernhardová</t>
  </si>
  <si>
    <t>Jana</t>
  </si>
  <si>
    <t>Bílá</t>
  </si>
  <si>
    <t>Radmila</t>
  </si>
  <si>
    <t>Eva</t>
  </si>
  <si>
    <t>Bínová</t>
  </si>
  <si>
    <t>Hana</t>
  </si>
  <si>
    <t>Kateřina</t>
  </si>
  <si>
    <t>Bízková</t>
  </si>
  <si>
    <t>Bláha</t>
  </si>
  <si>
    <t>David</t>
  </si>
  <si>
    <t>Bláhová</t>
  </si>
  <si>
    <t>Blažek</t>
  </si>
  <si>
    <t>Jaroslav</t>
  </si>
  <si>
    <t>Blažková</t>
  </si>
  <si>
    <t>Boháč</t>
  </si>
  <si>
    <t>Vít</t>
  </si>
  <si>
    <t>Böhm</t>
  </si>
  <si>
    <t>Filip</t>
  </si>
  <si>
    <t>Böhmová</t>
  </si>
  <si>
    <t>Lenka</t>
  </si>
  <si>
    <t>Borovanská</t>
  </si>
  <si>
    <t>Dana</t>
  </si>
  <si>
    <t>Boubalíková</t>
  </si>
  <si>
    <t>Edita</t>
  </si>
  <si>
    <t>Bouček</t>
  </si>
  <si>
    <t>Marek</t>
  </si>
  <si>
    <t>Boušková</t>
  </si>
  <si>
    <t>Bromová</t>
  </si>
  <si>
    <t>Broncová</t>
  </si>
  <si>
    <t>Brožová</t>
  </si>
  <si>
    <t>Pavlína</t>
  </si>
  <si>
    <t>Bruna</t>
  </si>
  <si>
    <t>Brunclík</t>
  </si>
  <si>
    <t>Petr</t>
  </si>
  <si>
    <t>Brychtová</t>
  </si>
  <si>
    <t>Ivana</t>
  </si>
  <si>
    <t>Březinová</t>
  </si>
  <si>
    <t>Břížková</t>
  </si>
  <si>
    <t>Budňáková</t>
  </si>
  <si>
    <t>Barbora</t>
  </si>
  <si>
    <t>Cikán</t>
  </si>
  <si>
    <t>Cimler</t>
  </si>
  <si>
    <t>Cinádr</t>
  </si>
  <si>
    <t>Codl</t>
  </si>
  <si>
    <t>Michal</t>
  </si>
  <si>
    <t>Cuřínová</t>
  </si>
  <si>
    <t>Čegan</t>
  </si>
  <si>
    <t>Jakub</t>
  </si>
  <si>
    <t>Čejková</t>
  </si>
  <si>
    <t>Čeloudová</t>
  </si>
  <si>
    <t>Monika</t>
  </si>
  <si>
    <t>Černá</t>
  </si>
  <si>
    <t>Černý</t>
  </si>
  <si>
    <t>Činčurová</t>
  </si>
  <si>
    <t>Čondl</t>
  </si>
  <si>
    <t>Čopfová</t>
  </si>
  <si>
    <t>Blanka</t>
  </si>
  <si>
    <t>Danešová</t>
  </si>
  <si>
    <t>Marie</t>
  </si>
  <si>
    <t>Davidová</t>
  </si>
  <si>
    <t>Iva</t>
  </si>
  <si>
    <t>Dědová</t>
  </si>
  <si>
    <t>Dejl</t>
  </si>
  <si>
    <t>Jiří</t>
  </si>
  <si>
    <t>Děkanová</t>
  </si>
  <si>
    <t>Zdeňka</t>
  </si>
  <si>
    <t>Ditrich</t>
  </si>
  <si>
    <t>Tomáš</t>
  </si>
  <si>
    <t>Dobalová</t>
  </si>
  <si>
    <t>Doležalová</t>
  </si>
  <si>
    <t>Lada</t>
  </si>
  <si>
    <t>Domin</t>
  </si>
  <si>
    <t>Daniel</t>
  </si>
  <si>
    <t>Drábová</t>
  </si>
  <si>
    <t>Drahoš</t>
  </si>
  <si>
    <t>Jindřich</t>
  </si>
  <si>
    <t>Dušek</t>
  </si>
  <si>
    <t>Dvořák</t>
  </si>
  <si>
    <t>Antonín</t>
  </si>
  <si>
    <t>Elhenický</t>
  </si>
  <si>
    <t>Patrik</t>
  </si>
  <si>
    <t>Faltová</t>
  </si>
  <si>
    <t>Farský</t>
  </si>
  <si>
    <t>Lukáš</t>
  </si>
  <si>
    <t>Fencl</t>
  </si>
  <si>
    <t>Fenclová</t>
  </si>
  <si>
    <t>Renata</t>
  </si>
  <si>
    <t>Ficek</t>
  </si>
  <si>
    <t>Fojta</t>
  </si>
  <si>
    <t>Josef</t>
  </si>
  <si>
    <t>Fořtová</t>
  </si>
  <si>
    <t>Fučík</t>
  </si>
  <si>
    <t>Fyrbach</t>
  </si>
  <si>
    <t>Gogelová</t>
  </si>
  <si>
    <t>Anita</t>
  </si>
  <si>
    <t>Gregrová</t>
  </si>
  <si>
    <t>Kristýna</t>
  </si>
  <si>
    <t>Grögerová</t>
  </si>
  <si>
    <t>Hálková</t>
  </si>
  <si>
    <t>Andrea</t>
  </si>
  <si>
    <t>Hálová</t>
  </si>
  <si>
    <t>Hamplová</t>
  </si>
  <si>
    <t>Hanzalová</t>
  </si>
  <si>
    <t>Olga</t>
  </si>
  <si>
    <t>Hanžlová</t>
  </si>
  <si>
    <t>Michala</t>
  </si>
  <si>
    <t>Hartmannová</t>
  </si>
  <si>
    <t>Havlíček</t>
  </si>
  <si>
    <t>Havlíková</t>
  </si>
  <si>
    <t>Hedvíková</t>
  </si>
  <si>
    <t>Hlaváček</t>
  </si>
  <si>
    <t>Hlaváčková</t>
  </si>
  <si>
    <t>Hložková</t>
  </si>
  <si>
    <t>Petra</t>
  </si>
  <si>
    <t>Hodík</t>
  </si>
  <si>
    <t>Hofmannová</t>
  </si>
  <si>
    <t>Holá</t>
  </si>
  <si>
    <t>Holcová</t>
  </si>
  <si>
    <t>Holejšovská</t>
  </si>
  <si>
    <t>Holická</t>
  </si>
  <si>
    <t>Holíková</t>
  </si>
  <si>
    <t>Holub</t>
  </si>
  <si>
    <t>Homolková</t>
  </si>
  <si>
    <t>Horáčková</t>
  </si>
  <si>
    <t>Horálek</t>
  </si>
  <si>
    <t>Zdeněk</t>
  </si>
  <si>
    <t>Hospodková</t>
  </si>
  <si>
    <t>Hovorková</t>
  </si>
  <si>
    <t>Hrabák</t>
  </si>
  <si>
    <t>František</t>
  </si>
  <si>
    <t>Hromas</t>
  </si>
  <si>
    <t>Hronová</t>
  </si>
  <si>
    <t>Hrušková</t>
  </si>
  <si>
    <t>Ludmila</t>
  </si>
  <si>
    <t>Hütterová</t>
  </si>
  <si>
    <t>Daniela</t>
  </si>
  <si>
    <t>Hýsek</t>
  </si>
  <si>
    <t>Chlaňová</t>
  </si>
  <si>
    <t>Lucie</t>
  </si>
  <si>
    <t>Chlastáková</t>
  </si>
  <si>
    <t>Chvál</t>
  </si>
  <si>
    <t>Jahoda</t>
  </si>
  <si>
    <t>Milan</t>
  </si>
  <si>
    <t>Janáček</t>
  </si>
  <si>
    <t>Jandová</t>
  </si>
  <si>
    <t>Janovský</t>
  </si>
  <si>
    <t>Jaroušová</t>
  </si>
  <si>
    <t>Járová</t>
  </si>
  <si>
    <t>Jaša</t>
  </si>
  <si>
    <t>Jelínková</t>
  </si>
  <si>
    <t>Jetel</t>
  </si>
  <si>
    <t>Jindrák</t>
  </si>
  <si>
    <t>Vítězslav</t>
  </si>
  <si>
    <t>Jírovcová</t>
  </si>
  <si>
    <t>Jodl</t>
  </si>
  <si>
    <t>Jonáková</t>
  </si>
  <si>
    <t>Šárka</t>
  </si>
  <si>
    <t>Jurašová</t>
  </si>
  <si>
    <t>Kabelková</t>
  </si>
  <si>
    <t>Kadlecová</t>
  </si>
  <si>
    <t>Kadlečková</t>
  </si>
  <si>
    <t>Josefína</t>
  </si>
  <si>
    <t>Kahovcová</t>
  </si>
  <si>
    <t>Kalusová</t>
  </si>
  <si>
    <t>Kaňáková</t>
  </si>
  <si>
    <t>Kapounová</t>
  </si>
  <si>
    <t>Karásková</t>
  </si>
  <si>
    <t>Karda</t>
  </si>
  <si>
    <t>Ladislav</t>
  </si>
  <si>
    <t>Karkušová</t>
  </si>
  <si>
    <t>Klasová</t>
  </si>
  <si>
    <t>Klatovská</t>
  </si>
  <si>
    <t>Gabriela</t>
  </si>
  <si>
    <t>Kliment</t>
  </si>
  <si>
    <t>Karel</t>
  </si>
  <si>
    <t>Knížová</t>
  </si>
  <si>
    <t>Knobová</t>
  </si>
  <si>
    <t>Kohoutek</t>
  </si>
  <si>
    <t>Stanislav</t>
  </si>
  <si>
    <t>Kohutková</t>
  </si>
  <si>
    <t>Kolář</t>
  </si>
  <si>
    <t>Kolářová</t>
  </si>
  <si>
    <t>Kopáčková</t>
  </si>
  <si>
    <t>Alena</t>
  </si>
  <si>
    <t>Korbela</t>
  </si>
  <si>
    <t>Kořínková</t>
  </si>
  <si>
    <t>Sylvie</t>
  </si>
  <si>
    <t>Kosová</t>
  </si>
  <si>
    <t>Květa</t>
  </si>
  <si>
    <t>Košťálová</t>
  </si>
  <si>
    <t>Marcela</t>
  </si>
  <si>
    <t>Kotlín</t>
  </si>
  <si>
    <t>Koubík</t>
  </si>
  <si>
    <t>Kozáková</t>
  </si>
  <si>
    <t>Radka</t>
  </si>
  <si>
    <t>Krafka</t>
  </si>
  <si>
    <t>Krahulcová</t>
  </si>
  <si>
    <t>Kráslová</t>
  </si>
  <si>
    <t>Kratochvíl</t>
  </si>
  <si>
    <t>Krčál</t>
  </si>
  <si>
    <t>Krčálová</t>
  </si>
  <si>
    <t>Krejčí</t>
  </si>
  <si>
    <t>Krejčová</t>
  </si>
  <si>
    <t>Kretová</t>
  </si>
  <si>
    <t>Kreuzman</t>
  </si>
  <si>
    <t>Krupa</t>
  </si>
  <si>
    <t>Krupová</t>
  </si>
  <si>
    <t>Křečková</t>
  </si>
  <si>
    <t>Kříž</t>
  </si>
  <si>
    <t>Křižanová</t>
  </si>
  <si>
    <t>Jaroslava</t>
  </si>
  <si>
    <t>Kubíčková</t>
  </si>
  <si>
    <t>Tereza</t>
  </si>
  <si>
    <t>Kučerová</t>
  </si>
  <si>
    <t>Kudláčková</t>
  </si>
  <si>
    <t>Milena</t>
  </si>
  <si>
    <t>Kuklová</t>
  </si>
  <si>
    <t>Kulovaná</t>
  </si>
  <si>
    <t>Kuncová</t>
  </si>
  <si>
    <t>Kuthanová</t>
  </si>
  <si>
    <t>Kyselová</t>
  </si>
  <si>
    <t>Lafatová</t>
  </si>
  <si>
    <t>Landgráfová</t>
  </si>
  <si>
    <t>Lattnerová</t>
  </si>
  <si>
    <t>Laurenčíková</t>
  </si>
  <si>
    <t>Lexa</t>
  </si>
  <si>
    <t>Linhart</t>
  </si>
  <si>
    <t>Lombart</t>
  </si>
  <si>
    <t>Lomský</t>
  </si>
  <si>
    <t>Loudová</t>
  </si>
  <si>
    <t>Lutrová</t>
  </si>
  <si>
    <t>Mádl</t>
  </si>
  <si>
    <t>Machová</t>
  </si>
  <si>
    <t>Máchová</t>
  </si>
  <si>
    <t>Malíková</t>
  </si>
  <si>
    <t>Manková</t>
  </si>
  <si>
    <t>Marcel</t>
  </si>
  <si>
    <t>Vladimír</t>
  </si>
  <si>
    <t>Maroušková</t>
  </si>
  <si>
    <t>Martincová</t>
  </si>
  <si>
    <t>Mašek</t>
  </si>
  <si>
    <t>Mašková</t>
  </si>
  <si>
    <t>Maťáková</t>
  </si>
  <si>
    <t>Mazáková</t>
  </si>
  <si>
    <t>Helena</t>
  </si>
  <si>
    <t>Mazureková</t>
  </si>
  <si>
    <t>Lýdia</t>
  </si>
  <si>
    <t>Mejsnarová</t>
  </si>
  <si>
    <t>Michalec</t>
  </si>
  <si>
    <t>Mikolášková</t>
  </si>
  <si>
    <t>Mikotová</t>
  </si>
  <si>
    <t>Alexandra</t>
  </si>
  <si>
    <t>Milichovská</t>
  </si>
  <si>
    <t>Mondek</t>
  </si>
  <si>
    <t>Moravec</t>
  </si>
  <si>
    <t>Mraček</t>
  </si>
  <si>
    <t>Mrázek</t>
  </si>
  <si>
    <t>Mrkvička</t>
  </si>
  <si>
    <t>Vojtěch</t>
  </si>
  <si>
    <t>Mudrová</t>
  </si>
  <si>
    <t>Müllerová</t>
  </si>
  <si>
    <t>Nádvorníková</t>
  </si>
  <si>
    <t>Nečas</t>
  </si>
  <si>
    <t>Nechvátal</t>
  </si>
  <si>
    <t>Nechvílová</t>
  </si>
  <si>
    <t>Nekola</t>
  </si>
  <si>
    <t>Nitrianská</t>
  </si>
  <si>
    <t>Noháčková</t>
  </si>
  <si>
    <t>Nohejlová</t>
  </si>
  <si>
    <t>Nosek</t>
  </si>
  <si>
    <t>Nota</t>
  </si>
  <si>
    <t>Novák</t>
  </si>
  <si>
    <t>Radim</t>
  </si>
  <si>
    <t>Nováková</t>
  </si>
  <si>
    <t>Novotná</t>
  </si>
  <si>
    <t>Očkay</t>
  </si>
  <si>
    <t>Albín</t>
  </si>
  <si>
    <t>Odložilová</t>
  </si>
  <si>
    <t>Oltová</t>
  </si>
  <si>
    <t>Ondra</t>
  </si>
  <si>
    <t>Pálová</t>
  </si>
  <si>
    <t>Papoušková</t>
  </si>
  <si>
    <t>Pašová</t>
  </si>
  <si>
    <t>Paula-Mirabela</t>
  </si>
  <si>
    <t>Pecha</t>
  </si>
  <si>
    <t>Pechoušek</t>
  </si>
  <si>
    <t>Pejchar</t>
  </si>
  <si>
    <t>Peldová</t>
  </si>
  <si>
    <t>Karla</t>
  </si>
  <si>
    <t>Pelech</t>
  </si>
  <si>
    <t>Peštová</t>
  </si>
  <si>
    <t>Alžběta</t>
  </si>
  <si>
    <t>Peterková</t>
  </si>
  <si>
    <t>Petřík</t>
  </si>
  <si>
    <t>Petřivá</t>
  </si>
  <si>
    <t>Anna</t>
  </si>
  <si>
    <t>Pintér</t>
  </si>
  <si>
    <t>Plešáková</t>
  </si>
  <si>
    <t>Plešingerová</t>
  </si>
  <si>
    <t>Podhrázský</t>
  </si>
  <si>
    <t>Pometlová</t>
  </si>
  <si>
    <t>Pospíchalová</t>
  </si>
  <si>
    <t>Pospíšilová</t>
  </si>
  <si>
    <t>Pošustová</t>
  </si>
  <si>
    <t>Povjakalová</t>
  </si>
  <si>
    <t>Pragerová</t>
  </si>
  <si>
    <t>Procházková</t>
  </si>
  <si>
    <t>Prokešová</t>
  </si>
  <si>
    <t>Prollová</t>
  </si>
  <si>
    <t>Provazníková</t>
  </si>
  <si>
    <t>Přinosil</t>
  </si>
  <si>
    <t>Ptáčníková</t>
  </si>
  <si>
    <t>Pulec</t>
  </si>
  <si>
    <t>Rajnyš</t>
  </si>
  <si>
    <t>Rambousková</t>
  </si>
  <si>
    <t>Rašková</t>
  </si>
  <si>
    <t>Reindlová</t>
  </si>
  <si>
    <t>Rezková</t>
  </si>
  <si>
    <t>Robová</t>
  </si>
  <si>
    <t>Rod</t>
  </si>
  <si>
    <t>Richard</t>
  </si>
  <si>
    <t>Rolníková</t>
  </si>
  <si>
    <t>Eliška</t>
  </si>
  <si>
    <t>Rothbauer</t>
  </si>
  <si>
    <t>Rous</t>
  </si>
  <si>
    <t>Rudová</t>
  </si>
  <si>
    <t>Ryba</t>
  </si>
  <si>
    <t>Rychnavská</t>
  </si>
  <si>
    <t>Říha</t>
  </si>
  <si>
    <t>Samcová</t>
  </si>
  <si>
    <t>Štěpánka</t>
  </si>
  <si>
    <t>Samek</t>
  </si>
  <si>
    <t>Satrapová</t>
  </si>
  <si>
    <t>Sedláčková</t>
  </si>
  <si>
    <t>Sedláková</t>
  </si>
  <si>
    <t>Seiler</t>
  </si>
  <si>
    <t>Sekalová</t>
  </si>
  <si>
    <t>Schleicherová</t>
  </si>
  <si>
    <t>Schneiderová</t>
  </si>
  <si>
    <t>Silbernáglová</t>
  </si>
  <si>
    <t>Sitterová</t>
  </si>
  <si>
    <t>Slanařová</t>
  </si>
  <si>
    <t>Slavíková</t>
  </si>
  <si>
    <t>Smejkalová</t>
  </si>
  <si>
    <t>Iveta</t>
  </si>
  <si>
    <t>Smirnovová</t>
  </si>
  <si>
    <t>Sokol</t>
  </si>
  <si>
    <t>Soukup</t>
  </si>
  <si>
    <t>Spilková</t>
  </si>
  <si>
    <t>Steklíková</t>
  </si>
  <si>
    <t>Stix</t>
  </si>
  <si>
    <t>Straka</t>
  </si>
  <si>
    <t>Vlastimil</t>
  </si>
  <si>
    <t>Straková</t>
  </si>
  <si>
    <t>Stuchlíková</t>
  </si>
  <si>
    <t>Suchan</t>
  </si>
  <si>
    <t>Supová</t>
  </si>
  <si>
    <t>Táňa</t>
  </si>
  <si>
    <t>Svitáková</t>
  </si>
  <si>
    <t>Svobodová</t>
  </si>
  <si>
    <t>Věra</t>
  </si>
  <si>
    <t>Sýkora</t>
  </si>
  <si>
    <t>Sysel</t>
  </si>
  <si>
    <t>Sytařová</t>
  </si>
  <si>
    <t>Šandera</t>
  </si>
  <si>
    <t>Šašková</t>
  </si>
  <si>
    <t>Šeda</t>
  </si>
  <si>
    <t>Martin</t>
  </si>
  <si>
    <t>Šedovičová</t>
  </si>
  <si>
    <t>Šilingr</t>
  </si>
  <si>
    <t>Šímová</t>
  </si>
  <si>
    <t>Karolina</t>
  </si>
  <si>
    <t>Šindelářová</t>
  </si>
  <si>
    <t>Barbara</t>
  </si>
  <si>
    <t>Šípová</t>
  </si>
  <si>
    <t>Šmíd</t>
  </si>
  <si>
    <t>Libor</t>
  </si>
  <si>
    <t>Šornová</t>
  </si>
  <si>
    <t>Štamberková</t>
  </si>
  <si>
    <t>Šťastná</t>
  </si>
  <si>
    <t>Šťastný</t>
  </si>
  <si>
    <t>Štěch</t>
  </si>
  <si>
    <t>Štekerová</t>
  </si>
  <si>
    <t>Štorek</t>
  </si>
  <si>
    <t>Švamberková</t>
  </si>
  <si>
    <t>Švantnerová</t>
  </si>
  <si>
    <t>Švec</t>
  </si>
  <si>
    <t>Švůgrová</t>
  </si>
  <si>
    <t>Vendula</t>
  </si>
  <si>
    <t>Tělupilová</t>
  </si>
  <si>
    <t>Kristina</t>
  </si>
  <si>
    <t>Texlová</t>
  </si>
  <si>
    <t>Tomková</t>
  </si>
  <si>
    <t>Toušek</t>
  </si>
  <si>
    <t>Trantinová</t>
  </si>
  <si>
    <t>Trnková</t>
  </si>
  <si>
    <t>Aneta</t>
  </si>
  <si>
    <t>Třešková</t>
  </si>
  <si>
    <t>Tuháček</t>
  </si>
  <si>
    <t>Uhlířová</t>
  </si>
  <si>
    <t>Vladimíra</t>
  </si>
  <si>
    <t>Uchytilová</t>
  </si>
  <si>
    <t>Ulč</t>
  </si>
  <si>
    <t>Urbánková</t>
  </si>
  <si>
    <t>Vlasta</t>
  </si>
  <si>
    <t>Urbanová</t>
  </si>
  <si>
    <t>Ilona</t>
  </si>
  <si>
    <t>Vácha</t>
  </si>
  <si>
    <t>Robert</t>
  </si>
  <si>
    <t>Valentová</t>
  </si>
  <si>
    <t>Vaněček</t>
  </si>
  <si>
    <t>Váňová</t>
  </si>
  <si>
    <t>Bohuslava</t>
  </si>
  <si>
    <t>Vansa</t>
  </si>
  <si>
    <t>Vašek</t>
  </si>
  <si>
    <t>Vášová</t>
  </si>
  <si>
    <t>Vejda</t>
  </si>
  <si>
    <t>Vejdělková</t>
  </si>
  <si>
    <t>Vejmelka</t>
  </si>
  <si>
    <t>Velc</t>
  </si>
  <si>
    <t>Radovan</t>
  </si>
  <si>
    <t>Velíšek</t>
  </si>
  <si>
    <t>Vernerová</t>
  </si>
  <si>
    <t>Veselá</t>
  </si>
  <si>
    <t>Větrovcová</t>
  </si>
  <si>
    <t>Veverka</t>
  </si>
  <si>
    <t>Veverková</t>
  </si>
  <si>
    <t>Virtová</t>
  </si>
  <si>
    <t>Vlas</t>
  </si>
  <si>
    <t>Vlasáková</t>
  </si>
  <si>
    <t>Vlček</t>
  </si>
  <si>
    <t>Vojtěchová</t>
  </si>
  <si>
    <t>Vojtová</t>
  </si>
  <si>
    <t>Vokatý</t>
  </si>
  <si>
    <t>Volfová</t>
  </si>
  <si>
    <t>Irena</t>
  </si>
  <si>
    <t>pohlaví</t>
  </si>
  <si>
    <t>věk</t>
  </si>
  <si>
    <t>vyhodnocení</t>
  </si>
  <si>
    <t>muž</t>
  </si>
  <si>
    <t>žena</t>
  </si>
  <si>
    <t>počet dětí</t>
  </si>
  <si>
    <t>číslo uchazeče</t>
  </si>
  <si>
    <t>výška (cm)</t>
  </si>
  <si>
    <t>váha (kg)</t>
  </si>
  <si>
    <t>barva očí</t>
  </si>
  <si>
    <t>A (muž)</t>
  </si>
  <si>
    <t>A (žena nad 28 let)</t>
  </si>
  <si>
    <t>A (muž vysoký mezi 160-182 cm)</t>
  </si>
  <si>
    <t>NEBO (výška do 175 cm nebo modré oči)</t>
  </si>
  <si>
    <t>NEBO + A (žena do 170 cm nebo muž nad 90 kg)</t>
  </si>
  <si>
    <t>KDYŽ+A (žena nad 180 cm a pod 63 kg)</t>
  </si>
  <si>
    <t>COUNTIF</t>
  </si>
  <si>
    <t>chvalitebně</t>
  </si>
  <si>
    <t>nedostatečně</t>
  </si>
  <si>
    <t>PŘIJMENÍ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</si>
</sst>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238"/>
    </font>
    <font>
      <sz val="16"/>
      <color indexed="10"/>
      <name val="Arial"/>
      <family val="2"/>
      <charset val="238"/>
    </font>
    <font>
      <b/>
      <i/>
      <sz val="12"/>
      <color indexed="48"/>
      <name val="Times New Roman"/>
      <family val="1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b/>
      <sz val="10"/>
      <color indexed="12"/>
      <name val="Arial"/>
      <family val="2"/>
      <charset val="238"/>
    </font>
    <font>
      <sz val="10"/>
      <color indexed="9"/>
      <name val="Arial"/>
      <family val="2"/>
      <charset val="238"/>
    </font>
    <font>
      <sz val="8"/>
      <color indexed="9"/>
      <name val="Arial"/>
      <family val="2"/>
      <charset val="238"/>
    </font>
    <font>
      <b/>
      <sz val="10"/>
      <color indexed="18"/>
      <name val="Arial"/>
      <family val="2"/>
      <charset val="238"/>
    </font>
    <font>
      <sz val="12"/>
      <name val="Times New Roman"/>
      <family val="1"/>
      <charset val="238"/>
    </font>
    <font>
      <b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medium">
        <color indexed="10"/>
      </top>
      <bottom style="dotted">
        <color indexed="64"/>
      </bottom>
      <diagonal/>
    </border>
    <border>
      <left/>
      <right/>
      <top style="medium">
        <color indexed="10"/>
      </top>
      <bottom style="dotted">
        <color indexed="64"/>
      </bottom>
      <diagonal/>
    </border>
    <border>
      <left/>
      <right style="thin">
        <color indexed="64"/>
      </right>
      <top style="medium">
        <color indexed="10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10"/>
      </bottom>
      <diagonal/>
    </border>
    <border>
      <left/>
      <right/>
      <top style="dotted">
        <color indexed="64"/>
      </top>
      <bottom style="medium">
        <color indexed="10"/>
      </bottom>
      <diagonal/>
    </border>
    <border>
      <left/>
      <right style="thin">
        <color indexed="64"/>
      </right>
      <top style="dotted">
        <color indexed="64"/>
      </top>
      <bottom style="medium">
        <color indexed="10"/>
      </bottom>
      <diagonal/>
    </border>
    <border>
      <left style="medium">
        <color indexed="64"/>
      </left>
      <right/>
      <top style="medium">
        <color indexed="64"/>
      </top>
      <bottom style="dotted">
        <color indexed="10"/>
      </bottom>
      <diagonal/>
    </border>
    <border>
      <left/>
      <right/>
      <top style="medium">
        <color indexed="64"/>
      </top>
      <bottom style="dotted">
        <color indexed="10"/>
      </bottom>
      <diagonal/>
    </border>
    <border>
      <left/>
      <right style="medium">
        <color indexed="64"/>
      </right>
      <top style="medium">
        <color indexed="64"/>
      </top>
      <bottom style="dotted">
        <color indexed="10"/>
      </bottom>
      <diagonal/>
    </border>
    <border>
      <left style="medium">
        <color indexed="64"/>
      </left>
      <right/>
      <top style="dotted">
        <color indexed="10"/>
      </top>
      <bottom style="dotted">
        <color indexed="10"/>
      </bottom>
      <diagonal/>
    </border>
    <border>
      <left/>
      <right/>
      <top style="dotted">
        <color indexed="10"/>
      </top>
      <bottom style="dotted">
        <color indexed="10"/>
      </bottom>
      <diagonal/>
    </border>
    <border>
      <left style="medium">
        <color indexed="64"/>
      </left>
      <right/>
      <top style="dotted">
        <color indexed="10"/>
      </top>
      <bottom style="medium">
        <color indexed="64"/>
      </bottom>
      <diagonal/>
    </border>
    <border>
      <left/>
      <right/>
      <top style="dotted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10"/>
      </top>
      <bottom style="medium">
        <color indexed="64"/>
      </bottom>
      <diagonal/>
    </border>
    <border>
      <left/>
      <right style="thin">
        <color indexed="64"/>
      </right>
      <top style="medium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tted">
        <color theme="3" tint="0.39997558519241921"/>
      </left>
      <right style="dotted">
        <color theme="3" tint="0.39997558519241921"/>
      </right>
      <top/>
      <bottom style="dotted">
        <color theme="3" tint="0.39997558519241921"/>
      </bottom>
      <diagonal/>
    </border>
    <border>
      <left style="dotted">
        <color theme="3" tint="0.39997558519241921"/>
      </left>
      <right style="dotted">
        <color theme="3" tint="0.39997558519241921"/>
      </right>
      <top style="dotted">
        <color theme="3" tint="0.39997558519241921"/>
      </top>
      <bottom style="dotted">
        <color theme="3" tint="0.39997558519241921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/>
    <xf numFmtId="0" fontId="6" fillId="2" borderId="10" xfId="0" applyFont="1" applyFill="1" applyBorder="1"/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6" fillId="2" borderId="13" xfId="0" applyFont="1" applyFill="1" applyBorder="1"/>
    <xf numFmtId="0" fontId="4" fillId="0" borderId="14" xfId="0" applyFont="1" applyBorder="1" applyAlignment="1">
      <alignment horizontal="center"/>
    </xf>
    <xf numFmtId="0" fontId="6" fillId="2" borderId="15" xfId="0" applyFont="1" applyFill="1" applyBorder="1"/>
    <xf numFmtId="0" fontId="4" fillId="0" borderId="16" xfId="0" applyFont="1" applyBorder="1" applyAlignment="1">
      <alignment horizontal="center"/>
    </xf>
    <xf numFmtId="0" fontId="0" fillId="3" borderId="17" xfId="0" applyFill="1" applyBorder="1"/>
    <xf numFmtId="0" fontId="0" fillId="3" borderId="18" xfId="0" applyFill="1" applyBorder="1"/>
    <xf numFmtId="0" fontId="0" fillId="4" borderId="0" xfId="0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5" borderId="22" xfId="0" applyFill="1" applyBorder="1"/>
    <xf numFmtId="0" fontId="5" fillId="0" borderId="23" xfId="0" applyFont="1" applyBorder="1"/>
    <xf numFmtId="0" fontId="15" fillId="9" borderId="0" xfId="0" applyFont="1" applyFill="1"/>
    <xf numFmtId="0" fontId="15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5" fillId="6" borderId="0" xfId="0" applyFont="1" applyFill="1" applyProtection="1">
      <protection locked="0"/>
    </xf>
    <xf numFmtId="0" fontId="8" fillId="6" borderId="0" xfId="0" applyFont="1" applyFill="1" applyAlignment="1" applyProtection="1">
      <alignment horizontal="center"/>
      <protection hidden="1"/>
    </xf>
    <xf numFmtId="0" fontId="10" fillId="7" borderId="24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2" fillId="0" borderId="0" xfId="0" applyFont="1"/>
    <xf numFmtId="0" fontId="16" fillId="0" borderId="0" xfId="0" applyFont="1" applyAlignment="1" applyProtection="1">
      <alignment horizontal="center"/>
      <protection hidden="1"/>
    </xf>
    <xf numFmtId="0" fontId="4" fillId="0" borderId="18" xfId="0" applyFont="1" applyBorder="1" applyAlignment="1" applyProtection="1">
      <alignment horizontal="center"/>
      <protection locked="0"/>
    </xf>
    <xf numFmtId="0" fontId="4" fillId="0" borderId="25" xfId="0" applyFont="1" applyBorder="1" applyProtection="1">
      <protection locked="0"/>
    </xf>
    <xf numFmtId="0" fontId="4" fillId="0" borderId="20" xfId="0" applyFont="1" applyBorder="1" applyAlignment="1" applyProtection="1">
      <alignment horizontal="center"/>
      <protection locked="0"/>
    </xf>
    <xf numFmtId="0" fontId="4" fillId="0" borderId="26" xfId="0" applyFont="1" applyBorder="1" applyProtection="1">
      <protection locked="0"/>
    </xf>
    <xf numFmtId="0" fontId="14" fillId="0" borderId="0" xfId="2"/>
    <xf numFmtId="0" fontId="14" fillId="0" borderId="0" xfId="2" applyAlignment="1">
      <alignment horizontal="center"/>
    </xf>
    <xf numFmtId="0" fontId="15" fillId="9" borderId="44" xfId="2" applyFont="1" applyFill="1" applyBorder="1" applyAlignment="1">
      <alignment horizontal="center"/>
    </xf>
    <xf numFmtId="0" fontId="14" fillId="10" borderId="45" xfId="2" applyFill="1" applyBorder="1" applyAlignment="1">
      <alignment horizontal="center"/>
    </xf>
    <xf numFmtId="0" fontId="14" fillId="0" borderId="46" xfId="2" applyBorder="1" applyAlignment="1">
      <alignment horizontal="center"/>
    </xf>
    <xf numFmtId="0" fontId="14" fillId="10" borderId="46" xfId="2" applyFill="1" applyBorder="1" applyAlignment="1">
      <alignment horizontal="center"/>
    </xf>
    <xf numFmtId="0" fontId="13" fillId="6" borderId="0" xfId="0" applyFont="1" applyFill="1" applyAlignment="1" applyProtection="1">
      <alignment horizontal="center" vertical="center" wrapText="1"/>
      <protection hidden="1"/>
    </xf>
    <xf numFmtId="0" fontId="13" fillId="11" borderId="0" xfId="0" applyFont="1" applyFill="1" applyAlignment="1" applyProtection="1">
      <alignment horizontal="center" vertical="center" wrapText="1"/>
      <protection hidden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27" xfId="0" applyFill="1" applyBorder="1" applyAlignment="1">
      <alignment horizontal="center"/>
    </xf>
    <xf numFmtId="2" fontId="0" fillId="8" borderId="27" xfId="0" applyNumberFormat="1" applyFill="1" applyBorder="1"/>
    <xf numFmtId="0" fontId="4" fillId="12" borderId="28" xfId="0" applyFont="1" applyFill="1" applyBorder="1" applyAlignment="1" applyProtection="1">
      <alignment horizontal="center"/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1" fillId="3" borderId="31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/>
    </xf>
    <xf numFmtId="0" fontId="4" fillId="5" borderId="32" xfId="0" applyFont="1" applyFill="1" applyBorder="1" applyAlignment="1">
      <alignment horizontal="right"/>
    </xf>
    <xf numFmtId="0" fontId="4" fillId="5" borderId="33" xfId="0" applyFont="1" applyFill="1" applyBorder="1" applyAlignment="1">
      <alignment horizontal="right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2" borderId="17" xfId="0" applyFont="1" applyFill="1" applyBorder="1" applyAlignment="1" applyProtection="1">
      <alignment horizontal="center"/>
      <protection locked="0"/>
    </xf>
    <xf numFmtId="0" fontId="4" fillId="12" borderId="36" xfId="0" applyFont="1" applyFill="1" applyBorder="1" applyAlignment="1" applyProtection="1">
      <alignment horizontal="center"/>
      <protection locked="0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9" fillId="7" borderId="37" xfId="0" applyFont="1" applyFill="1" applyBorder="1" applyAlignment="1" applyProtection="1">
      <alignment horizontal="center" vertical="center"/>
      <protection locked="0"/>
    </xf>
    <xf numFmtId="0" fontId="9" fillId="7" borderId="38" xfId="0" applyFont="1" applyFill="1" applyBorder="1" applyAlignment="1" applyProtection="1">
      <alignment horizontal="center" vertical="center"/>
      <protection locked="0"/>
    </xf>
    <xf numFmtId="0" fontId="9" fillId="7" borderId="39" xfId="0" applyFont="1" applyFill="1" applyBorder="1" applyAlignment="1">
      <alignment horizontal="center"/>
    </xf>
    <xf numFmtId="0" fontId="9" fillId="7" borderId="40" xfId="0" applyFont="1" applyFill="1" applyBorder="1" applyAlignment="1">
      <alignment horizontal="center"/>
    </xf>
    <xf numFmtId="0" fontId="9" fillId="7" borderId="41" xfId="0" applyFont="1" applyFill="1" applyBorder="1" applyAlignment="1">
      <alignment horizontal="center"/>
    </xf>
    <xf numFmtId="0" fontId="10" fillId="7" borderId="42" xfId="0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 applyProtection="1">
      <alignment horizontal="center" vertical="center"/>
    </xf>
    <xf numFmtId="0" fontId="9" fillId="7" borderId="38" xfId="0" applyFont="1" applyFill="1" applyBorder="1" applyAlignment="1" applyProtection="1">
      <alignment horizontal="center" vertical="center"/>
    </xf>
  </cellXfs>
  <cellStyles count="3">
    <cellStyle name="Normální" xfId="0" builtinId="0"/>
    <cellStyle name="Normální 2" xfId="1" xr:uid="{B2F44D57-B95B-8B49-BB8D-10BA780E734E}"/>
    <cellStyle name="normální 3" xfId="2" xr:uid="{14F50901-3802-C74D-936F-FC22A538AE74}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</dxf>
    <dxf>
      <font>
        <b/>
        <i val="0"/>
        <color rgb="FF92D050"/>
      </font>
    </dxf>
    <dxf>
      <font>
        <b/>
        <i val="0"/>
        <color rgb="FFFFC000"/>
      </font>
    </dxf>
    <dxf>
      <fill>
        <patternFill>
          <bgColor theme="6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Počty známek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E8D-7E4B-BEE8-7ADC03A574E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E8D-7E4B-BEE8-7ADC03A574E4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7E8D-7E4B-BEE8-7ADC03A574E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E8D-7E4B-BEE8-7ADC03A574E4}"/>
              </c:ext>
            </c:extLst>
          </c:dPt>
          <c:cat>
            <c:multiLvlStrRef>
              <c:f>'IF+COUNT'!$G$3:$H$6</c:f>
              <c:multiLvlStrCache>
                <c:ptCount val="4"/>
                <c:lvl>
                  <c:pt idx="0">
                    <c:v>výborně</c:v>
                  </c:pt>
                  <c:pt idx="1">
                    <c:v>velmi dobře</c:v>
                  </c:pt>
                  <c:pt idx="2">
                    <c:v>dobře</c:v>
                  </c:pt>
                  <c:pt idx="3">
                    <c:v>nevyhovující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'IF+COUNT'!$I$3:$I$6</c:f>
              <c:numCache>
                <c:formatCode>General</c:formatCode>
                <c:ptCount val="4"/>
                <c:pt idx="0">
                  <c:v>95</c:v>
                </c:pt>
                <c:pt idx="1">
                  <c:v>88</c:v>
                </c:pt>
                <c:pt idx="2">
                  <c:v>109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8D-7E4B-BEE8-7ADC03A57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49823"/>
        <c:axId val="1"/>
      </c:barChart>
      <c:catAx>
        <c:axId val="203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0"/>
              </a:schemeClr>
            </a:solidFill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20374982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22225</xdr:rowOff>
    </xdr:from>
    <xdr:to>
      <xdr:col>12</xdr:col>
      <xdr:colOff>949321</xdr:colOff>
      <xdr:row>28</xdr:row>
      <xdr:rowOff>10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8B96EDD-E46F-B7C9-C9DE-BD8D01DF0A10}"/>
            </a:ext>
          </a:extLst>
        </xdr:cNvPr>
        <xdr:cNvSpPr txBox="1">
          <a:spLocks noChangeArrowheads="1"/>
        </xdr:cNvSpPr>
      </xdr:nvSpPr>
      <xdr:spPr bwMode="auto">
        <a:xfrm>
          <a:off x="628650" y="2838450"/>
          <a:ext cx="7515225" cy="2238375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Úpravy tabulky: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 oblast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buněk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série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":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červenou barvou čísla (+ tučným řezem)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menší než 85 včetně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0070C0"/>
              </a:solidFill>
              <a:latin typeface="Arial"/>
              <a:cs typeface="Arial"/>
            </a:rPr>
            <a:t>modrou barvou</a:t>
          </a:r>
          <a:r>
            <a:rPr lang="cs-CZ" sz="1000" b="0" i="0" u="none" strike="noStrike" baseline="0">
              <a:solidFill>
                <a:srgbClr val="0070C0"/>
              </a:solidFill>
              <a:latin typeface="Arial"/>
              <a:cs typeface="Arial"/>
            </a:rPr>
            <a:t> </a:t>
          </a:r>
          <a:r>
            <a:rPr lang="cs-CZ" sz="1000" b="1" i="0" u="none" strike="noStrike" baseline="0">
              <a:solidFill>
                <a:srgbClr val="0070C0"/>
              </a:solidFill>
              <a:latin typeface="Arial"/>
              <a:cs typeface="Arial"/>
            </a:rPr>
            <a:t>čísla (+ tučným řezem)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větší než 85 a nižší než 90 včetně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00B050"/>
              </a:solidFill>
              <a:latin typeface="Arial"/>
              <a:cs typeface="Arial"/>
            </a:rPr>
            <a:t>zelenou barvou čísla (+ tučným řezem</a:t>
          </a:r>
          <a:r>
            <a:rPr lang="cs-CZ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větší než 90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 oblast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buněk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průměry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":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vytvořte výraz pro aritmetický průměr u každého střelce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spočítejte průměr celé skupiny do buňky 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M12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FF6600"/>
              </a:solidFill>
              <a:latin typeface="Arial"/>
              <a:cs typeface="Arial"/>
            </a:rPr>
            <a:t>oranžovým stínováním buňky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takové průměry střelců, jež jsou menší než průměr skupiny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92D050"/>
              </a:solidFill>
              <a:latin typeface="Arial"/>
              <a:cs typeface="Arial"/>
            </a:rPr>
            <a:t>světle zeleným stínováním buňky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takové průměry střelců, jež jsou větší či rovny průměru skupiny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Spočítejte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pořadí (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RANK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 pro buňky oblasti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umístění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2</xdr:row>
      <xdr:rowOff>203200</xdr:rowOff>
    </xdr:from>
    <xdr:to>
      <xdr:col>23</xdr:col>
      <xdr:colOff>508000</xdr:colOff>
      <xdr:row>12</xdr:row>
      <xdr:rowOff>127000</xdr:rowOff>
    </xdr:to>
    <xdr:pic>
      <xdr:nvPicPr>
        <xdr:cNvPr id="7215" name="Obrázek 2">
          <a:extLst>
            <a:ext uri="{FF2B5EF4-FFF2-40B4-BE49-F238E27FC236}">
              <a16:creationId xmlns:a16="http://schemas.microsoft.com/office/drawing/2014/main" id="{9CF6B891-3F15-4A37-CC42-53D8B3122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444500"/>
          <a:ext cx="652780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10</xdr:row>
      <xdr:rowOff>85725</xdr:rowOff>
    </xdr:from>
    <xdr:to>
      <xdr:col>13</xdr:col>
      <xdr:colOff>365131</xdr:colOff>
      <xdr:row>28</xdr:row>
      <xdr:rowOff>28575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16D4D0B8-2413-D16D-F34B-267C193B6CCD}"/>
            </a:ext>
          </a:extLst>
        </xdr:cNvPr>
        <xdr:cNvSpPr txBox="1">
          <a:spLocks noChangeArrowheads="1"/>
        </xdr:cNvSpPr>
      </xdr:nvSpPr>
      <xdr:spPr bwMode="auto">
        <a:xfrm>
          <a:off x="4752975" y="1724025"/>
          <a:ext cx="4667250" cy="285750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Požadavky na "automatické" vyhodnocování testu: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V oblasti buněk "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" chceme zajistit toto hodnocení:</a:t>
          </a: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více jak 25 bodů - hodnocení </a:t>
          </a:r>
          <a:r>
            <a:rPr lang="cs-CZ" sz="1200" b="1" i="0" u="none" strike="noStrike" baseline="0">
              <a:solidFill>
                <a:srgbClr val="FF9900"/>
              </a:solidFill>
              <a:latin typeface="Arial"/>
              <a:cs typeface="Arial"/>
            </a:rPr>
            <a:t>výborně</a:t>
          </a:r>
          <a:endParaRPr lang="cs-CZ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 rozmezí 20 - 25 bodů - hodnocení </a:t>
          </a:r>
          <a:r>
            <a:rPr lang="cs-CZ" sz="1200" b="1" i="0" u="none" strike="noStrike" baseline="0">
              <a:solidFill>
                <a:srgbClr val="339966"/>
              </a:solidFill>
              <a:latin typeface="Arial"/>
              <a:cs typeface="Arial"/>
            </a:rPr>
            <a:t>chvalitebně</a:t>
          </a:r>
          <a:endParaRPr lang="cs-CZ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 rozmezí 15 - 19,99 bodů - hodnocení </a:t>
          </a:r>
          <a:r>
            <a:rPr lang="cs-CZ" sz="1200" b="1" i="0" u="none" strike="noStrike" baseline="0">
              <a:solidFill>
                <a:srgbClr val="0070C0"/>
              </a:solidFill>
              <a:latin typeface="Arial"/>
              <a:cs typeface="Arial"/>
            </a:rPr>
            <a:t>dobře</a:t>
          </a:r>
          <a:endParaRPr lang="cs-CZ" sz="1200" b="0" i="0" u="none" strike="noStrike" baseline="0">
            <a:solidFill>
              <a:srgbClr val="0070C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méně jak 15 bodů - hodnocení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nedostatečně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slovní hodnocení adekvátně formátujte - viz výše použité barvy</a:t>
          </a:r>
          <a:endParaRPr lang="cs-CZ" sz="12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cs-CZ" sz="12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V oblasti buněk "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přijatí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" vyjádřete pořadí a dle počtu přijímaných v buňce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J2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zajistěte, aby buňky pořadí u přijatých měly zelenou výplň a nepřijatých červenou výplň (hodnota v buňce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J2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se může kdykoli změnit ;-)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2</xdr:row>
      <xdr:rowOff>174626</xdr:rowOff>
    </xdr:from>
    <xdr:to>
      <xdr:col>15</xdr:col>
      <xdr:colOff>174642</xdr:colOff>
      <xdr:row>21</xdr:row>
      <xdr:rowOff>155600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180239F8-72DA-7599-FD42-089296FF3D75}"/>
            </a:ext>
          </a:extLst>
        </xdr:cNvPr>
        <xdr:cNvSpPr txBox="1"/>
      </xdr:nvSpPr>
      <xdr:spPr>
        <a:xfrm>
          <a:off x="5895975" y="581026"/>
          <a:ext cx="4248150" cy="36194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800"/>
            <a:t>Vyberte všechny kandidáty pro přiznání důchodu za těchto podmínek důchodového věku :</a:t>
          </a:r>
        </a:p>
        <a:p>
          <a:pPr defTabSz="360000">
            <a:tabLst>
              <a:tab pos="2160000" algn="l"/>
            </a:tabLst>
          </a:pPr>
          <a:r>
            <a:rPr lang="cs-CZ" sz="1800"/>
            <a:t>muž: </a:t>
          </a:r>
          <a:r>
            <a:rPr lang="cs-CZ" sz="1800" baseline="0"/>
            <a:t>  </a:t>
          </a:r>
          <a:r>
            <a:rPr lang="cs-CZ" sz="1800"/>
            <a:t>65 let</a:t>
          </a:r>
        </a:p>
        <a:p>
          <a:r>
            <a:rPr lang="cs-CZ" sz="1800"/>
            <a:t>žena: </a:t>
          </a:r>
          <a:r>
            <a:rPr lang="cs-CZ" sz="2000"/>
            <a:t> </a:t>
          </a:r>
          <a:r>
            <a:rPr lang="cs-CZ" sz="1800"/>
            <a:t>62 let</a:t>
          </a:r>
        </a:p>
        <a:p>
          <a:r>
            <a:rPr lang="cs-CZ" sz="1800"/>
            <a:t>(konkrétní slovní vyhodnocení ve sloupci F si zvolte sami)</a:t>
          </a:r>
        </a:p>
        <a:p>
          <a:endParaRPr lang="cs-CZ" sz="1800"/>
        </a:p>
        <a:p>
          <a:r>
            <a:rPr lang="cs-CZ" sz="1800" u="sng"/>
            <a:t>pokročilejší varianta:</a:t>
          </a:r>
        </a:p>
        <a:p>
          <a:r>
            <a:rPr lang="cs-CZ" sz="1800"/>
            <a:t>ženě se za každé dítě odpočítává jeden rok do důchodového věku, tedy např.: s třemi dětmi odchází do důchodu v 59 letech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38098</xdr:colOff>
      <xdr:row>8</xdr:row>
      <xdr:rowOff>3176</xdr:rowOff>
    </xdr:from>
    <xdr:to>
      <xdr:col>11</xdr:col>
      <xdr:colOff>361902</xdr:colOff>
      <xdr:row>18</xdr:row>
      <xdr:rowOff>174625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B7CA6D3-6F87-D9A4-D37B-E4ABB47A3975}"/>
            </a:ext>
          </a:extLst>
        </xdr:cNvPr>
        <xdr:cNvSpPr txBox="1">
          <a:spLocks noChangeArrowheads="1"/>
        </xdr:cNvSpPr>
      </xdr:nvSpPr>
      <xdr:spPr bwMode="auto">
        <a:xfrm>
          <a:off x="3829048" y="1628776"/>
          <a:ext cx="4457702" cy="21716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9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 proveďte pomocí vhodné logické funkce slovní vyjádření adekvátní známky ze sloupce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cs-CZ" sz="11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(ve výrazu adresujte buňky z rozmezí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H3:H6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)</a:t>
          </a:r>
        </a:p>
        <a:p>
          <a:pPr marL="228600" indent="-228600" algn="l" rtl="0">
            <a:lnSpc>
              <a:spcPts val="14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podmiňujte barevnou výplň buněk ve sloupci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 tak, aby buňky s textem "nevyhovující" byly probarveny oranžovou výplní a modrým</a:t>
          </a:r>
          <a:r>
            <a:rPr lang="cs-CZ" sz="11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ohraničením</a:t>
          </a:r>
        </a:p>
        <a:p>
          <a:pPr marL="228600" indent="-228600" algn="l" rtl="0">
            <a:lnSpc>
              <a:spcPts val="17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vyjádřete počty jednotlivých známek do tabulky (sloupec I)</a:t>
          </a:r>
        </a:p>
        <a:p>
          <a:pPr marL="228600" indent="-228600" algn="l" rtl="0">
            <a:lnSpc>
              <a:spcPts val="14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vytvořte vhodný graf zobrazující poměry mezi skupinami klasifikovaných studentů</a:t>
          </a:r>
        </a:p>
      </xdr:txBody>
    </xdr:sp>
    <xdr:clientData/>
  </xdr:twoCellAnchor>
  <xdr:twoCellAnchor>
    <xdr:from>
      <xdr:col>5</xdr:col>
      <xdr:colOff>355600</xdr:colOff>
      <xdr:row>19</xdr:row>
      <xdr:rowOff>139700</xdr:rowOff>
    </xdr:from>
    <xdr:to>
      <xdr:col>12</xdr:col>
      <xdr:colOff>114300</xdr:colOff>
      <xdr:row>33</xdr:row>
      <xdr:rowOff>76200</xdr:rowOff>
    </xdr:to>
    <xdr:graphicFrame macro="">
      <xdr:nvGraphicFramePr>
        <xdr:cNvPr id="5194" name="Graf 2">
          <a:extLst>
            <a:ext uri="{FF2B5EF4-FFF2-40B4-BE49-F238E27FC236}">
              <a16:creationId xmlns:a16="http://schemas.microsoft.com/office/drawing/2014/main" id="{B8C3D35C-AFF6-67CD-16C8-60519ADD0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9</xdr:row>
      <xdr:rowOff>19049</xdr:rowOff>
    </xdr:from>
    <xdr:to>
      <xdr:col>36</xdr:col>
      <xdr:colOff>79393</xdr:colOff>
      <xdr:row>17</xdr:row>
      <xdr:rowOff>22240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6F66D8B-53FF-9BE9-2B49-2145A156AFBC}"/>
            </a:ext>
          </a:extLst>
        </xdr:cNvPr>
        <xdr:cNvSpPr txBox="1">
          <a:spLocks noChangeArrowheads="1"/>
        </xdr:cNvSpPr>
      </xdr:nvSpPr>
      <xdr:spPr bwMode="auto">
        <a:xfrm>
          <a:off x="4914899" y="1504949"/>
          <a:ext cx="5572125" cy="1298591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72000" rIns="27432" bIns="22860" anchor="ctr" upright="1"/>
        <a:lstStyle/>
        <a:p>
          <a:pPr marL="228600" indent="-228600" algn="l" rtl="0">
            <a:buFont typeface="+mj-lt"/>
            <a:buAutoNum type="arabicParenR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buněk sloupce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sečtěte počet bodů pro patřičný řádek v oblasti sloupců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G:BZ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, tyto sloupce pak následně zužte na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20 pixelů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šířky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 bude slovní vyhodnocení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ano</a:t>
          </a:r>
          <a:r>
            <a:rPr lang="cs-CZ" sz="1000" b="1" i="0" strike="noStrike">
              <a:solidFill>
                <a:sysClr val="windowText" lastClr="000000"/>
              </a:solidFill>
              <a:latin typeface="Arial"/>
              <a:cs typeface="Arial"/>
            </a:rPr>
            <a:t>/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ne</a:t>
          </a: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 na základě těchto podmínek:</a:t>
          </a:r>
        </a:p>
        <a:p>
          <a:pPr marL="685800" lvl="1" indent="-228600" algn="l" rtl="0">
            <a:buFont typeface="Wingdings" pitchFamily="2" charset="2"/>
            <a:buChar char="v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pro standardní podmínky: uspěl při zisku alespoň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53 bodů</a:t>
          </a:r>
        </a:p>
        <a:p>
          <a:pPr marL="685800" marR="0" lvl="1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itchFamily="2" charset="2"/>
            <a:buChar char="v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pro ztížené podmínky: uspěl při zisku alespoň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62 bodů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ve sloupci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formátujte výsledek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ano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zelenou výplní buňky a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ne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červenou výplní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do buněk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D119/D121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vyjádřete počty uspěvších, resp. neuspěvších</a:t>
          </a:r>
        </a:p>
        <a:p>
          <a:pPr marL="685800" lvl="1" indent="-228600" algn="l" rtl="0">
            <a:buFont typeface="Wingdings" pitchFamily="2" charset="2"/>
            <a:buChar char="v"/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298725</xdr:colOff>
      <xdr:row>3</xdr:row>
      <xdr:rowOff>151571</xdr:rowOff>
    </xdr:from>
    <xdr:to>
      <xdr:col>15</xdr:col>
      <xdr:colOff>225688</xdr:colOff>
      <xdr:row>20</xdr:row>
      <xdr:rowOff>30369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CFAE176-E7F0-312D-AA05-A4D1A4E61083}"/>
            </a:ext>
          </a:extLst>
        </xdr:cNvPr>
        <xdr:cNvSpPr txBox="1">
          <a:spLocks noChangeArrowheads="1"/>
        </xdr:cNvSpPr>
      </xdr:nvSpPr>
      <xdr:spPr bwMode="auto">
        <a:xfrm>
          <a:off x="6824868" y="723071"/>
          <a:ext cx="3004252" cy="269488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 sloupce CELKEM vložte součet bodů získaných v obou předmětech.</a:t>
          </a:r>
        </a:p>
        <a:p>
          <a:pPr algn="ctr" rtl="0"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 sloupce POŘADÍ vložte pořadí uchazečů podle celkového počtu bodů. Použijte funkci RANK.</a:t>
          </a:r>
        </a:p>
        <a:p>
          <a:pPr algn="ctr" rtl="0"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Sloupec PŘIJAT-NEPŘIJAT vyplňte v závislosti na počtu přijímaných uchazečů v buňce C3 - uvažujte, že se její obsah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mění!</a:t>
          </a:r>
        </a:p>
        <a:p>
          <a:pPr algn="ctr" rtl="0">
            <a:defRPr sz="1000"/>
          </a:pPr>
          <a:endParaRPr lang="cs-CZ" sz="1000" b="1" i="0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 baseline="0">
              <a:solidFill>
                <a:sysClr val="windowText" lastClr="000000"/>
              </a:solidFill>
              <a:latin typeface="Arial"/>
              <a:cs typeface="Arial"/>
            </a:rPr>
            <a:t>Před sloupec B vložte dva sloupce a do nich přeneste z původního sloupce B jména tak, aby v prvním vloženém sloupci bylo křestní jméno a v druhém samotné příjmení. Adekvátně vytvořte a pojmenujte záhlaví těchto nových sloupců</a:t>
          </a:r>
          <a:endParaRPr lang="cs-CZ" sz="1000" b="1" i="0" strike="noStrike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2966-3E9F-6341-A530-5777CE8E0D9D}">
  <sheetPr>
    <tabColor theme="3" tint="0.39997558519241921"/>
  </sheetPr>
  <dimension ref="B1:N12"/>
  <sheetViews>
    <sheetView tabSelected="1" zoomScale="115" zoomScaleNormal="115" workbookViewId="0">
      <selection activeCell="P23" sqref="P23"/>
    </sheetView>
  </sheetViews>
  <sheetFormatPr baseColWidth="10" defaultColWidth="8.83203125" defaultRowHeight="13" x14ac:dyDescent="0.15"/>
  <cols>
    <col min="1" max="12" width="8.83203125" customWidth="1"/>
    <col min="13" max="13" width="13" customWidth="1"/>
  </cols>
  <sheetData>
    <row r="1" spans="2:14" ht="14" thickBot="1" x14ac:dyDescent="0.2"/>
    <row r="2" spans="2:14" ht="52.5" customHeight="1" x14ac:dyDescent="0.15">
      <c r="B2" s="18"/>
      <c r="C2" s="60" t="s">
        <v>18</v>
      </c>
      <c r="D2" s="61"/>
      <c r="E2" s="61"/>
      <c r="F2" s="61"/>
      <c r="G2" s="61"/>
      <c r="H2" s="61"/>
      <c r="I2" s="61"/>
      <c r="J2" s="61"/>
      <c r="K2" s="61"/>
      <c r="L2" s="61"/>
      <c r="M2" s="64" t="s">
        <v>19</v>
      </c>
      <c r="N2" s="64" t="s">
        <v>50</v>
      </c>
    </row>
    <row r="3" spans="2:14" ht="14" thickBot="1" x14ac:dyDescent="0.2">
      <c r="B3" s="19"/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65"/>
      <c r="N3" s="65"/>
    </row>
    <row r="4" spans="2:14" x14ac:dyDescent="0.15">
      <c r="B4" s="21" t="s">
        <v>0</v>
      </c>
      <c r="C4" s="1">
        <v>85</v>
      </c>
      <c r="D4" s="2">
        <v>87</v>
      </c>
      <c r="E4" s="2">
        <v>84</v>
      </c>
      <c r="F4" s="2">
        <v>88</v>
      </c>
      <c r="G4" s="2">
        <v>83</v>
      </c>
      <c r="H4" s="2">
        <v>91</v>
      </c>
      <c r="I4" s="2">
        <v>89</v>
      </c>
      <c r="J4" s="2"/>
      <c r="K4" s="2"/>
      <c r="L4" s="3"/>
      <c r="M4" s="56">
        <f>SUM(C4:L4)/COUNT(C4:L4)</f>
        <v>86.714285714285708</v>
      </c>
      <c r="N4" s="55">
        <f t="shared" ref="N4:N11" si="0">RANK(M4,průměry)</f>
        <v>7</v>
      </c>
    </row>
    <row r="5" spans="2:14" x14ac:dyDescent="0.15">
      <c r="B5" s="21" t="s">
        <v>1</v>
      </c>
      <c r="C5" s="4">
        <v>78</v>
      </c>
      <c r="D5" s="5">
        <v>88</v>
      </c>
      <c r="E5" s="5">
        <v>89</v>
      </c>
      <c r="F5" s="5">
        <v>98</v>
      </c>
      <c r="G5" s="5"/>
      <c r="H5" s="5"/>
      <c r="I5" s="5"/>
      <c r="J5" s="5"/>
      <c r="K5" s="5"/>
      <c r="L5" s="6"/>
      <c r="M5" s="56">
        <f t="shared" ref="M5:M11" si="1">SUM(C5:L5)/COUNT(C5:L5)</f>
        <v>88.25</v>
      </c>
      <c r="N5" s="55">
        <f t="shared" si="0"/>
        <v>5</v>
      </c>
    </row>
    <row r="6" spans="2:14" x14ac:dyDescent="0.15">
      <c r="B6" s="21" t="s">
        <v>149</v>
      </c>
      <c r="C6" s="4">
        <v>83</v>
      </c>
      <c r="D6" s="5">
        <v>81</v>
      </c>
      <c r="E6" s="5">
        <v>82</v>
      </c>
      <c r="F6" s="5"/>
      <c r="G6" s="5"/>
      <c r="H6" s="5"/>
      <c r="I6" s="5"/>
      <c r="J6" s="5"/>
      <c r="K6" s="5"/>
      <c r="L6" s="6"/>
      <c r="M6" s="56">
        <f t="shared" si="1"/>
        <v>82</v>
      </c>
      <c r="N6" s="55">
        <f t="shared" si="0"/>
        <v>8</v>
      </c>
    </row>
    <row r="7" spans="2:14" x14ac:dyDescent="0.15">
      <c r="B7" s="21" t="s">
        <v>15</v>
      </c>
      <c r="C7" s="4">
        <v>90</v>
      </c>
      <c r="D7" s="5">
        <v>89</v>
      </c>
      <c r="E7" s="5">
        <v>95</v>
      </c>
      <c r="F7" s="5">
        <v>92</v>
      </c>
      <c r="G7" s="5"/>
      <c r="H7" s="5"/>
      <c r="I7" s="5"/>
      <c r="J7" s="5"/>
      <c r="K7" s="5"/>
      <c r="L7" s="6"/>
      <c r="M7" s="56">
        <f t="shared" si="1"/>
        <v>91.5</v>
      </c>
      <c r="N7" s="55">
        <f t="shared" si="0"/>
        <v>2</v>
      </c>
    </row>
    <row r="8" spans="2:14" x14ac:dyDescent="0.15">
      <c r="B8" s="21" t="s">
        <v>3</v>
      </c>
      <c r="C8" s="4">
        <v>92</v>
      </c>
      <c r="D8" s="5">
        <v>86</v>
      </c>
      <c r="E8" s="5">
        <v>83</v>
      </c>
      <c r="F8" s="5">
        <v>93</v>
      </c>
      <c r="G8" s="5">
        <v>89</v>
      </c>
      <c r="H8" s="5"/>
      <c r="I8" s="5"/>
      <c r="J8" s="5"/>
      <c r="K8" s="5"/>
      <c r="L8" s="6"/>
      <c r="M8" s="56">
        <f t="shared" si="1"/>
        <v>88.6</v>
      </c>
      <c r="N8" s="55">
        <f t="shared" si="0"/>
        <v>4</v>
      </c>
    </row>
    <row r="9" spans="2:14" x14ac:dyDescent="0.15">
      <c r="B9" s="21" t="s">
        <v>14</v>
      </c>
      <c r="C9" s="4">
        <v>91</v>
      </c>
      <c r="D9" s="5">
        <v>91</v>
      </c>
      <c r="E9" s="5">
        <v>89</v>
      </c>
      <c r="F9" s="5"/>
      <c r="G9" s="5"/>
      <c r="H9" s="5"/>
      <c r="I9" s="5"/>
      <c r="J9" s="5"/>
      <c r="K9" s="5"/>
      <c r="L9" s="6"/>
      <c r="M9" s="56">
        <f t="shared" si="1"/>
        <v>90.333333333333329</v>
      </c>
      <c r="N9" s="55">
        <f t="shared" si="0"/>
        <v>3</v>
      </c>
    </row>
    <row r="10" spans="2:14" x14ac:dyDescent="0.15">
      <c r="B10" s="21" t="s">
        <v>16</v>
      </c>
      <c r="C10" s="4">
        <v>89</v>
      </c>
      <c r="D10" s="5">
        <v>92</v>
      </c>
      <c r="E10" s="5">
        <v>81</v>
      </c>
      <c r="F10" s="5"/>
      <c r="G10" s="5"/>
      <c r="H10" s="5"/>
      <c r="I10" s="5"/>
      <c r="J10" s="5"/>
      <c r="K10" s="5"/>
      <c r="L10" s="6"/>
      <c r="M10" s="56">
        <f t="shared" si="1"/>
        <v>87.333333333333329</v>
      </c>
      <c r="N10" s="55">
        <f t="shared" si="0"/>
        <v>6</v>
      </c>
    </row>
    <row r="11" spans="2:14" ht="14" thickBot="1" x14ac:dyDescent="0.2">
      <c r="B11" s="21" t="s">
        <v>17</v>
      </c>
      <c r="C11" s="7">
        <v>96</v>
      </c>
      <c r="D11" s="8">
        <v>90</v>
      </c>
      <c r="E11" s="8">
        <v>92</v>
      </c>
      <c r="F11" s="8">
        <v>91</v>
      </c>
      <c r="G11" s="8">
        <v>97</v>
      </c>
      <c r="H11" s="8">
        <v>88</v>
      </c>
      <c r="I11" s="8"/>
      <c r="J11" s="8"/>
      <c r="K11" s="8"/>
      <c r="L11" s="9"/>
      <c r="M11" s="56">
        <f t="shared" si="1"/>
        <v>92.333333333333329</v>
      </c>
      <c r="N11" s="55">
        <f t="shared" si="0"/>
        <v>1</v>
      </c>
    </row>
    <row r="12" spans="2:14" ht="14" thickBot="1" x14ac:dyDescent="0.2">
      <c r="B12" s="22"/>
      <c r="C12" s="23"/>
      <c r="D12" s="23"/>
      <c r="E12" s="23"/>
      <c r="F12" s="23"/>
      <c r="G12" s="23"/>
      <c r="H12" s="23"/>
      <c r="I12" s="23"/>
      <c r="J12" s="23"/>
      <c r="K12" s="62" t="s">
        <v>20</v>
      </c>
      <c r="L12" s="63"/>
      <c r="M12" s="24">
        <f>AVERAGE(průměry)</f>
        <v>88.383035714285725</v>
      </c>
    </row>
  </sheetData>
  <mergeCells count="4">
    <mergeCell ref="C2:L2"/>
    <mergeCell ref="K12:L12"/>
    <mergeCell ref="M2:M3"/>
    <mergeCell ref="N2:N3"/>
  </mergeCells>
  <phoneticPr fontId="3" type="noConversion"/>
  <conditionalFormatting sqref="C4:L11">
    <cfRule type="cellIs" dxfId="17" priority="3" stopIfTrue="1" operator="greaterThan">
      <formula>90</formula>
    </cfRule>
    <cfRule type="cellIs" dxfId="16" priority="4" stopIfTrue="1" operator="between">
      <formula>86</formula>
      <formula>90</formula>
    </cfRule>
    <cfRule type="cellIs" dxfId="15" priority="5" stopIfTrue="1" operator="lessThanOrEqual">
      <formula>85</formula>
    </cfRule>
  </conditionalFormatting>
  <conditionalFormatting sqref="M4:M11">
    <cfRule type="cellIs" dxfId="14" priority="1" stopIfTrue="1" operator="greaterThanOrEqual">
      <formula>$M$12</formula>
    </cfRule>
    <cfRule type="cellIs" dxfId="13" priority="2" stopIfTrue="1" operator="lessThan">
      <formula>$M$12</formula>
    </cfRule>
  </conditionalFormatting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A0FD-F03B-7E49-A6C1-75F9B21E142B}">
  <sheetPr>
    <tabColor theme="6"/>
  </sheetPr>
  <dimension ref="B2:M104"/>
  <sheetViews>
    <sheetView topLeftCell="C1" zoomScaleNormal="100" workbookViewId="0">
      <selection activeCell="P26" sqref="P26"/>
    </sheetView>
  </sheetViews>
  <sheetFormatPr baseColWidth="10" defaultColWidth="8.83203125" defaultRowHeight="13" x14ac:dyDescent="0.15"/>
  <cols>
    <col min="1" max="1" width="4.5" customWidth="1"/>
    <col min="2" max="2" width="14.5" customWidth="1"/>
    <col min="3" max="3" width="8.83203125" customWidth="1"/>
    <col min="4" max="4" width="7.1640625" customWidth="1"/>
    <col min="5" max="7" width="10.83203125" customWidth="1"/>
    <col min="8" max="10" width="16.33203125" customWidth="1"/>
    <col min="11" max="11" width="20.5" customWidth="1"/>
    <col min="12" max="12" width="23" customWidth="1"/>
    <col min="13" max="13" width="19.6640625" customWidth="1"/>
  </cols>
  <sheetData>
    <row r="2" spans="2:13" ht="6" customHeight="1" x14ac:dyDescent="0.15">
      <c r="B2" s="34"/>
      <c r="C2" s="34"/>
      <c r="D2" s="34"/>
      <c r="E2" s="34"/>
      <c r="F2" s="28"/>
      <c r="G2" s="28"/>
    </row>
    <row r="3" spans="2:13" s="54" customFormat="1" ht="33" customHeight="1" x14ac:dyDescent="0.15">
      <c r="B3" s="51" t="s">
        <v>591</v>
      </c>
      <c r="C3" s="51" t="s">
        <v>585</v>
      </c>
      <c r="D3" s="51" t="s">
        <v>586</v>
      </c>
      <c r="E3" s="51" t="s">
        <v>592</v>
      </c>
      <c r="F3" s="51" t="s">
        <v>593</v>
      </c>
      <c r="G3" s="51" t="s">
        <v>594</v>
      </c>
      <c r="H3" s="52" t="s">
        <v>595</v>
      </c>
      <c r="I3" s="53" t="s">
        <v>596</v>
      </c>
      <c r="J3" s="53" t="s">
        <v>597</v>
      </c>
      <c r="K3" s="53" t="s">
        <v>598</v>
      </c>
      <c r="L3" s="53" t="s">
        <v>599</v>
      </c>
      <c r="M3" s="53" t="s">
        <v>600</v>
      </c>
    </row>
    <row r="4" spans="2:13" x14ac:dyDescent="0.15">
      <c r="B4" s="34">
        <v>1</v>
      </c>
      <c r="C4" s="34" t="str">
        <f ca="1">IF(RAND()&gt;=0.51,"muž","žena")</f>
        <v>muž</v>
      </c>
      <c r="D4" s="34">
        <f ca="1">ROUND(RAND()*60+18,0)</f>
        <v>64</v>
      </c>
      <c r="E4" s="34">
        <f ca="1">ROUND(RAND()*40+160,0)</f>
        <v>195</v>
      </c>
      <c r="F4" s="34">
        <f ca="1">ROUND(RAND()*60+50,0)</f>
        <v>67</v>
      </c>
      <c r="G4" s="28" t="str">
        <f ca="1">IF(RAND()&lt;0.25,"modrá",IF(RAND()&lt;0.5,"zelená",IF(RAND()&lt;0.75,"hnědá","černá")))</f>
        <v>hnědá</v>
      </c>
      <c r="H4" s="30" t="b">
        <f ca="1">AND(C4="muž")</f>
        <v>1</v>
      </c>
      <c r="I4" t="b">
        <f ca="1">AND(C4="žena",D4&gt;28)</f>
        <v>0</v>
      </c>
      <c r="J4" t="b">
        <f ca="1">AND(C4="muž",E4&gt;160,E4&lt;182)</f>
        <v>0</v>
      </c>
      <c r="K4" t="b">
        <f ca="1">OR(E4&lt;175,G4="modrá")</f>
        <v>0</v>
      </c>
      <c r="L4" t="b">
        <f ca="1">OR(AND(C4="žena",E4&lt;170),AND(C4="muž",F4&gt;90))</f>
        <v>0</v>
      </c>
      <c r="M4" t="str">
        <f ca="1">IF(AND(C4="žena",E4&gt;180,F4&lt;63),"anorexie","---")</f>
        <v>---</v>
      </c>
    </row>
    <row r="5" spans="2:13" x14ac:dyDescent="0.15">
      <c r="B5" s="34">
        <v>2</v>
      </c>
      <c r="C5" s="34" t="str">
        <f t="shared" ref="C5:C68" ca="1" si="0">IF(RAND()&gt;=0.51,"muž","žena")</f>
        <v>žena</v>
      </c>
      <c r="D5" s="34">
        <f t="shared" ref="D5:D68" ca="1" si="1">ROUND(RAND()*60+18,0)</f>
        <v>45</v>
      </c>
      <c r="E5" s="34">
        <f t="shared" ref="E5:E68" ca="1" si="2">ROUND(RAND()*40+160,0)</f>
        <v>183</v>
      </c>
      <c r="F5" s="34">
        <f t="shared" ref="F5:F68" ca="1" si="3">ROUND(RAND()*60+50,0)</f>
        <v>67</v>
      </c>
      <c r="G5" s="28" t="str">
        <f t="shared" ref="G5:G68" ca="1" si="4">IF(RAND()&lt;0.25,"modrá",IF(RAND()&lt;0.5,"zelená",IF(RAND()&lt;0.75,"hnědá","černá")))</f>
        <v>zelená</v>
      </c>
      <c r="H5" s="30" t="b">
        <f t="shared" ref="H5:H68" ca="1" si="5">AND(C5="muž")</f>
        <v>0</v>
      </c>
      <c r="I5" t="b">
        <f t="shared" ref="I5:I68" ca="1" si="6">AND(C5="žena",D5&gt;28)</f>
        <v>1</v>
      </c>
      <c r="J5" t="b">
        <f t="shared" ref="J5:J68" ca="1" si="7">AND(C5="muž",E5&gt;160,E5&lt;182)</f>
        <v>0</v>
      </c>
      <c r="K5" t="b">
        <f t="shared" ref="K5:K68" ca="1" si="8">OR(E5&lt;175,G5="modrá")</f>
        <v>0</v>
      </c>
      <c r="L5" t="b">
        <f t="shared" ref="L5:L68" ca="1" si="9">OR(AND(C5="žena",E5&lt;170),AND(C5="muž",F5&gt;90))</f>
        <v>0</v>
      </c>
      <c r="M5" t="str">
        <f t="shared" ref="M5:M68" ca="1" si="10">IF(AND(C5="žena",E5&gt;180,F5&lt;63),"anorexie","---")</f>
        <v>---</v>
      </c>
    </row>
    <row r="6" spans="2:13" x14ac:dyDescent="0.15">
      <c r="B6" s="34">
        <v>3</v>
      </c>
      <c r="C6" s="34" t="str">
        <f t="shared" ca="1" si="0"/>
        <v>žena</v>
      </c>
      <c r="D6" s="34">
        <f t="shared" ca="1" si="1"/>
        <v>37</v>
      </c>
      <c r="E6" s="34">
        <f t="shared" ca="1" si="2"/>
        <v>195</v>
      </c>
      <c r="F6" s="34">
        <f t="shared" ca="1" si="3"/>
        <v>57</v>
      </c>
      <c r="G6" s="28" t="str">
        <f t="shared" ca="1" si="4"/>
        <v>modrá</v>
      </c>
      <c r="H6" s="30" t="b">
        <f t="shared" ca="1" si="5"/>
        <v>0</v>
      </c>
      <c r="I6" t="b">
        <f t="shared" ca="1" si="6"/>
        <v>1</v>
      </c>
      <c r="J6" t="b">
        <f t="shared" ca="1" si="7"/>
        <v>0</v>
      </c>
      <c r="K6" t="b">
        <f t="shared" ca="1" si="8"/>
        <v>1</v>
      </c>
      <c r="L6" t="b">
        <f t="shared" ca="1" si="9"/>
        <v>0</v>
      </c>
      <c r="M6" t="str">
        <f t="shared" ca="1" si="10"/>
        <v>anorexie</v>
      </c>
    </row>
    <row r="7" spans="2:13" x14ac:dyDescent="0.15">
      <c r="B7" s="34">
        <v>4</v>
      </c>
      <c r="C7" s="34" t="str">
        <f t="shared" ca="1" si="0"/>
        <v>žena</v>
      </c>
      <c r="D7" s="34">
        <f t="shared" ca="1" si="1"/>
        <v>66</v>
      </c>
      <c r="E7" s="34">
        <f t="shared" ca="1" si="2"/>
        <v>174</v>
      </c>
      <c r="F7" s="34">
        <f t="shared" ca="1" si="3"/>
        <v>107</v>
      </c>
      <c r="G7" s="28" t="str">
        <f t="shared" ca="1" si="4"/>
        <v>zelená</v>
      </c>
      <c r="H7" s="30" t="b">
        <f t="shared" ca="1" si="5"/>
        <v>0</v>
      </c>
      <c r="I7" t="b">
        <f t="shared" ca="1" si="6"/>
        <v>1</v>
      </c>
      <c r="J7" t="b">
        <f t="shared" ca="1" si="7"/>
        <v>0</v>
      </c>
      <c r="K7" t="b">
        <f t="shared" ca="1" si="8"/>
        <v>1</v>
      </c>
      <c r="L7" t="b">
        <f t="shared" ca="1" si="9"/>
        <v>0</v>
      </c>
      <c r="M7" t="str">
        <f t="shared" ca="1" si="10"/>
        <v>---</v>
      </c>
    </row>
    <row r="8" spans="2:13" x14ac:dyDescent="0.15">
      <c r="B8" s="34">
        <v>5</v>
      </c>
      <c r="C8" s="34" t="str">
        <f t="shared" ca="1" si="0"/>
        <v>žena</v>
      </c>
      <c r="D8" s="34">
        <f t="shared" ca="1" si="1"/>
        <v>38</v>
      </c>
      <c r="E8" s="34">
        <f t="shared" ca="1" si="2"/>
        <v>199</v>
      </c>
      <c r="F8" s="34">
        <f t="shared" ca="1" si="3"/>
        <v>80</v>
      </c>
      <c r="G8" s="28" t="str">
        <f t="shared" ca="1" si="4"/>
        <v>černá</v>
      </c>
      <c r="H8" s="30" t="b">
        <f t="shared" ca="1" si="5"/>
        <v>0</v>
      </c>
      <c r="I8" t="b">
        <f t="shared" ca="1" si="6"/>
        <v>1</v>
      </c>
      <c r="J8" t="b">
        <f t="shared" ca="1" si="7"/>
        <v>0</v>
      </c>
      <c r="K8" t="b">
        <f t="shared" ca="1" si="8"/>
        <v>0</v>
      </c>
      <c r="L8" t="b">
        <f t="shared" ca="1" si="9"/>
        <v>0</v>
      </c>
      <c r="M8" t="str">
        <f t="shared" ca="1" si="10"/>
        <v>---</v>
      </c>
    </row>
    <row r="9" spans="2:13" x14ac:dyDescent="0.15">
      <c r="B9" s="34">
        <v>6</v>
      </c>
      <c r="C9" s="34" t="str">
        <f t="shared" ca="1" si="0"/>
        <v>muž</v>
      </c>
      <c r="D9" s="34">
        <f t="shared" ca="1" si="1"/>
        <v>53</v>
      </c>
      <c r="E9" s="34">
        <f t="shared" ca="1" si="2"/>
        <v>163</v>
      </c>
      <c r="F9" s="34">
        <f t="shared" ca="1" si="3"/>
        <v>69</v>
      </c>
      <c r="G9" s="28" t="str">
        <f t="shared" ca="1" si="4"/>
        <v>modrá</v>
      </c>
      <c r="H9" s="30" t="b">
        <f t="shared" ca="1" si="5"/>
        <v>1</v>
      </c>
      <c r="I9" t="b">
        <f t="shared" ca="1" si="6"/>
        <v>0</v>
      </c>
      <c r="J9" t="b">
        <f t="shared" ca="1" si="7"/>
        <v>1</v>
      </c>
      <c r="K9" t="b">
        <f t="shared" ca="1" si="8"/>
        <v>1</v>
      </c>
      <c r="L9" t="b">
        <f t="shared" ca="1" si="9"/>
        <v>0</v>
      </c>
      <c r="M9" t="str">
        <f t="shared" ca="1" si="10"/>
        <v>---</v>
      </c>
    </row>
    <row r="10" spans="2:13" x14ac:dyDescent="0.15">
      <c r="B10" s="34">
        <v>7</v>
      </c>
      <c r="C10" s="34" t="str">
        <f t="shared" ca="1" si="0"/>
        <v>žena</v>
      </c>
      <c r="D10" s="34">
        <f t="shared" ca="1" si="1"/>
        <v>63</v>
      </c>
      <c r="E10" s="34">
        <f t="shared" ca="1" si="2"/>
        <v>199</v>
      </c>
      <c r="F10" s="34">
        <f t="shared" ca="1" si="3"/>
        <v>100</v>
      </c>
      <c r="G10" s="28" t="str">
        <f t="shared" ca="1" si="4"/>
        <v>modrá</v>
      </c>
      <c r="H10" s="30" t="b">
        <f t="shared" ca="1" si="5"/>
        <v>0</v>
      </c>
      <c r="I10" t="b">
        <f t="shared" ca="1" si="6"/>
        <v>1</v>
      </c>
      <c r="J10" t="b">
        <f t="shared" ca="1" si="7"/>
        <v>0</v>
      </c>
      <c r="K10" t="b">
        <f t="shared" ca="1" si="8"/>
        <v>1</v>
      </c>
      <c r="L10" t="b">
        <f t="shared" ca="1" si="9"/>
        <v>0</v>
      </c>
      <c r="M10" t="str">
        <f t="shared" ca="1" si="10"/>
        <v>---</v>
      </c>
    </row>
    <row r="11" spans="2:13" x14ac:dyDescent="0.15">
      <c r="B11" s="34">
        <v>8</v>
      </c>
      <c r="C11" s="34" t="str">
        <f t="shared" ca="1" si="0"/>
        <v>žena</v>
      </c>
      <c r="D11" s="34">
        <f t="shared" ca="1" si="1"/>
        <v>60</v>
      </c>
      <c r="E11" s="34">
        <f t="shared" ca="1" si="2"/>
        <v>182</v>
      </c>
      <c r="F11" s="34">
        <f t="shared" ca="1" si="3"/>
        <v>89</v>
      </c>
      <c r="G11" s="28" t="str">
        <f t="shared" ca="1" si="4"/>
        <v>hnědá</v>
      </c>
      <c r="H11" s="30" t="b">
        <f t="shared" ca="1" si="5"/>
        <v>0</v>
      </c>
      <c r="I11" t="b">
        <f t="shared" ca="1" si="6"/>
        <v>1</v>
      </c>
      <c r="J11" t="b">
        <f t="shared" ca="1" si="7"/>
        <v>0</v>
      </c>
      <c r="K11" t="b">
        <f t="shared" ca="1" si="8"/>
        <v>0</v>
      </c>
      <c r="L11" t="b">
        <f t="shared" ca="1" si="9"/>
        <v>0</v>
      </c>
      <c r="M11" t="str">
        <f t="shared" ca="1" si="10"/>
        <v>---</v>
      </c>
    </row>
    <row r="12" spans="2:13" x14ac:dyDescent="0.15">
      <c r="B12" s="34">
        <v>9</v>
      </c>
      <c r="C12" s="34" t="str">
        <f t="shared" ca="1" si="0"/>
        <v>žena</v>
      </c>
      <c r="D12" s="34">
        <f t="shared" ca="1" si="1"/>
        <v>63</v>
      </c>
      <c r="E12" s="34">
        <f t="shared" ca="1" si="2"/>
        <v>169</v>
      </c>
      <c r="F12" s="34">
        <f t="shared" ca="1" si="3"/>
        <v>91</v>
      </c>
      <c r="G12" s="28" t="str">
        <f t="shared" ca="1" si="4"/>
        <v>zelená</v>
      </c>
      <c r="H12" s="30" t="b">
        <f t="shared" ca="1" si="5"/>
        <v>0</v>
      </c>
      <c r="I12" t="b">
        <f t="shared" ca="1" si="6"/>
        <v>1</v>
      </c>
      <c r="J12" t="b">
        <f t="shared" ca="1" si="7"/>
        <v>0</v>
      </c>
      <c r="K12" t="b">
        <f t="shared" ca="1" si="8"/>
        <v>1</v>
      </c>
      <c r="L12" t="b">
        <f t="shared" ca="1" si="9"/>
        <v>1</v>
      </c>
      <c r="M12" t="str">
        <f t="shared" ca="1" si="10"/>
        <v>---</v>
      </c>
    </row>
    <row r="13" spans="2:13" x14ac:dyDescent="0.15">
      <c r="B13" s="34">
        <v>10</v>
      </c>
      <c r="C13" s="34" t="str">
        <f t="shared" ca="1" si="0"/>
        <v>muž</v>
      </c>
      <c r="D13" s="34">
        <f t="shared" ca="1" si="1"/>
        <v>55</v>
      </c>
      <c r="E13" s="34">
        <f t="shared" ca="1" si="2"/>
        <v>190</v>
      </c>
      <c r="F13" s="34">
        <f t="shared" ca="1" si="3"/>
        <v>69</v>
      </c>
      <c r="G13" s="28" t="str">
        <f t="shared" ca="1" si="4"/>
        <v>zelená</v>
      </c>
      <c r="H13" s="30" t="b">
        <f t="shared" ca="1" si="5"/>
        <v>1</v>
      </c>
      <c r="I13" t="b">
        <f t="shared" ca="1" si="6"/>
        <v>0</v>
      </c>
      <c r="J13" t="b">
        <f t="shared" ca="1" si="7"/>
        <v>0</v>
      </c>
      <c r="K13" t="b">
        <f t="shared" ca="1" si="8"/>
        <v>0</v>
      </c>
      <c r="L13" t="b">
        <f t="shared" ca="1" si="9"/>
        <v>0</v>
      </c>
      <c r="M13" t="str">
        <f t="shared" ca="1" si="10"/>
        <v>---</v>
      </c>
    </row>
    <row r="14" spans="2:13" x14ac:dyDescent="0.15">
      <c r="B14" s="34">
        <v>11</v>
      </c>
      <c r="C14" s="34" t="str">
        <f t="shared" ca="1" si="0"/>
        <v>žena</v>
      </c>
      <c r="D14" s="34">
        <f t="shared" ca="1" si="1"/>
        <v>30</v>
      </c>
      <c r="E14" s="34">
        <f t="shared" ca="1" si="2"/>
        <v>162</v>
      </c>
      <c r="F14" s="34">
        <f t="shared" ca="1" si="3"/>
        <v>71</v>
      </c>
      <c r="G14" s="28" t="str">
        <f t="shared" ca="1" si="4"/>
        <v>hnědá</v>
      </c>
      <c r="H14" s="30" t="b">
        <f t="shared" ca="1" si="5"/>
        <v>0</v>
      </c>
      <c r="I14" t="b">
        <f t="shared" ca="1" si="6"/>
        <v>1</v>
      </c>
      <c r="J14" t="b">
        <f t="shared" ca="1" si="7"/>
        <v>0</v>
      </c>
      <c r="K14" t="b">
        <f t="shared" ca="1" si="8"/>
        <v>1</v>
      </c>
      <c r="L14" t="b">
        <f t="shared" ca="1" si="9"/>
        <v>1</v>
      </c>
      <c r="M14" t="str">
        <f t="shared" ca="1" si="10"/>
        <v>---</v>
      </c>
    </row>
    <row r="15" spans="2:13" x14ac:dyDescent="0.15">
      <c r="B15" s="34">
        <v>12</v>
      </c>
      <c r="C15" s="34" t="str">
        <f t="shared" ca="1" si="0"/>
        <v>žena</v>
      </c>
      <c r="D15" s="34">
        <f t="shared" ca="1" si="1"/>
        <v>33</v>
      </c>
      <c r="E15" s="34">
        <f t="shared" ca="1" si="2"/>
        <v>190</v>
      </c>
      <c r="F15" s="34">
        <f t="shared" ca="1" si="3"/>
        <v>84</v>
      </c>
      <c r="G15" s="28" t="str">
        <f t="shared" ca="1" si="4"/>
        <v>zelená</v>
      </c>
      <c r="H15" s="30" t="b">
        <f t="shared" ca="1" si="5"/>
        <v>0</v>
      </c>
      <c r="I15" t="b">
        <f t="shared" ca="1" si="6"/>
        <v>1</v>
      </c>
      <c r="J15" t="b">
        <f t="shared" ca="1" si="7"/>
        <v>0</v>
      </c>
      <c r="K15" t="b">
        <f t="shared" ca="1" si="8"/>
        <v>0</v>
      </c>
      <c r="L15" t="b">
        <f t="shared" ca="1" si="9"/>
        <v>0</v>
      </c>
      <c r="M15" t="str">
        <f t="shared" ca="1" si="10"/>
        <v>---</v>
      </c>
    </row>
    <row r="16" spans="2:13" x14ac:dyDescent="0.15">
      <c r="B16" s="34">
        <v>13</v>
      </c>
      <c r="C16" s="34" t="str">
        <f t="shared" ca="1" si="0"/>
        <v>žena</v>
      </c>
      <c r="D16" s="34">
        <f t="shared" ca="1" si="1"/>
        <v>23</v>
      </c>
      <c r="E16" s="34">
        <f t="shared" ca="1" si="2"/>
        <v>198</v>
      </c>
      <c r="F16" s="34">
        <f t="shared" ca="1" si="3"/>
        <v>71</v>
      </c>
      <c r="G16" s="28" t="str">
        <f t="shared" ca="1" si="4"/>
        <v>hnědá</v>
      </c>
      <c r="H16" s="30" t="b">
        <f t="shared" ca="1" si="5"/>
        <v>0</v>
      </c>
      <c r="I16" t="b">
        <f t="shared" ca="1" si="6"/>
        <v>0</v>
      </c>
      <c r="J16" t="b">
        <f t="shared" ca="1" si="7"/>
        <v>0</v>
      </c>
      <c r="K16" t="b">
        <f t="shared" ca="1" si="8"/>
        <v>0</v>
      </c>
      <c r="L16" t="b">
        <f t="shared" ca="1" si="9"/>
        <v>0</v>
      </c>
      <c r="M16" t="str">
        <f t="shared" ca="1" si="10"/>
        <v>---</v>
      </c>
    </row>
    <row r="17" spans="2:13" x14ac:dyDescent="0.15">
      <c r="B17" s="34">
        <v>14</v>
      </c>
      <c r="C17" s="34" t="str">
        <f t="shared" ca="1" si="0"/>
        <v>žena</v>
      </c>
      <c r="D17" s="34">
        <f t="shared" ca="1" si="1"/>
        <v>76</v>
      </c>
      <c r="E17" s="34">
        <f t="shared" ca="1" si="2"/>
        <v>173</v>
      </c>
      <c r="F17" s="34">
        <f t="shared" ca="1" si="3"/>
        <v>102</v>
      </c>
      <c r="G17" s="28" t="str">
        <f t="shared" ca="1" si="4"/>
        <v>zelená</v>
      </c>
      <c r="H17" s="30" t="b">
        <f t="shared" ca="1" si="5"/>
        <v>0</v>
      </c>
      <c r="I17" t="b">
        <f t="shared" ca="1" si="6"/>
        <v>1</v>
      </c>
      <c r="J17" t="b">
        <f t="shared" ca="1" si="7"/>
        <v>0</v>
      </c>
      <c r="K17" t="b">
        <f t="shared" ca="1" si="8"/>
        <v>1</v>
      </c>
      <c r="L17" t="b">
        <f t="shared" ca="1" si="9"/>
        <v>0</v>
      </c>
      <c r="M17" t="str">
        <f t="shared" ca="1" si="10"/>
        <v>---</v>
      </c>
    </row>
    <row r="18" spans="2:13" x14ac:dyDescent="0.15">
      <c r="B18" s="34">
        <v>15</v>
      </c>
      <c r="C18" s="34" t="str">
        <f t="shared" ca="1" si="0"/>
        <v>muž</v>
      </c>
      <c r="D18" s="34">
        <f t="shared" ca="1" si="1"/>
        <v>53</v>
      </c>
      <c r="E18" s="34">
        <f t="shared" ca="1" si="2"/>
        <v>181</v>
      </c>
      <c r="F18" s="34">
        <f t="shared" ca="1" si="3"/>
        <v>61</v>
      </c>
      <c r="G18" s="28" t="str">
        <f t="shared" ca="1" si="4"/>
        <v>modrá</v>
      </c>
      <c r="H18" s="30" t="b">
        <f t="shared" ca="1" si="5"/>
        <v>1</v>
      </c>
      <c r="I18" t="b">
        <f t="shared" ca="1" si="6"/>
        <v>0</v>
      </c>
      <c r="J18" t="b">
        <f t="shared" ca="1" si="7"/>
        <v>1</v>
      </c>
      <c r="K18" t="b">
        <f t="shared" ca="1" si="8"/>
        <v>1</v>
      </c>
      <c r="L18" t="b">
        <f t="shared" ca="1" si="9"/>
        <v>0</v>
      </c>
      <c r="M18" t="str">
        <f t="shared" ca="1" si="10"/>
        <v>---</v>
      </c>
    </row>
    <row r="19" spans="2:13" x14ac:dyDescent="0.15">
      <c r="B19" s="34">
        <v>16</v>
      </c>
      <c r="C19" s="34" t="str">
        <f t="shared" ca="1" si="0"/>
        <v>muž</v>
      </c>
      <c r="D19" s="34">
        <f t="shared" ca="1" si="1"/>
        <v>72</v>
      </c>
      <c r="E19" s="34">
        <f t="shared" ca="1" si="2"/>
        <v>168</v>
      </c>
      <c r="F19" s="34">
        <f t="shared" ca="1" si="3"/>
        <v>96</v>
      </c>
      <c r="G19" s="28" t="str">
        <f t="shared" ca="1" si="4"/>
        <v>hnědá</v>
      </c>
      <c r="H19" s="30" t="b">
        <f t="shared" ca="1" si="5"/>
        <v>1</v>
      </c>
      <c r="I19" t="b">
        <f t="shared" ca="1" si="6"/>
        <v>0</v>
      </c>
      <c r="J19" t="b">
        <f t="shared" ca="1" si="7"/>
        <v>1</v>
      </c>
      <c r="K19" t="b">
        <f t="shared" ca="1" si="8"/>
        <v>1</v>
      </c>
      <c r="L19" t="b">
        <f t="shared" ca="1" si="9"/>
        <v>1</v>
      </c>
      <c r="M19" t="str">
        <f t="shared" ca="1" si="10"/>
        <v>---</v>
      </c>
    </row>
    <row r="20" spans="2:13" x14ac:dyDescent="0.15">
      <c r="B20" s="34">
        <v>17</v>
      </c>
      <c r="C20" s="34" t="str">
        <f t="shared" ca="1" si="0"/>
        <v>muž</v>
      </c>
      <c r="D20" s="34">
        <f t="shared" ca="1" si="1"/>
        <v>46</v>
      </c>
      <c r="E20" s="34">
        <f t="shared" ca="1" si="2"/>
        <v>172</v>
      </c>
      <c r="F20" s="34">
        <f t="shared" ca="1" si="3"/>
        <v>68</v>
      </c>
      <c r="G20" s="28" t="str">
        <f t="shared" ca="1" si="4"/>
        <v>černá</v>
      </c>
      <c r="H20" s="30" t="b">
        <f t="shared" ca="1" si="5"/>
        <v>1</v>
      </c>
      <c r="I20" t="b">
        <f t="shared" ca="1" si="6"/>
        <v>0</v>
      </c>
      <c r="J20" t="b">
        <f t="shared" ca="1" si="7"/>
        <v>1</v>
      </c>
      <c r="K20" t="b">
        <f t="shared" ca="1" si="8"/>
        <v>1</v>
      </c>
      <c r="L20" t="b">
        <f t="shared" ca="1" si="9"/>
        <v>0</v>
      </c>
      <c r="M20" t="str">
        <f t="shared" ca="1" si="10"/>
        <v>---</v>
      </c>
    </row>
    <row r="21" spans="2:13" x14ac:dyDescent="0.15">
      <c r="B21" s="34">
        <v>18</v>
      </c>
      <c r="C21" s="34" t="str">
        <f t="shared" ca="1" si="0"/>
        <v>muž</v>
      </c>
      <c r="D21" s="34">
        <f t="shared" ca="1" si="1"/>
        <v>71</v>
      </c>
      <c r="E21" s="34">
        <f t="shared" ca="1" si="2"/>
        <v>188</v>
      </c>
      <c r="F21" s="34">
        <f t="shared" ca="1" si="3"/>
        <v>84</v>
      </c>
      <c r="G21" s="28" t="str">
        <f t="shared" ca="1" si="4"/>
        <v>modrá</v>
      </c>
      <c r="H21" s="30" t="b">
        <f t="shared" ca="1" si="5"/>
        <v>1</v>
      </c>
      <c r="I21" t="b">
        <f t="shared" ca="1" si="6"/>
        <v>0</v>
      </c>
      <c r="J21" t="b">
        <f t="shared" ca="1" si="7"/>
        <v>0</v>
      </c>
      <c r="K21" t="b">
        <f t="shared" ca="1" si="8"/>
        <v>1</v>
      </c>
      <c r="L21" t="b">
        <f t="shared" ca="1" si="9"/>
        <v>0</v>
      </c>
      <c r="M21" t="str">
        <f t="shared" ca="1" si="10"/>
        <v>---</v>
      </c>
    </row>
    <row r="22" spans="2:13" x14ac:dyDescent="0.15">
      <c r="B22" s="34">
        <v>19</v>
      </c>
      <c r="C22" s="34" t="str">
        <f t="shared" ca="1" si="0"/>
        <v>žena</v>
      </c>
      <c r="D22" s="34">
        <f t="shared" ca="1" si="1"/>
        <v>77</v>
      </c>
      <c r="E22" s="34">
        <f t="shared" ca="1" si="2"/>
        <v>184</v>
      </c>
      <c r="F22" s="34">
        <f t="shared" ca="1" si="3"/>
        <v>80</v>
      </c>
      <c r="G22" s="28" t="str">
        <f t="shared" ca="1" si="4"/>
        <v>hnědá</v>
      </c>
      <c r="H22" s="30" t="b">
        <f t="shared" ca="1" si="5"/>
        <v>0</v>
      </c>
      <c r="I22" t="b">
        <f t="shared" ca="1" si="6"/>
        <v>1</v>
      </c>
      <c r="J22" t="b">
        <f t="shared" ca="1" si="7"/>
        <v>0</v>
      </c>
      <c r="K22" t="b">
        <f t="shared" ca="1" si="8"/>
        <v>0</v>
      </c>
      <c r="L22" t="b">
        <f t="shared" ca="1" si="9"/>
        <v>0</v>
      </c>
      <c r="M22" t="str">
        <f t="shared" ca="1" si="10"/>
        <v>---</v>
      </c>
    </row>
    <row r="23" spans="2:13" x14ac:dyDescent="0.15">
      <c r="B23" s="34">
        <v>20</v>
      </c>
      <c r="C23" s="34" t="str">
        <f t="shared" ca="1" si="0"/>
        <v>žena</v>
      </c>
      <c r="D23" s="34">
        <f t="shared" ca="1" si="1"/>
        <v>60</v>
      </c>
      <c r="E23" s="34">
        <f t="shared" ca="1" si="2"/>
        <v>187</v>
      </c>
      <c r="F23" s="34">
        <f t="shared" ca="1" si="3"/>
        <v>50</v>
      </c>
      <c r="G23" s="28" t="str">
        <f t="shared" ca="1" si="4"/>
        <v>hnědá</v>
      </c>
      <c r="H23" s="30" t="b">
        <f t="shared" ca="1" si="5"/>
        <v>0</v>
      </c>
      <c r="I23" t="b">
        <f t="shared" ca="1" si="6"/>
        <v>1</v>
      </c>
      <c r="J23" t="b">
        <f t="shared" ca="1" si="7"/>
        <v>0</v>
      </c>
      <c r="K23" t="b">
        <f t="shared" ca="1" si="8"/>
        <v>0</v>
      </c>
      <c r="L23" t="b">
        <f t="shared" ca="1" si="9"/>
        <v>0</v>
      </c>
      <c r="M23" t="str">
        <f t="shared" ca="1" si="10"/>
        <v>anorexie</v>
      </c>
    </row>
    <row r="24" spans="2:13" x14ac:dyDescent="0.15">
      <c r="B24" s="34">
        <v>21</v>
      </c>
      <c r="C24" s="34" t="str">
        <f t="shared" ca="1" si="0"/>
        <v>žena</v>
      </c>
      <c r="D24" s="34">
        <f t="shared" ca="1" si="1"/>
        <v>25</v>
      </c>
      <c r="E24" s="34">
        <f t="shared" ca="1" si="2"/>
        <v>199</v>
      </c>
      <c r="F24" s="34">
        <f t="shared" ca="1" si="3"/>
        <v>52</v>
      </c>
      <c r="G24" s="28" t="str">
        <f t="shared" ca="1" si="4"/>
        <v>zelená</v>
      </c>
      <c r="H24" s="30" t="b">
        <f t="shared" ca="1" si="5"/>
        <v>0</v>
      </c>
      <c r="I24" t="b">
        <f t="shared" ca="1" si="6"/>
        <v>0</v>
      </c>
      <c r="J24" t="b">
        <f t="shared" ca="1" si="7"/>
        <v>0</v>
      </c>
      <c r="K24" t="b">
        <f t="shared" ca="1" si="8"/>
        <v>0</v>
      </c>
      <c r="L24" t="b">
        <f t="shared" ca="1" si="9"/>
        <v>0</v>
      </c>
      <c r="M24" t="str">
        <f t="shared" ca="1" si="10"/>
        <v>anorexie</v>
      </c>
    </row>
    <row r="25" spans="2:13" x14ac:dyDescent="0.15">
      <c r="B25" s="34">
        <v>22</v>
      </c>
      <c r="C25" s="34" t="str">
        <f t="shared" ca="1" si="0"/>
        <v>žena</v>
      </c>
      <c r="D25" s="34">
        <f t="shared" ca="1" si="1"/>
        <v>57</v>
      </c>
      <c r="E25" s="34">
        <f t="shared" ca="1" si="2"/>
        <v>172</v>
      </c>
      <c r="F25" s="34">
        <f t="shared" ca="1" si="3"/>
        <v>76</v>
      </c>
      <c r="G25" s="28" t="str">
        <f t="shared" ca="1" si="4"/>
        <v>zelená</v>
      </c>
      <c r="H25" s="30" t="b">
        <f t="shared" ca="1" si="5"/>
        <v>0</v>
      </c>
      <c r="I25" t="b">
        <f t="shared" ca="1" si="6"/>
        <v>1</v>
      </c>
      <c r="J25" t="b">
        <f t="shared" ca="1" si="7"/>
        <v>0</v>
      </c>
      <c r="K25" t="b">
        <f t="shared" ca="1" si="8"/>
        <v>1</v>
      </c>
      <c r="L25" t="b">
        <f t="shared" ca="1" si="9"/>
        <v>0</v>
      </c>
      <c r="M25" t="str">
        <f t="shared" ca="1" si="10"/>
        <v>---</v>
      </c>
    </row>
    <row r="26" spans="2:13" x14ac:dyDescent="0.15">
      <c r="B26" s="34">
        <v>23</v>
      </c>
      <c r="C26" s="34" t="str">
        <f t="shared" ca="1" si="0"/>
        <v>žena</v>
      </c>
      <c r="D26" s="34">
        <f t="shared" ca="1" si="1"/>
        <v>32</v>
      </c>
      <c r="E26" s="34">
        <f t="shared" ca="1" si="2"/>
        <v>199</v>
      </c>
      <c r="F26" s="34">
        <f t="shared" ca="1" si="3"/>
        <v>75</v>
      </c>
      <c r="G26" s="28" t="str">
        <f t="shared" ca="1" si="4"/>
        <v>modrá</v>
      </c>
      <c r="H26" s="30" t="b">
        <f t="shared" ca="1" si="5"/>
        <v>0</v>
      </c>
      <c r="I26" t="b">
        <f t="shared" ca="1" si="6"/>
        <v>1</v>
      </c>
      <c r="J26" t="b">
        <f t="shared" ca="1" si="7"/>
        <v>0</v>
      </c>
      <c r="K26" t="b">
        <f t="shared" ca="1" si="8"/>
        <v>1</v>
      </c>
      <c r="L26" t="b">
        <f t="shared" ca="1" si="9"/>
        <v>0</v>
      </c>
      <c r="M26" t="str">
        <f t="shared" ca="1" si="10"/>
        <v>---</v>
      </c>
    </row>
    <row r="27" spans="2:13" x14ac:dyDescent="0.15">
      <c r="B27" s="34">
        <v>24</v>
      </c>
      <c r="C27" s="34" t="str">
        <f t="shared" ca="1" si="0"/>
        <v>muž</v>
      </c>
      <c r="D27" s="34">
        <f t="shared" ca="1" si="1"/>
        <v>71</v>
      </c>
      <c r="E27" s="34">
        <f t="shared" ca="1" si="2"/>
        <v>179</v>
      </c>
      <c r="F27" s="34">
        <f t="shared" ca="1" si="3"/>
        <v>56</v>
      </c>
      <c r="G27" s="28" t="str">
        <f t="shared" ca="1" si="4"/>
        <v>černá</v>
      </c>
      <c r="H27" s="30" t="b">
        <f t="shared" ca="1" si="5"/>
        <v>1</v>
      </c>
      <c r="I27" t="b">
        <f t="shared" ca="1" si="6"/>
        <v>0</v>
      </c>
      <c r="J27" t="b">
        <f t="shared" ca="1" si="7"/>
        <v>1</v>
      </c>
      <c r="K27" t="b">
        <f t="shared" ca="1" si="8"/>
        <v>0</v>
      </c>
      <c r="L27" t="b">
        <f t="shared" ca="1" si="9"/>
        <v>0</v>
      </c>
      <c r="M27" t="str">
        <f t="shared" ca="1" si="10"/>
        <v>---</v>
      </c>
    </row>
    <row r="28" spans="2:13" x14ac:dyDescent="0.15">
      <c r="B28" s="34">
        <v>25</v>
      </c>
      <c r="C28" s="34" t="str">
        <f t="shared" ca="1" si="0"/>
        <v>muž</v>
      </c>
      <c r="D28" s="34">
        <f t="shared" ca="1" si="1"/>
        <v>76</v>
      </c>
      <c r="E28" s="34">
        <f t="shared" ca="1" si="2"/>
        <v>189</v>
      </c>
      <c r="F28" s="34">
        <f t="shared" ca="1" si="3"/>
        <v>51</v>
      </c>
      <c r="G28" s="28" t="str">
        <f t="shared" ca="1" si="4"/>
        <v>zelená</v>
      </c>
      <c r="H28" s="30" t="b">
        <f t="shared" ca="1" si="5"/>
        <v>1</v>
      </c>
      <c r="I28" t="b">
        <f t="shared" ca="1" si="6"/>
        <v>0</v>
      </c>
      <c r="J28" t="b">
        <f t="shared" ca="1" si="7"/>
        <v>0</v>
      </c>
      <c r="K28" t="b">
        <f t="shared" ca="1" si="8"/>
        <v>0</v>
      </c>
      <c r="L28" t="b">
        <f t="shared" ca="1" si="9"/>
        <v>0</v>
      </c>
      <c r="M28" t="str">
        <f t="shared" ca="1" si="10"/>
        <v>---</v>
      </c>
    </row>
    <row r="29" spans="2:13" x14ac:dyDescent="0.15">
      <c r="B29" s="34">
        <v>26</v>
      </c>
      <c r="C29" s="34" t="str">
        <f t="shared" ca="1" si="0"/>
        <v>muž</v>
      </c>
      <c r="D29" s="34">
        <f t="shared" ca="1" si="1"/>
        <v>50</v>
      </c>
      <c r="E29" s="34">
        <f t="shared" ca="1" si="2"/>
        <v>164</v>
      </c>
      <c r="F29" s="34">
        <f t="shared" ca="1" si="3"/>
        <v>63</v>
      </c>
      <c r="G29" s="28" t="str">
        <f t="shared" ca="1" si="4"/>
        <v>modrá</v>
      </c>
      <c r="H29" s="30" t="b">
        <f t="shared" ca="1" si="5"/>
        <v>1</v>
      </c>
      <c r="I29" t="b">
        <f t="shared" ca="1" si="6"/>
        <v>0</v>
      </c>
      <c r="J29" t="b">
        <f t="shared" ca="1" si="7"/>
        <v>1</v>
      </c>
      <c r="K29" t="b">
        <f t="shared" ca="1" si="8"/>
        <v>1</v>
      </c>
      <c r="L29" t="b">
        <f t="shared" ca="1" si="9"/>
        <v>0</v>
      </c>
      <c r="M29" t="str">
        <f t="shared" ca="1" si="10"/>
        <v>---</v>
      </c>
    </row>
    <row r="30" spans="2:13" x14ac:dyDescent="0.15">
      <c r="B30" s="34">
        <v>27</v>
      </c>
      <c r="C30" s="34" t="str">
        <f t="shared" ca="1" si="0"/>
        <v>žena</v>
      </c>
      <c r="D30" s="34">
        <f t="shared" ca="1" si="1"/>
        <v>38</v>
      </c>
      <c r="E30" s="34">
        <f t="shared" ca="1" si="2"/>
        <v>196</v>
      </c>
      <c r="F30" s="34">
        <f t="shared" ca="1" si="3"/>
        <v>74</v>
      </c>
      <c r="G30" s="28" t="str">
        <f t="shared" ca="1" si="4"/>
        <v>zelená</v>
      </c>
      <c r="H30" s="30" t="b">
        <f t="shared" ca="1" si="5"/>
        <v>0</v>
      </c>
      <c r="I30" t="b">
        <f t="shared" ca="1" si="6"/>
        <v>1</v>
      </c>
      <c r="J30" t="b">
        <f t="shared" ca="1" si="7"/>
        <v>0</v>
      </c>
      <c r="K30" t="b">
        <f t="shared" ca="1" si="8"/>
        <v>0</v>
      </c>
      <c r="L30" t="b">
        <f t="shared" ca="1" si="9"/>
        <v>0</v>
      </c>
      <c r="M30" t="str">
        <f t="shared" ca="1" si="10"/>
        <v>---</v>
      </c>
    </row>
    <row r="31" spans="2:13" x14ac:dyDescent="0.15">
      <c r="B31" s="34">
        <v>28</v>
      </c>
      <c r="C31" s="34" t="str">
        <f t="shared" ca="1" si="0"/>
        <v>žena</v>
      </c>
      <c r="D31" s="34">
        <f t="shared" ca="1" si="1"/>
        <v>20</v>
      </c>
      <c r="E31" s="34">
        <f t="shared" ca="1" si="2"/>
        <v>190</v>
      </c>
      <c r="F31" s="34">
        <f t="shared" ca="1" si="3"/>
        <v>96</v>
      </c>
      <c r="G31" s="28" t="str">
        <f t="shared" ca="1" si="4"/>
        <v>hnědá</v>
      </c>
      <c r="H31" s="30" t="b">
        <f t="shared" ca="1" si="5"/>
        <v>0</v>
      </c>
      <c r="I31" t="b">
        <f t="shared" ca="1" si="6"/>
        <v>0</v>
      </c>
      <c r="J31" t="b">
        <f t="shared" ca="1" si="7"/>
        <v>0</v>
      </c>
      <c r="K31" t="b">
        <f t="shared" ca="1" si="8"/>
        <v>0</v>
      </c>
      <c r="L31" t="b">
        <f t="shared" ca="1" si="9"/>
        <v>0</v>
      </c>
      <c r="M31" t="str">
        <f t="shared" ca="1" si="10"/>
        <v>---</v>
      </c>
    </row>
    <row r="32" spans="2:13" x14ac:dyDescent="0.15">
      <c r="B32" s="34">
        <v>29</v>
      </c>
      <c r="C32" s="34" t="str">
        <f t="shared" ca="1" si="0"/>
        <v>muž</v>
      </c>
      <c r="D32" s="34">
        <f t="shared" ca="1" si="1"/>
        <v>58</v>
      </c>
      <c r="E32" s="34">
        <f t="shared" ca="1" si="2"/>
        <v>167</v>
      </c>
      <c r="F32" s="34">
        <f t="shared" ca="1" si="3"/>
        <v>82</v>
      </c>
      <c r="G32" s="28" t="str">
        <f t="shared" ca="1" si="4"/>
        <v>hnědá</v>
      </c>
      <c r="H32" s="30" t="b">
        <f t="shared" ca="1" si="5"/>
        <v>1</v>
      </c>
      <c r="I32" t="b">
        <f t="shared" ca="1" si="6"/>
        <v>0</v>
      </c>
      <c r="J32" t="b">
        <f t="shared" ca="1" si="7"/>
        <v>1</v>
      </c>
      <c r="K32" t="b">
        <f t="shared" ca="1" si="8"/>
        <v>1</v>
      </c>
      <c r="L32" t="b">
        <f t="shared" ca="1" si="9"/>
        <v>0</v>
      </c>
      <c r="M32" t="str">
        <f t="shared" ca="1" si="10"/>
        <v>---</v>
      </c>
    </row>
    <row r="33" spans="2:13" x14ac:dyDescent="0.15">
      <c r="B33" s="34">
        <v>30</v>
      </c>
      <c r="C33" s="34" t="str">
        <f t="shared" ca="1" si="0"/>
        <v>žena</v>
      </c>
      <c r="D33" s="34">
        <f t="shared" ca="1" si="1"/>
        <v>70</v>
      </c>
      <c r="E33" s="34">
        <f t="shared" ca="1" si="2"/>
        <v>189</v>
      </c>
      <c r="F33" s="34">
        <f t="shared" ca="1" si="3"/>
        <v>79</v>
      </c>
      <c r="G33" s="28" t="str">
        <f t="shared" ca="1" si="4"/>
        <v>černá</v>
      </c>
      <c r="H33" s="30" t="b">
        <f t="shared" ca="1" si="5"/>
        <v>0</v>
      </c>
      <c r="I33" t="b">
        <f t="shared" ca="1" si="6"/>
        <v>1</v>
      </c>
      <c r="J33" t="b">
        <f t="shared" ca="1" si="7"/>
        <v>0</v>
      </c>
      <c r="K33" t="b">
        <f t="shared" ca="1" si="8"/>
        <v>0</v>
      </c>
      <c r="L33" t="b">
        <f t="shared" ca="1" si="9"/>
        <v>0</v>
      </c>
      <c r="M33" t="str">
        <f t="shared" ca="1" si="10"/>
        <v>---</v>
      </c>
    </row>
    <row r="34" spans="2:13" x14ac:dyDescent="0.15">
      <c r="B34" s="34">
        <v>31</v>
      </c>
      <c r="C34" s="34" t="str">
        <f t="shared" ca="1" si="0"/>
        <v>muž</v>
      </c>
      <c r="D34" s="34">
        <f t="shared" ca="1" si="1"/>
        <v>18</v>
      </c>
      <c r="E34" s="34">
        <f t="shared" ca="1" si="2"/>
        <v>183</v>
      </c>
      <c r="F34" s="34">
        <f t="shared" ca="1" si="3"/>
        <v>97</v>
      </c>
      <c r="G34" s="28" t="str">
        <f t="shared" ca="1" si="4"/>
        <v>hnědá</v>
      </c>
      <c r="H34" s="30" t="b">
        <f t="shared" ca="1" si="5"/>
        <v>1</v>
      </c>
      <c r="I34" t="b">
        <f t="shared" ca="1" si="6"/>
        <v>0</v>
      </c>
      <c r="J34" t="b">
        <f t="shared" ca="1" si="7"/>
        <v>0</v>
      </c>
      <c r="K34" t="b">
        <f t="shared" ca="1" si="8"/>
        <v>0</v>
      </c>
      <c r="L34" t="b">
        <f t="shared" ca="1" si="9"/>
        <v>1</v>
      </c>
      <c r="M34" t="str">
        <f t="shared" ca="1" si="10"/>
        <v>---</v>
      </c>
    </row>
    <row r="35" spans="2:13" x14ac:dyDescent="0.15">
      <c r="B35" s="34">
        <v>32</v>
      </c>
      <c r="C35" s="34" t="str">
        <f t="shared" ca="1" si="0"/>
        <v>muž</v>
      </c>
      <c r="D35" s="34">
        <f t="shared" ca="1" si="1"/>
        <v>30</v>
      </c>
      <c r="E35" s="34">
        <f t="shared" ca="1" si="2"/>
        <v>195</v>
      </c>
      <c r="F35" s="34">
        <f t="shared" ca="1" si="3"/>
        <v>77</v>
      </c>
      <c r="G35" s="28" t="str">
        <f t="shared" ca="1" si="4"/>
        <v>modrá</v>
      </c>
      <c r="H35" s="30" t="b">
        <f t="shared" ca="1" si="5"/>
        <v>1</v>
      </c>
      <c r="I35" t="b">
        <f t="shared" ca="1" si="6"/>
        <v>0</v>
      </c>
      <c r="J35" t="b">
        <f t="shared" ca="1" si="7"/>
        <v>0</v>
      </c>
      <c r="K35" t="b">
        <f t="shared" ca="1" si="8"/>
        <v>1</v>
      </c>
      <c r="L35" t="b">
        <f t="shared" ca="1" si="9"/>
        <v>0</v>
      </c>
      <c r="M35" t="str">
        <f t="shared" ca="1" si="10"/>
        <v>---</v>
      </c>
    </row>
    <row r="36" spans="2:13" x14ac:dyDescent="0.15">
      <c r="B36" s="34">
        <v>33</v>
      </c>
      <c r="C36" s="34" t="str">
        <f t="shared" ca="1" si="0"/>
        <v>muž</v>
      </c>
      <c r="D36" s="34">
        <f t="shared" ca="1" si="1"/>
        <v>38</v>
      </c>
      <c r="E36" s="34">
        <f t="shared" ca="1" si="2"/>
        <v>189</v>
      </c>
      <c r="F36" s="34">
        <f t="shared" ca="1" si="3"/>
        <v>77</v>
      </c>
      <c r="G36" s="28" t="str">
        <f t="shared" ca="1" si="4"/>
        <v>zelená</v>
      </c>
      <c r="H36" s="30" t="b">
        <f t="shared" ca="1" si="5"/>
        <v>1</v>
      </c>
      <c r="I36" t="b">
        <f t="shared" ca="1" si="6"/>
        <v>0</v>
      </c>
      <c r="J36" t="b">
        <f t="shared" ca="1" si="7"/>
        <v>0</v>
      </c>
      <c r="K36" t="b">
        <f t="shared" ca="1" si="8"/>
        <v>0</v>
      </c>
      <c r="L36" t="b">
        <f t="shared" ca="1" si="9"/>
        <v>0</v>
      </c>
      <c r="M36" t="str">
        <f t="shared" ca="1" si="10"/>
        <v>---</v>
      </c>
    </row>
    <row r="37" spans="2:13" x14ac:dyDescent="0.15">
      <c r="B37" s="34">
        <v>34</v>
      </c>
      <c r="C37" s="34" t="str">
        <f t="shared" ca="1" si="0"/>
        <v>muž</v>
      </c>
      <c r="D37" s="34">
        <f t="shared" ca="1" si="1"/>
        <v>24</v>
      </c>
      <c r="E37" s="34">
        <f t="shared" ca="1" si="2"/>
        <v>195</v>
      </c>
      <c r="F37" s="34">
        <f t="shared" ca="1" si="3"/>
        <v>69</v>
      </c>
      <c r="G37" s="28" t="str">
        <f t="shared" ca="1" si="4"/>
        <v>hnědá</v>
      </c>
      <c r="H37" s="30" t="b">
        <f t="shared" ca="1" si="5"/>
        <v>1</v>
      </c>
      <c r="I37" t="b">
        <f t="shared" ca="1" si="6"/>
        <v>0</v>
      </c>
      <c r="J37" t="b">
        <f t="shared" ca="1" si="7"/>
        <v>0</v>
      </c>
      <c r="K37" t="b">
        <f t="shared" ca="1" si="8"/>
        <v>0</v>
      </c>
      <c r="L37" t="b">
        <f t="shared" ca="1" si="9"/>
        <v>0</v>
      </c>
      <c r="M37" t="str">
        <f t="shared" ca="1" si="10"/>
        <v>---</v>
      </c>
    </row>
    <row r="38" spans="2:13" x14ac:dyDescent="0.15">
      <c r="B38" s="34">
        <v>35</v>
      </c>
      <c r="C38" s="34" t="str">
        <f t="shared" ca="1" si="0"/>
        <v>žena</v>
      </c>
      <c r="D38" s="34">
        <f t="shared" ca="1" si="1"/>
        <v>20</v>
      </c>
      <c r="E38" s="34">
        <f t="shared" ca="1" si="2"/>
        <v>174</v>
      </c>
      <c r="F38" s="34">
        <f t="shared" ca="1" si="3"/>
        <v>61</v>
      </c>
      <c r="G38" s="28" t="str">
        <f t="shared" ca="1" si="4"/>
        <v>zelená</v>
      </c>
      <c r="H38" s="30" t="b">
        <f t="shared" ca="1" si="5"/>
        <v>0</v>
      </c>
      <c r="I38" t="b">
        <f t="shared" ca="1" si="6"/>
        <v>0</v>
      </c>
      <c r="J38" t="b">
        <f t="shared" ca="1" si="7"/>
        <v>0</v>
      </c>
      <c r="K38" t="b">
        <f t="shared" ca="1" si="8"/>
        <v>1</v>
      </c>
      <c r="L38" t="b">
        <f t="shared" ca="1" si="9"/>
        <v>0</v>
      </c>
      <c r="M38" t="str">
        <f t="shared" ca="1" si="10"/>
        <v>---</v>
      </c>
    </row>
    <row r="39" spans="2:13" x14ac:dyDescent="0.15">
      <c r="B39" s="34">
        <v>36</v>
      </c>
      <c r="C39" s="34" t="str">
        <f t="shared" ca="1" si="0"/>
        <v>žena</v>
      </c>
      <c r="D39" s="34">
        <f t="shared" ca="1" si="1"/>
        <v>55</v>
      </c>
      <c r="E39" s="34">
        <f t="shared" ca="1" si="2"/>
        <v>196</v>
      </c>
      <c r="F39" s="34">
        <f t="shared" ca="1" si="3"/>
        <v>64</v>
      </c>
      <c r="G39" s="28" t="str">
        <f t="shared" ca="1" si="4"/>
        <v>zelená</v>
      </c>
      <c r="H39" s="30" t="b">
        <f t="shared" ca="1" si="5"/>
        <v>0</v>
      </c>
      <c r="I39" t="b">
        <f t="shared" ca="1" si="6"/>
        <v>1</v>
      </c>
      <c r="J39" t="b">
        <f t="shared" ca="1" si="7"/>
        <v>0</v>
      </c>
      <c r="K39" t="b">
        <f t="shared" ca="1" si="8"/>
        <v>0</v>
      </c>
      <c r="L39" t="b">
        <f t="shared" ca="1" si="9"/>
        <v>0</v>
      </c>
      <c r="M39" t="str">
        <f t="shared" ca="1" si="10"/>
        <v>---</v>
      </c>
    </row>
    <row r="40" spans="2:13" x14ac:dyDescent="0.15">
      <c r="B40" s="34">
        <v>37</v>
      </c>
      <c r="C40" s="34" t="str">
        <f t="shared" ca="1" si="0"/>
        <v>muž</v>
      </c>
      <c r="D40" s="34">
        <f t="shared" ca="1" si="1"/>
        <v>70</v>
      </c>
      <c r="E40" s="34">
        <f t="shared" ca="1" si="2"/>
        <v>162</v>
      </c>
      <c r="F40" s="34">
        <f t="shared" ca="1" si="3"/>
        <v>81</v>
      </c>
      <c r="G40" s="28" t="str">
        <f t="shared" ca="1" si="4"/>
        <v>zelená</v>
      </c>
      <c r="H40" s="30" t="b">
        <f t="shared" ca="1" si="5"/>
        <v>1</v>
      </c>
      <c r="I40" t="b">
        <f t="shared" ca="1" si="6"/>
        <v>0</v>
      </c>
      <c r="J40" t="b">
        <f t="shared" ca="1" si="7"/>
        <v>1</v>
      </c>
      <c r="K40" t="b">
        <f t="shared" ca="1" si="8"/>
        <v>1</v>
      </c>
      <c r="L40" t="b">
        <f t="shared" ca="1" si="9"/>
        <v>0</v>
      </c>
      <c r="M40" t="str">
        <f t="shared" ca="1" si="10"/>
        <v>---</v>
      </c>
    </row>
    <row r="41" spans="2:13" x14ac:dyDescent="0.15">
      <c r="B41" s="34">
        <v>38</v>
      </c>
      <c r="C41" s="34" t="str">
        <f t="shared" ca="1" si="0"/>
        <v>žena</v>
      </c>
      <c r="D41" s="34">
        <f t="shared" ca="1" si="1"/>
        <v>31</v>
      </c>
      <c r="E41" s="34">
        <f t="shared" ca="1" si="2"/>
        <v>161</v>
      </c>
      <c r="F41" s="34">
        <f t="shared" ca="1" si="3"/>
        <v>93</v>
      </c>
      <c r="G41" s="28" t="str">
        <f t="shared" ca="1" si="4"/>
        <v>modrá</v>
      </c>
      <c r="H41" s="30" t="b">
        <f t="shared" ca="1" si="5"/>
        <v>0</v>
      </c>
      <c r="I41" t="b">
        <f t="shared" ca="1" si="6"/>
        <v>1</v>
      </c>
      <c r="J41" t="b">
        <f t="shared" ca="1" si="7"/>
        <v>0</v>
      </c>
      <c r="K41" t="b">
        <f t="shared" ca="1" si="8"/>
        <v>1</v>
      </c>
      <c r="L41" t="b">
        <f t="shared" ca="1" si="9"/>
        <v>1</v>
      </c>
      <c r="M41" t="str">
        <f t="shared" ca="1" si="10"/>
        <v>---</v>
      </c>
    </row>
    <row r="42" spans="2:13" x14ac:dyDescent="0.15">
      <c r="B42" s="34">
        <v>39</v>
      </c>
      <c r="C42" s="34" t="str">
        <f t="shared" ca="1" si="0"/>
        <v>muž</v>
      </c>
      <c r="D42" s="34">
        <f t="shared" ca="1" si="1"/>
        <v>75</v>
      </c>
      <c r="E42" s="34">
        <f t="shared" ca="1" si="2"/>
        <v>164</v>
      </c>
      <c r="F42" s="34">
        <f t="shared" ca="1" si="3"/>
        <v>62</v>
      </c>
      <c r="G42" s="28" t="str">
        <f t="shared" ca="1" si="4"/>
        <v>zelená</v>
      </c>
      <c r="H42" s="30" t="b">
        <f t="shared" ca="1" si="5"/>
        <v>1</v>
      </c>
      <c r="I42" t="b">
        <f t="shared" ca="1" si="6"/>
        <v>0</v>
      </c>
      <c r="J42" t="b">
        <f t="shared" ca="1" si="7"/>
        <v>1</v>
      </c>
      <c r="K42" t="b">
        <f t="shared" ca="1" si="8"/>
        <v>1</v>
      </c>
      <c r="L42" t="b">
        <f t="shared" ca="1" si="9"/>
        <v>0</v>
      </c>
      <c r="M42" t="str">
        <f t="shared" ca="1" si="10"/>
        <v>---</v>
      </c>
    </row>
    <row r="43" spans="2:13" x14ac:dyDescent="0.15">
      <c r="B43" s="34">
        <v>40</v>
      </c>
      <c r="C43" s="34" t="str">
        <f t="shared" ca="1" si="0"/>
        <v>muž</v>
      </c>
      <c r="D43" s="34">
        <f t="shared" ca="1" si="1"/>
        <v>59</v>
      </c>
      <c r="E43" s="34">
        <f t="shared" ca="1" si="2"/>
        <v>178</v>
      </c>
      <c r="F43" s="34">
        <f t="shared" ca="1" si="3"/>
        <v>96</v>
      </c>
      <c r="G43" s="28" t="str">
        <f t="shared" ca="1" si="4"/>
        <v>modrá</v>
      </c>
      <c r="H43" s="30" t="b">
        <f t="shared" ca="1" si="5"/>
        <v>1</v>
      </c>
      <c r="I43" t="b">
        <f t="shared" ca="1" si="6"/>
        <v>0</v>
      </c>
      <c r="J43" t="b">
        <f t="shared" ca="1" si="7"/>
        <v>1</v>
      </c>
      <c r="K43" t="b">
        <f t="shared" ca="1" si="8"/>
        <v>1</v>
      </c>
      <c r="L43" t="b">
        <f t="shared" ca="1" si="9"/>
        <v>1</v>
      </c>
      <c r="M43" t="str">
        <f t="shared" ca="1" si="10"/>
        <v>---</v>
      </c>
    </row>
    <row r="44" spans="2:13" x14ac:dyDescent="0.15">
      <c r="B44" s="34">
        <v>41</v>
      </c>
      <c r="C44" s="34" t="str">
        <f t="shared" ca="1" si="0"/>
        <v>žena</v>
      </c>
      <c r="D44" s="34">
        <f t="shared" ca="1" si="1"/>
        <v>72</v>
      </c>
      <c r="E44" s="34">
        <f t="shared" ca="1" si="2"/>
        <v>175</v>
      </c>
      <c r="F44" s="34">
        <f t="shared" ca="1" si="3"/>
        <v>79</v>
      </c>
      <c r="G44" s="28" t="str">
        <f t="shared" ca="1" si="4"/>
        <v>hnědá</v>
      </c>
      <c r="H44" s="30" t="b">
        <f t="shared" ca="1" si="5"/>
        <v>0</v>
      </c>
      <c r="I44" t="b">
        <f t="shared" ca="1" si="6"/>
        <v>1</v>
      </c>
      <c r="J44" t="b">
        <f t="shared" ca="1" si="7"/>
        <v>0</v>
      </c>
      <c r="K44" t="b">
        <f t="shared" ca="1" si="8"/>
        <v>0</v>
      </c>
      <c r="L44" t="b">
        <f t="shared" ca="1" si="9"/>
        <v>0</v>
      </c>
      <c r="M44" t="str">
        <f t="shared" ca="1" si="10"/>
        <v>---</v>
      </c>
    </row>
    <row r="45" spans="2:13" x14ac:dyDescent="0.15">
      <c r="B45" s="34">
        <v>42</v>
      </c>
      <c r="C45" s="34" t="str">
        <f t="shared" ca="1" si="0"/>
        <v>žena</v>
      </c>
      <c r="D45" s="34">
        <f t="shared" ca="1" si="1"/>
        <v>20</v>
      </c>
      <c r="E45" s="34">
        <f t="shared" ca="1" si="2"/>
        <v>183</v>
      </c>
      <c r="F45" s="34">
        <f t="shared" ca="1" si="3"/>
        <v>98</v>
      </c>
      <c r="G45" s="28" t="str">
        <f t="shared" ca="1" si="4"/>
        <v>zelená</v>
      </c>
      <c r="H45" s="30" t="b">
        <f t="shared" ca="1" si="5"/>
        <v>0</v>
      </c>
      <c r="I45" t="b">
        <f t="shared" ca="1" si="6"/>
        <v>0</v>
      </c>
      <c r="J45" t="b">
        <f t="shared" ca="1" si="7"/>
        <v>0</v>
      </c>
      <c r="K45" t="b">
        <f t="shared" ca="1" si="8"/>
        <v>0</v>
      </c>
      <c r="L45" t="b">
        <f t="shared" ca="1" si="9"/>
        <v>0</v>
      </c>
      <c r="M45" t="str">
        <f t="shared" ca="1" si="10"/>
        <v>---</v>
      </c>
    </row>
    <row r="46" spans="2:13" x14ac:dyDescent="0.15">
      <c r="B46" s="34">
        <v>43</v>
      </c>
      <c r="C46" s="34" t="str">
        <f t="shared" ca="1" si="0"/>
        <v>žena</v>
      </c>
      <c r="D46" s="34">
        <f t="shared" ca="1" si="1"/>
        <v>68</v>
      </c>
      <c r="E46" s="34">
        <f t="shared" ca="1" si="2"/>
        <v>181</v>
      </c>
      <c r="F46" s="34">
        <f t="shared" ca="1" si="3"/>
        <v>57</v>
      </c>
      <c r="G46" s="28" t="str">
        <f t="shared" ca="1" si="4"/>
        <v>zelená</v>
      </c>
      <c r="H46" s="30" t="b">
        <f t="shared" ca="1" si="5"/>
        <v>0</v>
      </c>
      <c r="I46" t="b">
        <f t="shared" ca="1" si="6"/>
        <v>1</v>
      </c>
      <c r="J46" t="b">
        <f t="shared" ca="1" si="7"/>
        <v>0</v>
      </c>
      <c r="K46" t="b">
        <f t="shared" ca="1" si="8"/>
        <v>0</v>
      </c>
      <c r="L46" t="b">
        <f t="shared" ca="1" si="9"/>
        <v>0</v>
      </c>
      <c r="M46" t="str">
        <f t="shared" ca="1" si="10"/>
        <v>anorexie</v>
      </c>
    </row>
    <row r="47" spans="2:13" x14ac:dyDescent="0.15">
      <c r="B47" s="34">
        <v>44</v>
      </c>
      <c r="C47" s="34" t="str">
        <f t="shared" ca="1" si="0"/>
        <v>muž</v>
      </c>
      <c r="D47" s="34">
        <f t="shared" ca="1" si="1"/>
        <v>70</v>
      </c>
      <c r="E47" s="34">
        <f t="shared" ca="1" si="2"/>
        <v>197</v>
      </c>
      <c r="F47" s="34">
        <f t="shared" ca="1" si="3"/>
        <v>101</v>
      </c>
      <c r="G47" s="28" t="str">
        <f t="shared" ca="1" si="4"/>
        <v>hnědá</v>
      </c>
      <c r="H47" s="30" t="b">
        <f t="shared" ca="1" si="5"/>
        <v>1</v>
      </c>
      <c r="I47" t="b">
        <f t="shared" ca="1" si="6"/>
        <v>0</v>
      </c>
      <c r="J47" t="b">
        <f t="shared" ca="1" si="7"/>
        <v>0</v>
      </c>
      <c r="K47" t="b">
        <f t="shared" ca="1" si="8"/>
        <v>0</v>
      </c>
      <c r="L47" t="b">
        <f t="shared" ca="1" si="9"/>
        <v>1</v>
      </c>
      <c r="M47" t="str">
        <f t="shared" ca="1" si="10"/>
        <v>---</v>
      </c>
    </row>
    <row r="48" spans="2:13" x14ac:dyDescent="0.15">
      <c r="B48" s="34">
        <v>45</v>
      </c>
      <c r="C48" s="34" t="str">
        <f t="shared" ca="1" si="0"/>
        <v>žena</v>
      </c>
      <c r="D48" s="34">
        <f t="shared" ca="1" si="1"/>
        <v>71</v>
      </c>
      <c r="E48" s="34">
        <f t="shared" ca="1" si="2"/>
        <v>198</v>
      </c>
      <c r="F48" s="34">
        <f t="shared" ca="1" si="3"/>
        <v>79</v>
      </c>
      <c r="G48" s="28" t="str">
        <f t="shared" ca="1" si="4"/>
        <v>zelená</v>
      </c>
      <c r="H48" s="30" t="b">
        <f t="shared" ca="1" si="5"/>
        <v>0</v>
      </c>
      <c r="I48" t="b">
        <f t="shared" ca="1" si="6"/>
        <v>1</v>
      </c>
      <c r="J48" t="b">
        <f t="shared" ca="1" si="7"/>
        <v>0</v>
      </c>
      <c r="K48" t="b">
        <f t="shared" ca="1" si="8"/>
        <v>0</v>
      </c>
      <c r="L48" t="b">
        <f t="shared" ca="1" si="9"/>
        <v>0</v>
      </c>
      <c r="M48" t="str">
        <f t="shared" ca="1" si="10"/>
        <v>---</v>
      </c>
    </row>
    <row r="49" spans="2:13" x14ac:dyDescent="0.15">
      <c r="B49" s="34">
        <v>46</v>
      </c>
      <c r="C49" s="34" t="str">
        <f t="shared" ca="1" si="0"/>
        <v>žena</v>
      </c>
      <c r="D49" s="34">
        <f t="shared" ca="1" si="1"/>
        <v>21</v>
      </c>
      <c r="E49" s="34">
        <f t="shared" ca="1" si="2"/>
        <v>193</v>
      </c>
      <c r="F49" s="34">
        <f t="shared" ca="1" si="3"/>
        <v>77</v>
      </c>
      <c r="G49" s="28" t="str">
        <f t="shared" ca="1" si="4"/>
        <v>modrá</v>
      </c>
      <c r="H49" s="30" t="b">
        <f t="shared" ca="1" si="5"/>
        <v>0</v>
      </c>
      <c r="I49" t="b">
        <f t="shared" ca="1" si="6"/>
        <v>0</v>
      </c>
      <c r="J49" t="b">
        <f t="shared" ca="1" si="7"/>
        <v>0</v>
      </c>
      <c r="K49" t="b">
        <f t="shared" ca="1" si="8"/>
        <v>1</v>
      </c>
      <c r="L49" t="b">
        <f t="shared" ca="1" si="9"/>
        <v>0</v>
      </c>
      <c r="M49" t="str">
        <f t="shared" ca="1" si="10"/>
        <v>---</v>
      </c>
    </row>
    <row r="50" spans="2:13" x14ac:dyDescent="0.15">
      <c r="B50" s="34">
        <v>47</v>
      </c>
      <c r="C50" s="34" t="str">
        <f t="shared" ca="1" si="0"/>
        <v>žena</v>
      </c>
      <c r="D50" s="34">
        <f t="shared" ca="1" si="1"/>
        <v>73</v>
      </c>
      <c r="E50" s="34">
        <f t="shared" ca="1" si="2"/>
        <v>191</v>
      </c>
      <c r="F50" s="34">
        <f t="shared" ca="1" si="3"/>
        <v>73</v>
      </c>
      <c r="G50" s="28" t="str">
        <f t="shared" ca="1" si="4"/>
        <v>modrá</v>
      </c>
      <c r="H50" s="30" t="b">
        <f t="shared" ca="1" si="5"/>
        <v>0</v>
      </c>
      <c r="I50" t="b">
        <f t="shared" ca="1" si="6"/>
        <v>1</v>
      </c>
      <c r="J50" t="b">
        <f t="shared" ca="1" si="7"/>
        <v>0</v>
      </c>
      <c r="K50" t="b">
        <f t="shared" ca="1" si="8"/>
        <v>1</v>
      </c>
      <c r="L50" t="b">
        <f t="shared" ca="1" si="9"/>
        <v>0</v>
      </c>
      <c r="M50" t="str">
        <f t="shared" ca="1" si="10"/>
        <v>---</v>
      </c>
    </row>
    <row r="51" spans="2:13" x14ac:dyDescent="0.15">
      <c r="B51" s="34">
        <v>48</v>
      </c>
      <c r="C51" s="34" t="str">
        <f t="shared" ca="1" si="0"/>
        <v>muž</v>
      </c>
      <c r="D51" s="34">
        <f t="shared" ca="1" si="1"/>
        <v>78</v>
      </c>
      <c r="E51" s="34">
        <f t="shared" ca="1" si="2"/>
        <v>198</v>
      </c>
      <c r="F51" s="34">
        <f t="shared" ca="1" si="3"/>
        <v>98</v>
      </c>
      <c r="G51" s="28" t="str">
        <f t="shared" ca="1" si="4"/>
        <v>modrá</v>
      </c>
      <c r="H51" s="30" t="b">
        <f t="shared" ca="1" si="5"/>
        <v>1</v>
      </c>
      <c r="I51" t="b">
        <f t="shared" ca="1" si="6"/>
        <v>0</v>
      </c>
      <c r="J51" t="b">
        <f t="shared" ca="1" si="7"/>
        <v>0</v>
      </c>
      <c r="K51" t="b">
        <f t="shared" ca="1" si="8"/>
        <v>1</v>
      </c>
      <c r="L51" t="b">
        <f t="shared" ca="1" si="9"/>
        <v>1</v>
      </c>
      <c r="M51" t="str">
        <f t="shared" ca="1" si="10"/>
        <v>---</v>
      </c>
    </row>
    <row r="52" spans="2:13" x14ac:dyDescent="0.15">
      <c r="B52" s="34">
        <v>49</v>
      </c>
      <c r="C52" s="34" t="str">
        <f t="shared" ca="1" si="0"/>
        <v>žena</v>
      </c>
      <c r="D52" s="34">
        <f t="shared" ca="1" si="1"/>
        <v>41</v>
      </c>
      <c r="E52" s="34">
        <f t="shared" ca="1" si="2"/>
        <v>191</v>
      </c>
      <c r="F52" s="34">
        <f t="shared" ca="1" si="3"/>
        <v>64</v>
      </c>
      <c r="G52" s="28" t="str">
        <f t="shared" ca="1" si="4"/>
        <v>zelená</v>
      </c>
      <c r="H52" s="30" t="b">
        <f t="shared" ca="1" si="5"/>
        <v>0</v>
      </c>
      <c r="I52" t="b">
        <f t="shared" ca="1" si="6"/>
        <v>1</v>
      </c>
      <c r="J52" t="b">
        <f t="shared" ca="1" si="7"/>
        <v>0</v>
      </c>
      <c r="K52" t="b">
        <f t="shared" ca="1" si="8"/>
        <v>0</v>
      </c>
      <c r="L52" t="b">
        <f t="shared" ca="1" si="9"/>
        <v>0</v>
      </c>
      <c r="M52" t="str">
        <f t="shared" ca="1" si="10"/>
        <v>---</v>
      </c>
    </row>
    <row r="53" spans="2:13" x14ac:dyDescent="0.15">
      <c r="B53" s="34">
        <v>50</v>
      </c>
      <c r="C53" s="34" t="str">
        <f t="shared" ca="1" si="0"/>
        <v>žena</v>
      </c>
      <c r="D53" s="34">
        <f t="shared" ca="1" si="1"/>
        <v>21</v>
      </c>
      <c r="E53" s="34">
        <f t="shared" ca="1" si="2"/>
        <v>190</v>
      </c>
      <c r="F53" s="34">
        <f t="shared" ca="1" si="3"/>
        <v>106</v>
      </c>
      <c r="G53" s="28" t="str">
        <f t="shared" ca="1" si="4"/>
        <v>zelená</v>
      </c>
      <c r="H53" s="30" t="b">
        <f t="shared" ca="1" si="5"/>
        <v>0</v>
      </c>
      <c r="I53" t="b">
        <f t="shared" ca="1" si="6"/>
        <v>0</v>
      </c>
      <c r="J53" t="b">
        <f t="shared" ca="1" si="7"/>
        <v>0</v>
      </c>
      <c r="K53" t="b">
        <f t="shared" ca="1" si="8"/>
        <v>0</v>
      </c>
      <c r="L53" t="b">
        <f t="shared" ca="1" si="9"/>
        <v>0</v>
      </c>
      <c r="M53" t="str">
        <f t="shared" ca="1" si="10"/>
        <v>---</v>
      </c>
    </row>
    <row r="54" spans="2:13" x14ac:dyDescent="0.15">
      <c r="B54" s="34">
        <v>51</v>
      </c>
      <c r="C54" s="34" t="str">
        <f t="shared" ca="1" si="0"/>
        <v>muž</v>
      </c>
      <c r="D54" s="34">
        <f t="shared" ca="1" si="1"/>
        <v>44</v>
      </c>
      <c r="E54" s="34">
        <f t="shared" ca="1" si="2"/>
        <v>184</v>
      </c>
      <c r="F54" s="34">
        <f t="shared" ca="1" si="3"/>
        <v>66</v>
      </c>
      <c r="G54" s="28" t="str">
        <f t="shared" ca="1" si="4"/>
        <v>hnědá</v>
      </c>
      <c r="H54" s="30" t="b">
        <f t="shared" ca="1" si="5"/>
        <v>1</v>
      </c>
      <c r="I54" t="b">
        <f t="shared" ca="1" si="6"/>
        <v>0</v>
      </c>
      <c r="J54" t="b">
        <f t="shared" ca="1" si="7"/>
        <v>0</v>
      </c>
      <c r="K54" t="b">
        <f t="shared" ca="1" si="8"/>
        <v>0</v>
      </c>
      <c r="L54" t="b">
        <f t="shared" ca="1" si="9"/>
        <v>0</v>
      </c>
      <c r="M54" t="str">
        <f t="shared" ca="1" si="10"/>
        <v>---</v>
      </c>
    </row>
    <row r="55" spans="2:13" x14ac:dyDescent="0.15">
      <c r="B55" s="34">
        <v>52</v>
      </c>
      <c r="C55" s="34" t="str">
        <f t="shared" ca="1" si="0"/>
        <v>muž</v>
      </c>
      <c r="D55" s="34">
        <f t="shared" ca="1" si="1"/>
        <v>49</v>
      </c>
      <c r="E55" s="34">
        <f t="shared" ca="1" si="2"/>
        <v>178</v>
      </c>
      <c r="F55" s="34">
        <f t="shared" ca="1" si="3"/>
        <v>96</v>
      </c>
      <c r="G55" s="28" t="str">
        <f t="shared" ca="1" si="4"/>
        <v>zelená</v>
      </c>
      <c r="H55" s="30" t="b">
        <f t="shared" ca="1" si="5"/>
        <v>1</v>
      </c>
      <c r="I55" t="b">
        <f t="shared" ca="1" si="6"/>
        <v>0</v>
      </c>
      <c r="J55" t="b">
        <f t="shared" ca="1" si="7"/>
        <v>1</v>
      </c>
      <c r="K55" t="b">
        <f t="shared" ca="1" si="8"/>
        <v>0</v>
      </c>
      <c r="L55" t="b">
        <f t="shared" ca="1" si="9"/>
        <v>1</v>
      </c>
      <c r="M55" t="str">
        <f t="shared" ca="1" si="10"/>
        <v>---</v>
      </c>
    </row>
    <row r="56" spans="2:13" x14ac:dyDescent="0.15">
      <c r="B56" s="34">
        <v>53</v>
      </c>
      <c r="C56" s="34" t="str">
        <f t="shared" ca="1" si="0"/>
        <v>žena</v>
      </c>
      <c r="D56" s="34">
        <f t="shared" ca="1" si="1"/>
        <v>40</v>
      </c>
      <c r="E56" s="34">
        <f t="shared" ca="1" si="2"/>
        <v>186</v>
      </c>
      <c r="F56" s="34">
        <f t="shared" ca="1" si="3"/>
        <v>96</v>
      </c>
      <c r="G56" s="28" t="str">
        <f t="shared" ca="1" si="4"/>
        <v>modrá</v>
      </c>
      <c r="H56" s="30" t="b">
        <f t="shared" ca="1" si="5"/>
        <v>0</v>
      </c>
      <c r="I56" t="b">
        <f t="shared" ca="1" si="6"/>
        <v>1</v>
      </c>
      <c r="J56" t="b">
        <f t="shared" ca="1" si="7"/>
        <v>0</v>
      </c>
      <c r="K56" t="b">
        <f t="shared" ca="1" si="8"/>
        <v>1</v>
      </c>
      <c r="L56" t="b">
        <f t="shared" ca="1" si="9"/>
        <v>0</v>
      </c>
      <c r="M56" t="str">
        <f t="shared" ca="1" si="10"/>
        <v>---</v>
      </c>
    </row>
    <row r="57" spans="2:13" x14ac:dyDescent="0.15">
      <c r="B57" s="34">
        <v>54</v>
      </c>
      <c r="C57" s="34" t="str">
        <f t="shared" ca="1" si="0"/>
        <v>žena</v>
      </c>
      <c r="D57" s="34">
        <f t="shared" ca="1" si="1"/>
        <v>23</v>
      </c>
      <c r="E57" s="34">
        <f t="shared" ca="1" si="2"/>
        <v>167</v>
      </c>
      <c r="F57" s="34">
        <f t="shared" ca="1" si="3"/>
        <v>70</v>
      </c>
      <c r="G57" s="28" t="str">
        <f t="shared" ca="1" si="4"/>
        <v>hnědá</v>
      </c>
      <c r="H57" s="30" t="b">
        <f t="shared" ca="1" si="5"/>
        <v>0</v>
      </c>
      <c r="I57" t="b">
        <f t="shared" ca="1" si="6"/>
        <v>0</v>
      </c>
      <c r="J57" t="b">
        <f t="shared" ca="1" si="7"/>
        <v>0</v>
      </c>
      <c r="K57" t="b">
        <f t="shared" ca="1" si="8"/>
        <v>1</v>
      </c>
      <c r="L57" t="b">
        <f t="shared" ca="1" si="9"/>
        <v>1</v>
      </c>
      <c r="M57" t="str">
        <f t="shared" ca="1" si="10"/>
        <v>---</v>
      </c>
    </row>
    <row r="58" spans="2:13" x14ac:dyDescent="0.15">
      <c r="B58" s="34">
        <v>55</v>
      </c>
      <c r="C58" s="34" t="str">
        <f t="shared" ca="1" si="0"/>
        <v>muž</v>
      </c>
      <c r="D58" s="34">
        <f t="shared" ca="1" si="1"/>
        <v>48</v>
      </c>
      <c r="E58" s="34">
        <f t="shared" ca="1" si="2"/>
        <v>180</v>
      </c>
      <c r="F58" s="34">
        <f t="shared" ca="1" si="3"/>
        <v>98</v>
      </c>
      <c r="G58" s="28" t="str">
        <f t="shared" ca="1" si="4"/>
        <v>hnědá</v>
      </c>
      <c r="H58" s="30" t="b">
        <f t="shared" ca="1" si="5"/>
        <v>1</v>
      </c>
      <c r="I58" t="b">
        <f t="shared" ca="1" si="6"/>
        <v>0</v>
      </c>
      <c r="J58" t="b">
        <f t="shared" ca="1" si="7"/>
        <v>1</v>
      </c>
      <c r="K58" t="b">
        <f t="shared" ca="1" si="8"/>
        <v>0</v>
      </c>
      <c r="L58" t="b">
        <f t="shared" ca="1" si="9"/>
        <v>1</v>
      </c>
      <c r="M58" t="str">
        <f t="shared" ca="1" si="10"/>
        <v>---</v>
      </c>
    </row>
    <row r="59" spans="2:13" x14ac:dyDescent="0.15">
      <c r="B59" s="34">
        <v>56</v>
      </c>
      <c r="C59" s="34" t="str">
        <f t="shared" ca="1" si="0"/>
        <v>muž</v>
      </c>
      <c r="D59" s="34">
        <f t="shared" ca="1" si="1"/>
        <v>63</v>
      </c>
      <c r="E59" s="34">
        <f t="shared" ca="1" si="2"/>
        <v>167</v>
      </c>
      <c r="F59" s="34">
        <f t="shared" ca="1" si="3"/>
        <v>69</v>
      </c>
      <c r="G59" s="28" t="str">
        <f t="shared" ca="1" si="4"/>
        <v>hnědá</v>
      </c>
      <c r="H59" s="30" t="b">
        <f t="shared" ca="1" si="5"/>
        <v>1</v>
      </c>
      <c r="I59" t="b">
        <f t="shared" ca="1" si="6"/>
        <v>0</v>
      </c>
      <c r="J59" t="b">
        <f t="shared" ca="1" si="7"/>
        <v>1</v>
      </c>
      <c r="K59" t="b">
        <f t="shared" ca="1" si="8"/>
        <v>1</v>
      </c>
      <c r="L59" t="b">
        <f t="shared" ca="1" si="9"/>
        <v>0</v>
      </c>
      <c r="M59" t="str">
        <f t="shared" ca="1" si="10"/>
        <v>---</v>
      </c>
    </row>
    <row r="60" spans="2:13" x14ac:dyDescent="0.15">
      <c r="B60" s="34">
        <v>57</v>
      </c>
      <c r="C60" s="34" t="str">
        <f t="shared" ca="1" si="0"/>
        <v>muž</v>
      </c>
      <c r="D60" s="34">
        <f t="shared" ca="1" si="1"/>
        <v>71</v>
      </c>
      <c r="E60" s="34">
        <f t="shared" ca="1" si="2"/>
        <v>183</v>
      </c>
      <c r="F60" s="34">
        <f t="shared" ca="1" si="3"/>
        <v>86</v>
      </c>
      <c r="G60" s="28" t="str">
        <f t="shared" ca="1" si="4"/>
        <v>hnědá</v>
      </c>
      <c r="H60" s="30" t="b">
        <f t="shared" ca="1" si="5"/>
        <v>1</v>
      </c>
      <c r="I60" t="b">
        <f t="shared" ca="1" si="6"/>
        <v>0</v>
      </c>
      <c r="J60" t="b">
        <f t="shared" ca="1" si="7"/>
        <v>0</v>
      </c>
      <c r="K60" t="b">
        <f t="shared" ca="1" si="8"/>
        <v>0</v>
      </c>
      <c r="L60" t="b">
        <f t="shared" ca="1" si="9"/>
        <v>0</v>
      </c>
      <c r="M60" t="str">
        <f t="shared" ca="1" si="10"/>
        <v>---</v>
      </c>
    </row>
    <row r="61" spans="2:13" x14ac:dyDescent="0.15">
      <c r="B61" s="34">
        <v>58</v>
      </c>
      <c r="C61" s="34" t="str">
        <f t="shared" ca="1" si="0"/>
        <v>žena</v>
      </c>
      <c r="D61" s="34">
        <f t="shared" ca="1" si="1"/>
        <v>51</v>
      </c>
      <c r="E61" s="34">
        <f t="shared" ca="1" si="2"/>
        <v>169</v>
      </c>
      <c r="F61" s="34">
        <f t="shared" ca="1" si="3"/>
        <v>53</v>
      </c>
      <c r="G61" s="28" t="str">
        <f t="shared" ca="1" si="4"/>
        <v>zelená</v>
      </c>
      <c r="H61" s="30" t="b">
        <f t="shared" ca="1" si="5"/>
        <v>0</v>
      </c>
      <c r="I61" t="b">
        <f t="shared" ca="1" si="6"/>
        <v>1</v>
      </c>
      <c r="J61" t="b">
        <f t="shared" ca="1" si="7"/>
        <v>0</v>
      </c>
      <c r="K61" t="b">
        <f t="shared" ca="1" si="8"/>
        <v>1</v>
      </c>
      <c r="L61" t="b">
        <f t="shared" ca="1" si="9"/>
        <v>1</v>
      </c>
      <c r="M61" t="str">
        <f t="shared" ca="1" si="10"/>
        <v>---</v>
      </c>
    </row>
    <row r="62" spans="2:13" x14ac:dyDescent="0.15">
      <c r="B62" s="34">
        <v>59</v>
      </c>
      <c r="C62" s="34" t="str">
        <f t="shared" ca="1" si="0"/>
        <v>žena</v>
      </c>
      <c r="D62" s="34">
        <f t="shared" ca="1" si="1"/>
        <v>60</v>
      </c>
      <c r="E62" s="34">
        <f t="shared" ca="1" si="2"/>
        <v>176</v>
      </c>
      <c r="F62" s="34">
        <f t="shared" ca="1" si="3"/>
        <v>79</v>
      </c>
      <c r="G62" s="28" t="str">
        <f t="shared" ca="1" si="4"/>
        <v>zelená</v>
      </c>
      <c r="H62" s="30" t="b">
        <f t="shared" ca="1" si="5"/>
        <v>0</v>
      </c>
      <c r="I62" t="b">
        <f t="shared" ca="1" si="6"/>
        <v>1</v>
      </c>
      <c r="J62" t="b">
        <f t="shared" ca="1" si="7"/>
        <v>0</v>
      </c>
      <c r="K62" t="b">
        <f t="shared" ca="1" si="8"/>
        <v>0</v>
      </c>
      <c r="L62" t="b">
        <f t="shared" ca="1" si="9"/>
        <v>0</v>
      </c>
      <c r="M62" t="str">
        <f t="shared" ca="1" si="10"/>
        <v>---</v>
      </c>
    </row>
    <row r="63" spans="2:13" x14ac:dyDescent="0.15">
      <c r="B63" s="34">
        <v>60</v>
      </c>
      <c r="C63" s="34" t="str">
        <f t="shared" ca="1" si="0"/>
        <v>žena</v>
      </c>
      <c r="D63" s="34">
        <f t="shared" ca="1" si="1"/>
        <v>39</v>
      </c>
      <c r="E63" s="34">
        <f t="shared" ca="1" si="2"/>
        <v>166</v>
      </c>
      <c r="F63" s="34">
        <f t="shared" ca="1" si="3"/>
        <v>87</v>
      </c>
      <c r="G63" s="28" t="str">
        <f t="shared" ca="1" si="4"/>
        <v>hnědá</v>
      </c>
      <c r="H63" s="30" t="b">
        <f t="shared" ca="1" si="5"/>
        <v>0</v>
      </c>
      <c r="I63" t="b">
        <f t="shared" ca="1" si="6"/>
        <v>1</v>
      </c>
      <c r="J63" t="b">
        <f t="shared" ca="1" si="7"/>
        <v>0</v>
      </c>
      <c r="K63" t="b">
        <f t="shared" ca="1" si="8"/>
        <v>1</v>
      </c>
      <c r="L63" t="b">
        <f t="shared" ca="1" si="9"/>
        <v>1</v>
      </c>
      <c r="M63" t="str">
        <f t="shared" ca="1" si="10"/>
        <v>---</v>
      </c>
    </row>
    <row r="64" spans="2:13" x14ac:dyDescent="0.15">
      <c r="B64" s="34">
        <v>61</v>
      </c>
      <c r="C64" s="34" t="str">
        <f t="shared" ca="1" si="0"/>
        <v>žena</v>
      </c>
      <c r="D64" s="34">
        <f t="shared" ca="1" si="1"/>
        <v>54</v>
      </c>
      <c r="E64" s="34">
        <f t="shared" ca="1" si="2"/>
        <v>163</v>
      </c>
      <c r="F64" s="34">
        <f t="shared" ca="1" si="3"/>
        <v>52</v>
      </c>
      <c r="G64" s="28" t="str">
        <f t="shared" ca="1" si="4"/>
        <v>modrá</v>
      </c>
      <c r="H64" s="30" t="b">
        <f t="shared" ca="1" si="5"/>
        <v>0</v>
      </c>
      <c r="I64" t="b">
        <f t="shared" ca="1" si="6"/>
        <v>1</v>
      </c>
      <c r="J64" t="b">
        <f t="shared" ca="1" si="7"/>
        <v>0</v>
      </c>
      <c r="K64" t="b">
        <f t="shared" ca="1" si="8"/>
        <v>1</v>
      </c>
      <c r="L64" t="b">
        <f t="shared" ca="1" si="9"/>
        <v>1</v>
      </c>
      <c r="M64" t="str">
        <f t="shared" ca="1" si="10"/>
        <v>---</v>
      </c>
    </row>
    <row r="65" spans="2:13" x14ac:dyDescent="0.15">
      <c r="B65" s="34">
        <v>62</v>
      </c>
      <c r="C65" s="34" t="str">
        <f t="shared" ca="1" si="0"/>
        <v>žena</v>
      </c>
      <c r="D65" s="34">
        <f t="shared" ca="1" si="1"/>
        <v>65</v>
      </c>
      <c r="E65" s="34">
        <f t="shared" ca="1" si="2"/>
        <v>194</v>
      </c>
      <c r="F65" s="34">
        <f t="shared" ca="1" si="3"/>
        <v>69</v>
      </c>
      <c r="G65" s="28" t="str">
        <f t="shared" ca="1" si="4"/>
        <v>modrá</v>
      </c>
      <c r="H65" s="30" t="b">
        <f t="shared" ca="1" si="5"/>
        <v>0</v>
      </c>
      <c r="I65" t="b">
        <f t="shared" ca="1" si="6"/>
        <v>1</v>
      </c>
      <c r="J65" t="b">
        <f t="shared" ca="1" si="7"/>
        <v>0</v>
      </c>
      <c r="K65" t="b">
        <f t="shared" ca="1" si="8"/>
        <v>1</v>
      </c>
      <c r="L65" t="b">
        <f t="shared" ca="1" si="9"/>
        <v>0</v>
      </c>
      <c r="M65" t="str">
        <f t="shared" ca="1" si="10"/>
        <v>---</v>
      </c>
    </row>
    <row r="66" spans="2:13" x14ac:dyDescent="0.15">
      <c r="B66" s="34">
        <v>63</v>
      </c>
      <c r="C66" s="34" t="str">
        <f t="shared" ca="1" si="0"/>
        <v>žena</v>
      </c>
      <c r="D66" s="34">
        <f t="shared" ca="1" si="1"/>
        <v>32</v>
      </c>
      <c r="E66" s="34">
        <f t="shared" ca="1" si="2"/>
        <v>194</v>
      </c>
      <c r="F66" s="34">
        <f t="shared" ca="1" si="3"/>
        <v>93</v>
      </c>
      <c r="G66" s="28" t="str">
        <f t="shared" ca="1" si="4"/>
        <v>hnědá</v>
      </c>
      <c r="H66" s="30" t="b">
        <f t="shared" ca="1" si="5"/>
        <v>0</v>
      </c>
      <c r="I66" t="b">
        <f t="shared" ca="1" si="6"/>
        <v>1</v>
      </c>
      <c r="J66" t="b">
        <f t="shared" ca="1" si="7"/>
        <v>0</v>
      </c>
      <c r="K66" t="b">
        <f t="shared" ca="1" si="8"/>
        <v>0</v>
      </c>
      <c r="L66" t="b">
        <f t="shared" ca="1" si="9"/>
        <v>0</v>
      </c>
      <c r="M66" t="str">
        <f t="shared" ca="1" si="10"/>
        <v>---</v>
      </c>
    </row>
    <row r="67" spans="2:13" x14ac:dyDescent="0.15">
      <c r="B67" s="34">
        <v>64</v>
      </c>
      <c r="C67" s="34" t="str">
        <f t="shared" ca="1" si="0"/>
        <v>muž</v>
      </c>
      <c r="D67" s="34">
        <f t="shared" ca="1" si="1"/>
        <v>39</v>
      </c>
      <c r="E67" s="34">
        <f t="shared" ca="1" si="2"/>
        <v>188</v>
      </c>
      <c r="F67" s="34">
        <f t="shared" ca="1" si="3"/>
        <v>60</v>
      </c>
      <c r="G67" s="28" t="str">
        <f t="shared" ca="1" si="4"/>
        <v>hnědá</v>
      </c>
      <c r="H67" s="30" t="b">
        <f t="shared" ca="1" si="5"/>
        <v>1</v>
      </c>
      <c r="I67" t="b">
        <f t="shared" ca="1" si="6"/>
        <v>0</v>
      </c>
      <c r="J67" t="b">
        <f t="shared" ca="1" si="7"/>
        <v>0</v>
      </c>
      <c r="K67" t="b">
        <f t="shared" ca="1" si="8"/>
        <v>0</v>
      </c>
      <c r="L67" t="b">
        <f t="shared" ca="1" si="9"/>
        <v>0</v>
      </c>
      <c r="M67" t="str">
        <f t="shared" ca="1" si="10"/>
        <v>---</v>
      </c>
    </row>
    <row r="68" spans="2:13" x14ac:dyDescent="0.15">
      <c r="B68" s="34">
        <v>65</v>
      </c>
      <c r="C68" s="34" t="str">
        <f t="shared" ca="1" si="0"/>
        <v>žena</v>
      </c>
      <c r="D68" s="34">
        <f t="shared" ca="1" si="1"/>
        <v>33</v>
      </c>
      <c r="E68" s="34">
        <f t="shared" ca="1" si="2"/>
        <v>181</v>
      </c>
      <c r="F68" s="34">
        <f t="shared" ca="1" si="3"/>
        <v>102</v>
      </c>
      <c r="G68" s="28" t="str">
        <f t="shared" ca="1" si="4"/>
        <v>hnědá</v>
      </c>
      <c r="H68" s="30" t="b">
        <f t="shared" ca="1" si="5"/>
        <v>0</v>
      </c>
      <c r="I68" t="b">
        <f t="shared" ca="1" si="6"/>
        <v>1</v>
      </c>
      <c r="J68" t="b">
        <f t="shared" ca="1" si="7"/>
        <v>0</v>
      </c>
      <c r="K68" t="b">
        <f t="shared" ca="1" si="8"/>
        <v>0</v>
      </c>
      <c r="L68" t="b">
        <f t="shared" ca="1" si="9"/>
        <v>0</v>
      </c>
      <c r="M68" t="str">
        <f t="shared" ca="1" si="10"/>
        <v>---</v>
      </c>
    </row>
    <row r="69" spans="2:13" x14ac:dyDescent="0.15">
      <c r="B69" s="34">
        <v>66</v>
      </c>
      <c r="C69" s="34" t="str">
        <f t="shared" ref="C69:C103" ca="1" si="11">IF(RAND()&gt;=0.51,"muž","žena")</f>
        <v>žena</v>
      </c>
      <c r="D69" s="34">
        <f t="shared" ref="D69:D103" ca="1" si="12">ROUND(RAND()*60+18,0)</f>
        <v>50</v>
      </c>
      <c r="E69" s="34">
        <f t="shared" ref="E69:E103" ca="1" si="13">ROUND(RAND()*40+160,0)</f>
        <v>183</v>
      </c>
      <c r="F69" s="34">
        <f t="shared" ref="F69:F103" ca="1" si="14">ROUND(RAND()*60+50,0)</f>
        <v>65</v>
      </c>
      <c r="G69" s="28" t="str">
        <f t="shared" ref="G69:G103" ca="1" si="15">IF(RAND()&lt;0.25,"modrá",IF(RAND()&lt;0.5,"zelená",IF(RAND()&lt;0.75,"hnědá","černá")))</f>
        <v>modrá</v>
      </c>
      <c r="H69" s="30" t="b">
        <f t="shared" ref="H69:H103" ca="1" si="16">AND(C69="muž")</f>
        <v>0</v>
      </c>
      <c r="I69" t="b">
        <f t="shared" ref="I69:I103" ca="1" si="17">AND(C69="žena",D69&gt;28)</f>
        <v>1</v>
      </c>
      <c r="J69" t="b">
        <f t="shared" ref="J69:J103" ca="1" si="18">AND(C69="muž",E69&gt;160,E69&lt;182)</f>
        <v>0</v>
      </c>
      <c r="K69" t="b">
        <f t="shared" ref="K69:K103" ca="1" si="19">OR(E69&lt;175,G69="modrá")</f>
        <v>1</v>
      </c>
      <c r="L69" t="b">
        <f t="shared" ref="L69:L103" ca="1" si="20">OR(AND(C69="žena",E69&lt;170),AND(C69="muž",F69&gt;90))</f>
        <v>0</v>
      </c>
      <c r="M69" t="str">
        <f t="shared" ref="M69:M103" ca="1" si="21">IF(AND(C69="žena",E69&gt;180,F69&lt;63),"anorexie","---")</f>
        <v>---</v>
      </c>
    </row>
    <row r="70" spans="2:13" x14ac:dyDescent="0.15">
      <c r="B70" s="34">
        <v>67</v>
      </c>
      <c r="C70" s="34" t="str">
        <f t="shared" ca="1" si="11"/>
        <v>žena</v>
      </c>
      <c r="D70" s="34">
        <f t="shared" ca="1" si="12"/>
        <v>75</v>
      </c>
      <c r="E70" s="34">
        <f t="shared" ca="1" si="13"/>
        <v>199</v>
      </c>
      <c r="F70" s="34">
        <f t="shared" ca="1" si="14"/>
        <v>54</v>
      </c>
      <c r="G70" s="28" t="str">
        <f t="shared" ca="1" si="15"/>
        <v>zelená</v>
      </c>
      <c r="H70" s="30" t="b">
        <f t="shared" ca="1" si="16"/>
        <v>0</v>
      </c>
      <c r="I70" t="b">
        <f t="shared" ca="1" si="17"/>
        <v>1</v>
      </c>
      <c r="J70" t="b">
        <f t="shared" ca="1" si="18"/>
        <v>0</v>
      </c>
      <c r="K70" t="b">
        <f t="shared" ca="1" si="19"/>
        <v>0</v>
      </c>
      <c r="L70" t="b">
        <f t="shared" ca="1" si="20"/>
        <v>0</v>
      </c>
      <c r="M70" t="str">
        <f t="shared" ca="1" si="21"/>
        <v>anorexie</v>
      </c>
    </row>
    <row r="71" spans="2:13" x14ac:dyDescent="0.15">
      <c r="B71" s="34">
        <v>68</v>
      </c>
      <c r="C71" s="34" t="str">
        <f t="shared" ca="1" si="11"/>
        <v>muž</v>
      </c>
      <c r="D71" s="34">
        <f t="shared" ca="1" si="12"/>
        <v>52</v>
      </c>
      <c r="E71" s="34">
        <f t="shared" ca="1" si="13"/>
        <v>193</v>
      </c>
      <c r="F71" s="34">
        <f t="shared" ca="1" si="14"/>
        <v>75</v>
      </c>
      <c r="G71" s="28" t="str">
        <f t="shared" ca="1" si="15"/>
        <v>modrá</v>
      </c>
      <c r="H71" s="30" t="b">
        <f t="shared" ca="1" si="16"/>
        <v>1</v>
      </c>
      <c r="I71" t="b">
        <f t="shared" ca="1" si="17"/>
        <v>0</v>
      </c>
      <c r="J71" t="b">
        <f t="shared" ca="1" si="18"/>
        <v>0</v>
      </c>
      <c r="K71" t="b">
        <f t="shared" ca="1" si="19"/>
        <v>1</v>
      </c>
      <c r="L71" t="b">
        <f t="shared" ca="1" si="20"/>
        <v>0</v>
      </c>
      <c r="M71" t="str">
        <f t="shared" ca="1" si="21"/>
        <v>---</v>
      </c>
    </row>
    <row r="72" spans="2:13" x14ac:dyDescent="0.15">
      <c r="B72" s="34">
        <v>69</v>
      </c>
      <c r="C72" s="34" t="str">
        <f t="shared" ca="1" si="11"/>
        <v>žena</v>
      </c>
      <c r="D72" s="34">
        <f t="shared" ca="1" si="12"/>
        <v>22</v>
      </c>
      <c r="E72" s="34">
        <f t="shared" ca="1" si="13"/>
        <v>191</v>
      </c>
      <c r="F72" s="34">
        <f t="shared" ca="1" si="14"/>
        <v>86</v>
      </c>
      <c r="G72" s="28" t="str">
        <f t="shared" ca="1" si="15"/>
        <v>modrá</v>
      </c>
      <c r="H72" s="30" t="b">
        <f t="shared" ca="1" si="16"/>
        <v>0</v>
      </c>
      <c r="I72" t="b">
        <f t="shared" ca="1" si="17"/>
        <v>0</v>
      </c>
      <c r="J72" t="b">
        <f t="shared" ca="1" si="18"/>
        <v>0</v>
      </c>
      <c r="K72" t="b">
        <f t="shared" ca="1" si="19"/>
        <v>1</v>
      </c>
      <c r="L72" t="b">
        <f t="shared" ca="1" si="20"/>
        <v>0</v>
      </c>
      <c r="M72" t="str">
        <f t="shared" ca="1" si="21"/>
        <v>---</v>
      </c>
    </row>
    <row r="73" spans="2:13" x14ac:dyDescent="0.15">
      <c r="B73" s="34">
        <v>70</v>
      </c>
      <c r="C73" s="34" t="str">
        <f t="shared" ca="1" si="11"/>
        <v>žena</v>
      </c>
      <c r="D73" s="34">
        <f t="shared" ca="1" si="12"/>
        <v>18</v>
      </c>
      <c r="E73" s="34">
        <f t="shared" ca="1" si="13"/>
        <v>162</v>
      </c>
      <c r="F73" s="34">
        <f t="shared" ca="1" si="14"/>
        <v>100</v>
      </c>
      <c r="G73" s="28" t="str">
        <f t="shared" ca="1" si="15"/>
        <v>zelená</v>
      </c>
      <c r="H73" s="30" t="b">
        <f t="shared" ca="1" si="16"/>
        <v>0</v>
      </c>
      <c r="I73" t="b">
        <f t="shared" ca="1" si="17"/>
        <v>0</v>
      </c>
      <c r="J73" t="b">
        <f t="shared" ca="1" si="18"/>
        <v>0</v>
      </c>
      <c r="K73" t="b">
        <f t="shared" ca="1" si="19"/>
        <v>1</v>
      </c>
      <c r="L73" t="b">
        <f t="shared" ca="1" si="20"/>
        <v>1</v>
      </c>
      <c r="M73" t="str">
        <f t="shared" ca="1" si="21"/>
        <v>---</v>
      </c>
    </row>
    <row r="74" spans="2:13" x14ac:dyDescent="0.15">
      <c r="B74" s="34">
        <v>71</v>
      </c>
      <c r="C74" s="34" t="str">
        <f t="shared" ca="1" si="11"/>
        <v>žena</v>
      </c>
      <c r="D74" s="34">
        <f t="shared" ca="1" si="12"/>
        <v>19</v>
      </c>
      <c r="E74" s="34">
        <f t="shared" ca="1" si="13"/>
        <v>182</v>
      </c>
      <c r="F74" s="34">
        <f t="shared" ca="1" si="14"/>
        <v>56</v>
      </c>
      <c r="G74" s="28" t="str">
        <f t="shared" ca="1" si="15"/>
        <v>zelená</v>
      </c>
      <c r="H74" s="30" t="b">
        <f t="shared" ca="1" si="16"/>
        <v>0</v>
      </c>
      <c r="I74" t="b">
        <f t="shared" ca="1" si="17"/>
        <v>0</v>
      </c>
      <c r="J74" t="b">
        <f t="shared" ca="1" si="18"/>
        <v>0</v>
      </c>
      <c r="K74" t="b">
        <f t="shared" ca="1" si="19"/>
        <v>0</v>
      </c>
      <c r="L74" t="b">
        <f t="shared" ca="1" si="20"/>
        <v>0</v>
      </c>
      <c r="M74" t="str">
        <f t="shared" ca="1" si="21"/>
        <v>anorexie</v>
      </c>
    </row>
    <row r="75" spans="2:13" x14ac:dyDescent="0.15">
      <c r="B75" s="34">
        <v>72</v>
      </c>
      <c r="C75" s="34" t="str">
        <f t="shared" ca="1" si="11"/>
        <v>muž</v>
      </c>
      <c r="D75" s="34">
        <f t="shared" ca="1" si="12"/>
        <v>56</v>
      </c>
      <c r="E75" s="34">
        <f t="shared" ca="1" si="13"/>
        <v>184</v>
      </c>
      <c r="F75" s="34">
        <f t="shared" ca="1" si="14"/>
        <v>70</v>
      </c>
      <c r="G75" s="28" t="str">
        <f t="shared" ca="1" si="15"/>
        <v>zelená</v>
      </c>
      <c r="H75" s="30" t="b">
        <f t="shared" ca="1" si="16"/>
        <v>1</v>
      </c>
      <c r="I75" t="b">
        <f t="shared" ca="1" si="17"/>
        <v>0</v>
      </c>
      <c r="J75" t="b">
        <f t="shared" ca="1" si="18"/>
        <v>0</v>
      </c>
      <c r="K75" t="b">
        <f t="shared" ca="1" si="19"/>
        <v>0</v>
      </c>
      <c r="L75" t="b">
        <f t="shared" ca="1" si="20"/>
        <v>0</v>
      </c>
      <c r="M75" t="str">
        <f t="shared" ca="1" si="21"/>
        <v>---</v>
      </c>
    </row>
    <row r="76" spans="2:13" x14ac:dyDescent="0.15">
      <c r="B76" s="34">
        <v>73</v>
      </c>
      <c r="C76" s="34" t="str">
        <f t="shared" ca="1" si="11"/>
        <v>žena</v>
      </c>
      <c r="D76" s="34">
        <f t="shared" ca="1" si="12"/>
        <v>60</v>
      </c>
      <c r="E76" s="34">
        <f t="shared" ca="1" si="13"/>
        <v>170</v>
      </c>
      <c r="F76" s="34">
        <f t="shared" ca="1" si="14"/>
        <v>101</v>
      </c>
      <c r="G76" s="28" t="str">
        <f t="shared" ca="1" si="15"/>
        <v>zelená</v>
      </c>
      <c r="H76" s="30" t="b">
        <f t="shared" ca="1" si="16"/>
        <v>0</v>
      </c>
      <c r="I76" t="b">
        <f t="shared" ca="1" si="17"/>
        <v>1</v>
      </c>
      <c r="J76" t="b">
        <f t="shared" ca="1" si="18"/>
        <v>0</v>
      </c>
      <c r="K76" t="b">
        <f t="shared" ca="1" si="19"/>
        <v>1</v>
      </c>
      <c r="L76" t="b">
        <f t="shared" ca="1" si="20"/>
        <v>0</v>
      </c>
      <c r="M76" t="str">
        <f t="shared" ca="1" si="21"/>
        <v>---</v>
      </c>
    </row>
    <row r="77" spans="2:13" x14ac:dyDescent="0.15">
      <c r="B77" s="34">
        <v>74</v>
      </c>
      <c r="C77" s="34" t="str">
        <f t="shared" ca="1" si="11"/>
        <v>muž</v>
      </c>
      <c r="D77" s="34">
        <f t="shared" ca="1" si="12"/>
        <v>18</v>
      </c>
      <c r="E77" s="34">
        <f t="shared" ca="1" si="13"/>
        <v>165</v>
      </c>
      <c r="F77" s="34">
        <f t="shared" ca="1" si="14"/>
        <v>79</v>
      </c>
      <c r="G77" s="28" t="str">
        <f t="shared" ca="1" si="15"/>
        <v>modrá</v>
      </c>
      <c r="H77" s="30" t="b">
        <f t="shared" ca="1" si="16"/>
        <v>1</v>
      </c>
      <c r="I77" t="b">
        <f t="shared" ca="1" si="17"/>
        <v>0</v>
      </c>
      <c r="J77" t="b">
        <f t="shared" ca="1" si="18"/>
        <v>1</v>
      </c>
      <c r="K77" t="b">
        <f t="shared" ca="1" si="19"/>
        <v>1</v>
      </c>
      <c r="L77" t="b">
        <f t="shared" ca="1" si="20"/>
        <v>0</v>
      </c>
      <c r="M77" t="str">
        <f t="shared" ca="1" si="21"/>
        <v>---</v>
      </c>
    </row>
    <row r="78" spans="2:13" x14ac:dyDescent="0.15">
      <c r="B78" s="34">
        <v>75</v>
      </c>
      <c r="C78" s="34" t="str">
        <f t="shared" ca="1" si="11"/>
        <v>muž</v>
      </c>
      <c r="D78" s="34">
        <f t="shared" ca="1" si="12"/>
        <v>37</v>
      </c>
      <c r="E78" s="34">
        <f t="shared" ca="1" si="13"/>
        <v>191</v>
      </c>
      <c r="F78" s="34">
        <f t="shared" ca="1" si="14"/>
        <v>59</v>
      </c>
      <c r="G78" s="28" t="str">
        <f t="shared" ca="1" si="15"/>
        <v>hnědá</v>
      </c>
      <c r="H78" s="30" t="b">
        <f t="shared" ca="1" si="16"/>
        <v>1</v>
      </c>
      <c r="I78" t="b">
        <f t="shared" ca="1" si="17"/>
        <v>0</v>
      </c>
      <c r="J78" t="b">
        <f t="shared" ca="1" si="18"/>
        <v>0</v>
      </c>
      <c r="K78" t="b">
        <f t="shared" ca="1" si="19"/>
        <v>0</v>
      </c>
      <c r="L78" t="b">
        <f t="shared" ca="1" si="20"/>
        <v>0</v>
      </c>
      <c r="M78" t="str">
        <f t="shared" ca="1" si="21"/>
        <v>---</v>
      </c>
    </row>
    <row r="79" spans="2:13" x14ac:dyDescent="0.15">
      <c r="B79" s="34">
        <v>76</v>
      </c>
      <c r="C79" s="34" t="str">
        <f t="shared" ca="1" si="11"/>
        <v>muž</v>
      </c>
      <c r="D79" s="34">
        <f t="shared" ca="1" si="12"/>
        <v>31</v>
      </c>
      <c r="E79" s="34">
        <f t="shared" ca="1" si="13"/>
        <v>191</v>
      </c>
      <c r="F79" s="34">
        <f t="shared" ca="1" si="14"/>
        <v>89</v>
      </c>
      <c r="G79" s="28" t="str">
        <f t="shared" ca="1" si="15"/>
        <v>modrá</v>
      </c>
      <c r="H79" s="30" t="b">
        <f t="shared" ca="1" si="16"/>
        <v>1</v>
      </c>
      <c r="I79" t="b">
        <f t="shared" ca="1" si="17"/>
        <v>0</v>
      </c>
      <c r="J79" t="b">
        <f t="shared" ca="1" si="18"/>
        <v>0</v>
      </c>
      <c r="K79" t="b">
        <f t="shared" ca="1" si="19"/>
        <v>1</v>
      </c>
      <c r="L79" t="b">
        <f t="shared" ca="1" si="20"/>
        <v>0</v>
      </c>
      <c r="M79" t="str">
        <f t="shared" ca="1" si="21"/>
        <v>---</v>
      </c>
    </row>
    <row r="80" spans="2:13" x14ac:dyDescent="0.15">
      <c r="B80" s="34">
        <v>77</v>
      </c>
      <c r="C80" s="34" t="str">
        <f t="shared" ca="1" si="11"/>
        <v>žena</v>
      </c>
      <c r="D80" s="34">
        <f t="shared" ca="1" si="12"/>
        <v>59</v>
      </c>
      <c r="E80" s="34">
        <f t="shared" ca="1" si="13"/>
        <v>174</v>
      </c>
      <c r="F80" s="34">
        <f t="shared" ca="1" si="14"/>
        <v>97</v>
      </c>
      <c r="G80" s="28" t="str">
        <f t="shared" ca="1" si="15"/>
        <v>černá</v>
      </c>
      <c r="H80" s="30" t="b">
        <f t="shared" ca="1" si="16"/>
        <v>0</v>
      </c>
      <c r="I80" t="b">
        <f t="shared" ca="1" si="17"/>
        <v>1</v>
      </c>
      <c r="J80" t="b">
        <f t="shared" ca="1" si="18"/>
        <v>0</v>
      </c>
      <c r="K80" t="b">
        <f t="shared" ca="1" si="19"/>
        <v>1</v>
      </c>
      <c r="L80" t="b">
        <f t="shared" ca="1" si="20"/>
        <v>0</v>
      </c>
      <c r="M80" t="str">
        <f t="shared" ca="1" si="21"/>
        <v>---</v>
      </c>
    </row>
    <row r="81" spans="2:13" x14ac:dyDescent="0.15">
      <c r="B81" s="34">
        <v>78</v>
      </c>
      <c r="C81" s="34" t="str">
        <f t="shared" ca="1" si="11"/>
        <v>muž</v>
      </c>
      <c r="D81" s="34">
        <f t="shared" ca="1" si="12"/>
        <v>54</v>
      </c>
      <c r="E81" s="34">
        <f t="shared" ca="1" si="13"/>
        <v>189</v>
      </c>
      <c r="F81" s="34">
        <f t="shared" ca="1" si="14"/>
        <v>83</v>
      </c>
      <c r="G81" s="28" t="str">
        <f t="shared" ca="1" si="15"/>
        <v>hnědá</v>
      </c>
      <c r="H81" s="30" t="b">
        <f t="shared" ca="1" si="16"/>
        <v>1</v>
      </c>
      <c r="I81" t="b">
        <f t="shared" ca="1" si="17"/>
        <v>0</v>
      </c>
      <c r="J81" t="b">
        <f t="shared" ca="1" si="18"/>
        <v>0</v>
      </c>
      <c r="K81" t="b">
        <f t="shared" ca="1" si="19"/>
        <v>0</v>
      </c>
      <c r="L81" t="b">
        <f t="shared" ca="1" si="20"/>
        <v>0</v>
      </c>
      <c r="M81" t="str">
        <f t="shared" ca="1" si="21"/>
        <v>---</v>
      </c>
    </row>
    <row r="82" spans="2:13" x14ac:dyDescent="0.15">
      <c r="B82" s="34">
        <v>79</v>
      </c>
      <c r="C82" s="34" t="str">
        <f t="shared" ca="1" si="11"/>
        <v>muž</v>
      </c>
      <c r="D82" s="34">
        <f t="shared" ca="1" si="12"/>
        <v>48</v>
      </c>
      <c r="E82" s="34">
        <f t="shared" ca="1" si="13"/>
        <v>169</v>
      </c>
      <c r="F82" s="34">
        <f t="shared" ca="1" si="14"/>
        <v>89</v>
      </c>
      <c r="G82" s="28" t="str">
        <f t="shared" ca="1" si="15"/>
        <v>hnědá</v>
      </c>
      <c r="H82" s="30" t="b">
        <f t="shared" ca="1" si="16"/>
        <v>1</v>
      </c>
      <c r="I82" t="b">
        <f t="shared" ca="1" si="17"/>
        <v>0</v>
      </c>
      <c r="J82" t="b">
        <f t="shared" ca="1" si="18"/>
        <v>1</v>
      </c>
      <c r="K82" t="b">
        <f t="shared" ca="1" si="19"/>
        <v>1</v>
      </c>
      <c r="L82" t="b">
        <f t="shared" ca="1" si="20"/>
        <v>0</v>
      </c>
      <c r="M82" t="str">
        <f t="shared" ca="1" si="21"/>
        <v>---</v>
      </c>
    </row>
    <row r="83" spans="2:13" x14ac:dyDescent="0.15">
      <c r="B83" s="34">
        <v>80</v>
      </c>
      <c r="C83" s="34" t="str">
        <f t="shared" ca="1" si="11"/>
        <v>žena</v>
      </c>
      <c r="D83" s="34">
        <f t="shared" ca="1" si="12"/>
        <v>63</v>
      </c>
      <c r="E83" s="34">
        <f t="shared" ca="1" si="13"/>
        <v>163</v>
      </c>
      <c r="F83" s="34">
        <f t="shared" ca="1" si="14"/>
        <v>56</v>
      </c>
      <c r="G83" s="28" t="str">
        <f t="shared" ca="1" si="15"/>
        <v>zelená</v>
      </c>
      <c r="H83" s="30" t="b">
        <f t="shared" ca="1" si="16"/>
        <v>0</v>
      </c>
      <c r="I83" t="b">
        <f t="shared" ca="1" si="17"/>
        <v>1</v>
      </c>
      <c r="J83" t="b">
        <f t="shared" ca="1" si="18"/>
        <v>0</v>
      </c>
      <c r="K83" t="b">
        <f t="shared" ca="1" si="19"/>
        <v>1</v>
      </c>
      <c r="L83" t="b">
        <f t="shared" ca="1" si="20"/>
        <v>1</v>
      </c>
      <c r="M83" t="str">
        <f t="shared" ca="1" si="21"/>
        <v>---</v>
      </c>
    </row>
    <row r="84" spans="2:13" x14ac:dyDescent="0.15">
      <c r="B84" s="34">
        <v>81</v>
      </c>
      <c r="C84" s="34" t="str">
        <f t="shared" ca="1" si="11"/>
        <v>žena</v>
      </c>
      <c r="D84" s="34">
        <f t="shared" ca="1" si="12"/>
        <v>56</v>
      </c>
      <c r="E84" s="34">
        <f t="shared" ca="1" si="13"/>
        <v>176</v>
      </c>
      <c r="F84" s="34">
        <f t="shared" ca="1" si="14"/>
        <v>79</v>
      </c>
      <c r="G84" s="28" t="str">
        <f t="shared" ca="1" si="15"/>
        <v>modrá</v>
      </c>
      <c r="H84" s="30" t="b">
        <f t="shared" ca="1" si="16"/>
        <v>0</v>
      </c>
      <c r="I84" t="b">
        <f t="shared" ca="1" si="17"/>
        <v>1</v>
      </c>
      <c r="J84" t="b">
        <f t="shared" ca="1" si="18"/>
        <v>0</v>
      </c>
      <c r="K84" t="b">
        <f t="shared" ca="1" si="19"/>
        <v>1</v>
      </c>
      <c r="L84" t="b">
        <f t="shared" ca="1" si="20"/>
        <v>0</v>
      </c>
      <c r="M84" t="str">
        <f t="shared" ca="1" si="21"/>
        <v>---</v>
      </c>
    </row>
    <row r="85" spans="2:13" x14ac:dyDescent="0.15">
      <c r="B85" s="34">
        <v>82</v>
      </c>
      <c r="C85" s="34" t="str">
        <f t="shared" ca="1" si="11"/>
        <v>žena</v>
      </c>
      <c r="D85" s="34">
        <f t="shared" ca="1" si="12"/>
        <v>24</v>
      </c>
      <c r="E85" s="34">
        <f t="shared" ca="1" si="13"/>
        <v>176</v>
      </c>
      <c r="F85" s="34">
        <f t="shared" ca="1" si="14"/>
        <v>79</v>
      </c>
      <c r="G85" s="28" t="str">
        <f t="shared" ca="1" si="15"/>
        <v>hnědá</v>
      </c>
      <c r="H85" s="30" t="b">
        <f t="shared" ca="1" si="16"/>
        <v>0</v>
      </c>
      <c r="I85" t="b">
        <f t="shared" ca="1" si="17"/>
        <v>0</v>
      </c>
      <c r="J85" t="b">
        <f t="shared" ca="1" si="18"/>
        <v>0</v>
      </c>
      <c r="K85" t="b">
        <f t="shared" ca="1" si="19"/>
        <v>0</v>
      </c>
      <c r="L85" t="b">
        <f t="shared" ca="1" si="20"/>
        <v>0</v>
      </c>
      <c r="M85" t="str">
        <f t="shared" ca="1" si="21"/>
        <v>---</v>
      </c>
    </row>
    <row r="86" spans="2:13" x14ac:dyDescent="0.15">
      <c r="B86" s="34">
        <v>83</v>
      </c>
      <c r="C86" s="34" t="str">
        <f t="shared" ca="1" si="11"/>
        <v>žena</v>
      </c>
      <c r="D86" s="34">
        <f t="shared" ca="1" si="12"/>
        <v>40</v>
      </c>
      <c r="E86" s="34">
        <f t="shared" ca="1" si="13"/>
        <v>185</v>
      </c>
      <c r="F86" s="34">
        <f t="shared" ca="1" si="14"/>
        <v>70</v>
      </c>
      <c r="G86" s="28" t="str">
        <f t="shared" ca="1" si="15"/>
        <v>zelená</v>
      </c>
      <c r="H86" s="30" t="b">
        <f t="shared" ca="1" si="16"/>
        <v>0</v>
      </c>
      <c r="I86" t="b">
        <f t="shared" ca="1" si="17"/>
        <v>1</v>
      </c>
      <c r="J86" t="b">
        <f t="shared" ca="1" si="18"/>
        <v>0</v>
      </c>
      <c r="K86" t="b">
        <f t="shared" ca="1" si="19"/>
        <v>0</v>
      </c>
      <c r="L86" t="b">
        <f t="shared" ca="1" si="20"/>
        <v>0</v>
      </c>
      <c r="M86" t="str">
        <f t="shared" ca="1" si="21"/>
        <v>---</v>
      </c>
    </row>
    <row r="87" spans="2:13" x14ac:dyDescent="0.15">
      <c r="B87" s="34">
        <v>84</v>
      </c>
      <c r="C87" s="34" t="str">
        <f t="shared" ca="1" si="11"/>
        <v>žena</v>
      </c>
      <c r="D87" s="34">
        <f t="shared" ca="1" si="12"/>
        <v>66</v>
      </c>
      <c r="E87" s="34">
        <f t="shared" ca="1" si="13"/>
        <v>160</v>
      </c>
      <c r="F87" s="34">
        <f t="shared" ca="1" si="14"/>
        <v>54</v>
      </c>
      <c r="G87" s="28" t="str">
        <f t="shared" ca="1" si="15"/>
        <v>modrá</v>
      </c>
      <c r="H87" s="30" t="b">
        <f t="shared" ca="1" si="16"/>
        <v>0</v>
      </c>
      <c r="I87" t="b">
        <f t="shared" ca="1" si="17"/>
        <v>1</v>
      </c>
      <c r="J87" t="b">
        <f t="shared" ca="1" si="18"/>
        <v>0</v>
      </c>
      <c r="K87" t="b">
        <f t="shared" ca="1" si="19"/>
        <v>1</v>
      </c>
      <c r="L87" t="b">
        <f t="shared" ca="1" si="20"/>
        <v>1</v>
      </c>
      <c r="M87" t="str">
        <f t="shared" ca="1" si="21"/>
        <v>---</v>
      </c>
    </row>
    <row r="88" spans="2:13" x14ac:dyDescent="0.15">
      <c r="B88" s="34">
        <v>85</v>
      </c>
      <c r="C88" s="34" t="str">
        <f t="shared" ca="1" si="11"/>
        <v>žena</v>
      </c>
      <c r="D88" s="34">
        <f t="shared" ca="1" si="12"/>
        <v>27</v>
      </c>
      <c r="E88" s="34">
        <f t="shared" ca="1" si="13"/>
        <v>170</v>
      </c>
      <c r="F88" s="34">
        <f t="shared" ca="1" si="14"/>
        <v>55</v>
      </c>
      <c r="G88" s="28" t="str">
        <f t="shared" ca="1" si="15"/>
        <v>černá</v>
      </c>
      <c r="H88" s="30" t="b">
        <f t="shared" ca="1" si="16"/>
        <v>0</v>
      </c>
      <c r="I88" t="b">
        <f t="shared" ca="1" si="17"/>
        <v>0</v>
      </c>
      <c r="J88" t="b">
        <f t="shared" ca="1" si="18"/>
        <v>0</v>
      </c>
      <c r="K88" t="b">
        <f t="shared" ca="1" si="19"/>
        <v>1</v>
      </c>
      <c r="L88" t="b">
        <f t="shared" ca="1" si="20"/>
        <v>0</v>
      </c>
      <c r="M88" t="str">
        <f t="shared" ca="1" si="21"/>
        <v>---</v>
      </c>
    </row>
    <row r="89" spans="2:13" x14ac:dyDescent="0.15">
      <c r="B89" s="34">
        <v>86</v>
      </c>
      <c r="C89" s="34" t="str">
        <f t="shared" ca="1" si="11"/>
        <v>žena</v>
      </c>
      <c r="D89" s="34">
        <f t="shared" ca="1" si="12"/>
        <v>51</v>
      </c>
      <c r="E89" s="34">
        <f t="shared" ca="1" si="13"/>
        <v>183</v>
      </c>
      <c r="F89" s="34">
        <f t="shared" ca="1" si="14"/>
        <v>109</v>
      </c>
      <c r="G89" s="28" t="str">
        <f t="shared" ca="1" si="15"/>
        <v>hnědá</v>
      </c>
      <c r="H89" s="30" t="b">
        <f t="shared" ca="1" si="16"/>
        <v>0</v>
      </c>
      <c r="I89" t="b">
        <f t="shared" ca="1" si="17"/>
        <v>1</v>
      </c>
      <c r="J89" t="b">
        <f t="shared" ca="1" si="18"/>
        <v>0</v>
      </c>
      <c r="K89" t="b">
        <f t="shared" ca="1" si="19"/>
        <v>0</v>
      </c>
      <c r="L89" t="b">
        <f t="shared" ca="1" si="20"/>
        <v>0</v>
      </c>
      <c r="M89" t="str">
        <f t="shared" ca="1" si="21"/>
        <v>---</v>
      </c>
    </row>
    <row r="90" spans="2:13" x14ac:dyDescent="0.15">
      <c r="B90" s="34">
        <v>87</v>
      </c>
      <c r="C90" s="34" t="str">
        <f t="shared" ca="1" si="11"/>
        <v>žena</v>
      </c>
      <c r="D90" s="34">
        <f t="shared" ca="1" si="12"/>
        <v>24</v>
      </c>
      <c r="E90" s="34">
        <f t="shared" ca="1" si="13"/>
        <v>182</v>
      </c>
      <c r="F90" s="34">
        <f t="shared" ca="1" si="14"/>
        <v>90</v>
      </c>
      <c r="G90" s="28" t="str">
        <f t="shared" ca="1" si="15"/>
        <v>hnědá</v>
      </c>
      <c r="H90" s="30" t="b">
        <f t="shared" ca="1" si="16"/>
        <v>0</v>
      </c>
      <c r="I90" t="b">
        <f t="shared" ca="1" si="17"/>
        <v>0</v>
      </c>
      <c r="J90" t="b">
        <f t="shared" ca="1" si="18"/>
        <v>0</v>
      </c>
      <c r="K90" t="b">
        <f t="shared" ca="1" si="19"/>
        <v>0</v>
      </c>
      <c r="L90" t="b">
        <f t="shared" ca="1" si="20"/>
        <v>0</v>
      </c>
      <c r="M90" t="str">
        <f t="shared" ca="1" si="21"/>
        <v>---</v>
      </c>
    </row>
    <row r="91" spans="2:13" x14ac:dyDescent="0.15">
      <c r="B91" s="34">
        <v>88</v>
      </c>
      <c r="C91" s="34" t="str">
        <f t="shared" ca="1" si="11"/>
        <v>žena</v>
      </c>
      <c r="D91" s="34">
        <f t="shared" ca="1" si="12"/>
        <v>40</v>
      </c>
      <c r="E91" s="34">
        <f t="shared" ca="1" si="13"/>
        <v>166</v>
      </c>
      <c r="F91" s="34">
        <f t="shared" ca="1" si="14"/>
        <v>61</v>
      </c>
      <c r="G91" s="28" t="str">
        <f t="shared" ca="1" si="15"/>
        <v>hnědá</v>
      </c>
      <c r="H91" s="30" t="b">
        <f t="shared" ca="1" si="16"/>
        <v>0</v>
      </c>
      <c r="I91" t="b">
        <f t="shared" ca="1" si="17"/>
        <v>1</v>
      </c>
      <c r="J91" t="b">
        <f t="shared" ca="1" si="18"/>
        <v>0</v>
      </c>
      <c r="K91" t="b">
        <f t="shared" ca="1" si="19"/>
        <v>1</v>
      </c>
      <c r="L91" t="b">
        <f t="shared" ca="1" si="20"/>
        <v>1</v>
      </c>
      <c r="M91" t="str">
        <f t="shared" ca="1" si="21"/>
        <v>---</v>
      </c>
    </row>
    <row r="92" spans="2:13" x14ac:dyDescent="0.15">
      <c r="B92" s="34">
        <v>89</v>
      </c>
      <c r="C92" s="34" t="str">
        <f t="shared" ca="1" si="11"/>
        <v>žena</v>
      </c>
      <c r="D92" s="34">
        <f t="shared" ca="1" si="12"/>
        <v>58</v>
      </c>
      <c r="E92" s="34">
        <f t="shared" ca="1" si="13"/>
        <v>168</v>
      </c>
      <c r="F92" s="34">
        <f t="shared" ca="1" si="14"/>
        <v>103</v>
      </c>
      <c r="G92" s="28" t="str">
        <f t="shared" ca="1" si="15"/>
        <v>modrá</v>
      </c>
      <c r="H92" s="30" t="b">
        <f t="shared" ca="1" si="16"/>
        <v>0</v>
      </c>
      <c r="I92" t="b">
        <f t="shared" ca="1" si="17"/>
        <v>1</v>
      </c>
      <c r="J92" t="b">
        <f t="shared" ca="1" si="18"/>
        <v>0</v>
      </c>
      <c r="K92" t="b">
        <f t="shared" ca="1" si="19"/>
        <v>1</v>
      </c>
      <c r="L92" t="b">
        <f t="shared" ca="1" si="20"/>
        <v>1</v>
      </c>
      <c r="M92" t="str">
        <f t="shared" ca="1" si="21"/>
        <v>---</v>
      </c>
    </row>
    <row r="93" spans="2:13" x14ac:dyDescent="0.15">
      <c r="B93" s="34">
        <v>90</v>
      </c>
      <c r="C93" s="34" t="str">
        <f t="shared" ca="1" si="11"/>
        <v>žena</v>
      </c>
      <c r="D93" s="34">
        <f t="shared" ca="1" si="12"/>
        <v>63</v>
      </c>
      <c r="E93" s="34">
        <f t="shared" ca="1" si="13"/>
        <v>199</v>
      </c>
      <c r="F93" s="34">
        <f t="shared" ca="1" si="14"/>
        <v>54</v>
      </c>
      <c r="G93" s="28" t="str">
        <f t="shared" ca="1" si="15"/>
        <v>modrá</v>
      </c>
      <c r="H93" s="30" t="b">
        <f t="shared" ca="1" si="16"/>
        <v>0</v>
      </c>
      <c r="I93" t="b">
        <f t="shared" ca="1" si="17"/>
        <v>1</v>
      </c>
      <c r="J93" t="b">
        <f t="shared" ca="1" si="18"/>
        <v>0</v>
      </c>
      <c r="K93" t="b">
        <f t="shared" ca="1" si="19"/>
        <v>1</v>
      </c>
      <c r="L93" t="b">
        <f t="shared" ca="1" si="20"/>
        <v>0</v>
      </c>
      <c r="M93" t="str">
        <f t="shared" ca="1" si="21"/>
        <v>anorexie</v>
      </c>
    </row>
    <row r="94" spans="2:13" x14ac:dyDescent="0.15">
      <c r="B94" s="34">
        <v>91</v>
      </c>
      <c r="C94" s="34" t="str">
        <f t="shared" ca="1" si="11"/>
        <v>žena</v>
      </c>
      <c r="D94" s="34">
        <f t="shared" ca="1" si="12"/>
        <v>58</v>
      </c>
      <c r="E94" s="34">
        <f t="shared" ca="1" si="13"/>
        <v>169</v>
      </c>
      <c r="F94" s="34">
        <f t="shared" ca="1" si="14"/>
        <v>59</v>
      </c>
      <c r="G94" s="28" t="str">
        <f t="shared" ca="1" si="15"/>
        <v>zelená</v>
      </c>
      <c r="H94" s="30" t="b">
        <f t="shared" ca="1" si="16"/>
        <v>0</v>
      </c>
      <c r="I94" t="b">
        <f t="shared" ca="1" si="17"/>
        <v>1</v>
      </c>
      <c r="J94" t="b">
        <f t="shared" ca="1" si="18"/>
        <v>0</v>
      </c>
      <c r="K94" t="b">
        <f t="shared" ca="1" si="19"/>
        <v>1</v>
      </c>
      <c r="L94" t="b">
        <f t="shared" ca="1" si="20"/>
        <v>1</v>
      </c>
      <c r="M94" t="str">
        <f t="shared" ca="1" si="21"/>
        <v>---</v>
      </c>
    </row>
    <row r="95" spans="2:13" x14ac:dyDescent="0.15">
      <c r="B95" s="34">
        <v>92</v>
      </c>
      <c r="C95" s="34" t="str">
        <f t="shared" ca="1" si="11"/>
        <v>žena</v>
      </c>
      <c r="D95" s="34">
        <f t="shared" ca="1" si="12"/>
        <v>73</v>
      </c>
      <c r="E95" s="34">
        <f t="shared" ca="1" si="13"/>
        <v>189</v>
      </c>
      <c r="F95" s="34">
        <f t="shared" ca="1" si="14"/>
        <v>79</v>
      </c>
      <c r="G95" s="28" t="str">
        <f t="shared" ca="1" si="15"/>
        <v>modrá</v>
      </c>
      <c r="H95" s="30" t="b">
        <f t="shared" ca="1" si="16"/>
        <v>0</v>
      </c>
      <c r="I95" t="b">
        <f t="shared" ca="1" si="17"/>
        <v>1</v>
      </c>
      <c r="J95" t="b">
        <f t="shared" ca="1" si="18"/>
        <v>0</v>
      </c>
      <c r="K95" t="b">
        <f t="shared" ca="1" si="19"/>
        <v>1</v>
      </c>
      <c r="L95" t="b">
        <f t="shared" ca="1" si="20"/>
        <v>0</v>
      </c>
      <c r="M95" t="str">
        <f t="shared" ca="1" si="21"/>
        <v>---</v>
      </c>
    </row>
    <row r="96" spans="2:13" x14ac:dyDescent="0.15">
      <c r="B96" s="34">
        <v>93</v>
      </c>
      <c r="C96" s="34" t="str">
        <f t="shared" ca="1" si="11"/>
        <v>muž</v>
      </c>
      <c r="D96" s="34">
        <f t="shared" ca="1" si="12"/>
        <v>41</v>
      </c>
      <c r="E96" s="34">
        <f t="shared" ca="1" si="13"/>
        <v>173</v>
      </c>
      <c r="F96" s="34">
        <f t="shared" ca="1" si="14"/>
        <v>94</v>
      </c>
      <c r="G96" s="28" t="str">
        <f t="shared" ca="1" si="15"/>
        <v>zelená</v>
      </c>
      <c r="H96" s="30" t="b">
        <f t="shared" ca="1" si="16"/>
        <v>1</v>
      </c>
      <c r="I96" t="b">
        <f t="shared" ca="1" si="17"/>
        <v>0</v>
      </c>
      <c r="J96" t="b">
        <f t="shared" ca="1" si="18"/>
        <v>1</v>
      </c>
      <c r="K96" t="b">
        <f t="shared" ca="1" si="19"/>
        <v>1</v>
      </c>
      <c r="L96" t="b">
        <f t="shared" ca="1" si="20"/>
        <v>1</v>
      </c>
      <c r="M96" t="str">
        <f t="shared" ca="1" si="21"/>
        <v>---</v>
      </c>
    </row>
    <row r="97" spans="2:13" x14ac:dyDescent="0.15">
      <c r="B97" s="34">
        <v>94</v>
      </c>
      <c r="C97" s="34" t="str">
        <f t="shared" ca="1" si="11"/>
        <v>žena</v>
      </c>
      <c r="D97" s="34">
        <f t="shared" ca="1" si="12"/>
        <v>61</v>
      </c>
      <c r="E97" s="34">
        <f t="shared" ca="1" si="13"/>
        <v>196</v>
      </c>
      <c r="F97" s="34">
        <f t="shared" ca="1" si="14"/>
        <v>73</v>
      </c>
      <c r="G97" s="28" t="str">
        <f t="shared" ca="1" si="15"/>
        <v>zelená</v>
      </c>
      <c r="H97" s="30" t="b">
        <f t="shared" ca="1" si="16"/>
        <v>0</v>
      </c>
      <c r="I97" t="b">
        <f t="shared" ca="1" si="17"/>
        <v>1</v>
      </c>
      <c r="J97" t="b">
        <f t="shared" ca="1" si="18"/>
        <v>0</v>
      </c>
      <c r="K97" t="b">
        <f t="shared" ca="1" si="19"/>
        <v>0</v>
      </c>
      <c r="L97" t="b">
        <f t="shared" ca="1" si="20"/>
        <v>0</v>
      </c>
      <c r="M97" t="str">
        <f t="shared" ca="1" si="21"/>
        <v>---</v>
      </c>
    </row>
    <row r="98" spans="2:13" x14ac:dyDescent="0.15">
      <c r="B98" s="34">
        <v>95</v>
      </c>
      <c r="C98" s="34" t="str">
        <f t="shared" ca="1" si="11"/>
        <v>muž</v>
      </c>
      <c r="D98" s="34">
        <f t="shared" ca="1" si="12"/>
        <v>60</v>
      </c>
      <c r="E98" s="34">
        <f t="shared" ca="1" si="13"/>
        <v>165</v>
      </c>
      <c r="F98" s="34">
        <f t="shared" ca="1" si="14"/>
        <v>107</v>
      </c>
      <c r="G98" s="28" t="str">
        <f t="shared" ca="1" si="15"/>
        <v>zelená</v>
      </c>
      <c r="H98" s="30" t="b">
        <f t="shared" ca="1" si="16"/>
        <v>1</v>
      </c>
      <c r="I98" t="b">
        <f t="shared" ca="1" si="17"/>
        <v>0</v>
      </c>
      <c r="J98" t="b">
        <f t="shared" ca="1" si="18"/>
        <v>1</v>
      </c>
      <c r="K98" t="b">
        <f t="shared" ca="1" si="19"/>
        <v>1</v>
      </c>
      <c r="L98" t="b">
        <f t="shared" ca="1" si="20"/>
        <v>1</v>
      </c>
      <c r="M98" t="str">
        <f t="shared" ca="1" si="21"/>
        <v>---</v>
      </c>
    </row>
    <row r="99" spans="2:13" x14ac:dyDescent="0.15">
      <c r="B99" s="34">
        <v>96</v>
      </c>
      <c r="C99" s="34" t="str">
        <f t="shared" ca="1" si="11"/>
        <v>muž</v>
      </c>
      <c r="D99" s="34">
        <f t="shared" ca="1" si="12"/>
        <v>63</v>
      </c>
      <c r="E99" s="34">
        <f t="shared" ca="1" si="13"/>
        <v>194</v>
      </c>
      <c r="F99" s="34">
        <f t="shared" ca="1" si="14"/>
        <v>65</v>
      </c>
      <c r="G99" s="28" t="str">
        <f t="shared" ca="1" si="15"/>
        <v>hnědá</v>
      </c>
      <c r="H99" s="30" t="b">
        <f t="shared" ca="1" si="16"/>
        <v>1</v>
      </c>
      <c r="I99" t="b">
        <f t="shared" ca="1" si="17"/>
        <v>0</v>
      </c>
      <c r="J99" t="b">
        <f t="shared" ca="1" si="18"/>
        <v>0</v>
      </c>
      <c r="K99" t="b">
        <f t="shared" ca="1" si="19"/>
        <v>0</v>
      </c>
      <c r="L99" t="b">
        <f t="shared" ca="1" si="20"/>
        <v>0</v>
      </c>
      <c r="M99" t="str">
        <f t="shared" ca="1" si="21"/>
        <v>---</v>
      </c>
    </row>
    <row r="100" spans="2:13" x14ac:dyDescent="0.15">
      <c r="B100" s="34">
        <v>97</v>
      </c>
      <c r="C100" s="34" t="str">
        <f t="shared" ca="1" si="11"/>
        <v>žena</v>
      </c>
      <c r="D100" s="34">
        <f t="shared" ca="1" si="12"/>
        <v>48</v>
      </c>
      <c r="E100" s="34">
        <f t="shared" ca="1" si="13"/>
        <v>173</v>
      </c>
      <c r="F100" s="34">
        <f t="shared" ca="1" si="14"/>
        <v>107</v>
      </c>
      <c r="G100" s="28" t="str">
        <f t="shared" ca="1" si="15"/>
        <v>zelená</v>
      </c>
      <c r="H100" s="30" t="b">
        <f t="shared" ca="1" si="16"/>
        <v>0</v>
      </c>
      <c r="I100" t="b">
        <f t="shared" ca="1" si="17"/>
        <v>1</v>
      </c>
      <c r="J100" t="b">
        <f t="shared" ca="1" si="18"/>
        <v>0</v>
      </c>
      <c r="K100" t="b">
        <f t="shared" ca="1" si="19"/>
        <v>1</v>
      </c>
      <c r="L100" t="b">
        <f t="shared" ca="1" si="20"/>
        <v>0</v>
      </c>
      <c r="M100" t="str">
        <f t="shared" ca="1" si="21"/>
        <v>---</v>
      </c>
    </row>
    <row r="101" spans="2:13" x14ac:dyDescent="0.15">
      <c r="B101" s="34">
        <v>98</v>
      </c>
      <c r="C101" s="34" t="str">
        <f t="shared" ca="1" si="11"/>
        <v>žena</v>
      </c>
      <c r="D101" s="34">
        <f t="shared" ca="1" si="12"/>
        <v>70</v>
      </c>
      <c r="E101" s="34">
        <f t="shared" ca="1" si="13"/>
        <v>170</v>
      </c>
      <c r="F101" s="34">
        <f t="shared" ca="1" si="14"/>
        <v>63</v>
      </c>
      <c r="G101" s="28" t="str">
        <f t="shared" ca="1" si="15"/>
        <v>modrá</v>
      </c>
      <c r="H101" s="30" t="b">
        <f t="shared" ca="1" si="16"/>
        <v>0</v>
      </c>
      <c r="I101" t="b">
        <f t="shared" ca="1" si="17"/>
        <v>1</v>
      </c>
      <c r="J101" t="b">
        <f t="shared" ca="1" si="18"/>
        <v>0</v>
      </c>
      <c r="K101" t="b">
        <f t="shared" ca="1" si="19"/>
        <v>1</v>
      </c>
      <c r="L101" t="b">
        <f t="shared" ca="1" si="20"/>
        <v>0</v>
      </c>
      <c r="M101" t="str">
        <f t="shared" ca="1" si="21"/>
        <v>---</v>
      </c>
    </row>
    <row r="102" spans="2:13" x14ac:dyDescent="0.15">
      <c r="B102" s="34">
        <v>99</v>
      </c>
      <c r="C102" s="34" t="str">
        <f t="shared" ca="1" si="11"/>
        <v>muž</v>
      </c>
      <c r="D102" s="34">
        <f t="shared" ca="1" si="12"/>
        <v>42</v>
      </c>
      <c r="E102" s="34">
        <f t="shared" ca="1" si="13"/>
        <v>186</v>
      </c>
      <c r="F102" s="34">
        <f t="shared" ca="1" si="14"/>
        <v>55</v>
      </c>
      <c r="G102" s="28" t="str">
        <f t="shared" ca="1" si="15"/>
        <v>zelená</v>
      </c>
      <c r="H102" s="30" t="b">
        <f t="shared" ca="1" si="16"/>
        <v>1</v>
      </c>
      <c r="I102" t="b">
        <f t="shared" ca="1" si="17"/>
        <v>0</v>
      </c>
      <c r="J102" t="b">
        <f t="shared" ca="1" si="18"/>
        <v>0</v>
      </c>
      <c r="K102" t="b">
        <f t="shared" ca="1" si="19"/>
        <v>0</v>
      </c>
      <c r="L102" t="b">
        <f t="shared" ca="1" si="20"/>
        <v>0</v>
      </c>
      <c r="M102" t="str">
        <f t="shared" ca="1" si="21"/>
        <v>---</v>
      </c>
    </row>
    <row r="103" spans="2:13" x14ac:dyDescent="0.15">
      <c r="B103" s="34">
        <v>100</v>
      </c>
      <c r="C103" s="34" t="str">
        <f t="shared" ca="1" si="11"/>
        <v>žena</v>
      </c>
      <c r="D103" s="34">
        <f t="shared" ca="1" si="12"/>
        <v>44</v>
      </c>
      <c r="E103" s="34">
        <f t="shared" ca="1" si="13"/>
        <v>186</v>
      </c>
      <c r="F103" s="34">
        <f t="shared" ca="1" si="14"/>
        <v>57</v>
      </c>
      <c r="G103" s="28" t="str">
        <f t="shared" ca="1" si="15"/>
        <v>hnědá</v>
      </c>
      <c r="H103" s="30" t="b">
        <f t="shared" ca="1" si="16"/>
        <v>0</v>
      </c>
      <c r="I103" t="b">
        <f t="shared" ca="1" si="17"/>
        <v>1</v>
      </c>
      <c r="J103" t="b">
        <f t="shared" ca="1" si="18"/>
        <v>0</v>
      </c>
      <c r="K103" t="b">
        <f t="shared" ca="1" si="19"/>
        <v>0</v>
      </c>
      <c r="L103" t="b">
        <f t="shared" ca="1" si="20"/>
        <v>0</v>
      </c>
      <c r="M103" t="str">
        <f t="shared" ca="1" si="21"/>
        <v>anorexie</v>
      </c>
    </row>
    <row r="104" spans="2:13" x14ac:dyDescent="0.15">
      <c r="B104" s="34"/>
      <c r="C104" s="34"/>
      <c r="D104" s="34"/>
      <c r="E104" s="34"/>
      <c r="F104" s="28"/>
      <c r="G104" s="28"/>
      <c r="H104" s="30"/>
    </row>
  </sheetData>
  <conditionalFormatting sqref="G4:G103">
    <cfRule type="cellIs" dxfId="12" priority="1" stopIfTrue="1" operator="equal">
      <formula>"černá"</formula>
    </cfRule>
    <cfRule type="cellIs" dxfId="11" priority="2" stopIfTrue="1" operator="equal">
      <formula>"modrá"</formula>
    </cfRule>
    <cfRule type="cellIs" dxfId="10" priority="3" stopIfTrue="1" operator="equal">
      <formula>"hnědá"</formula>
    </cfRule>
    <cfRule type="cellIs" dxfId="9" priority="4" stopIfTrue="1" operator="equal">
      <formula>"zelená"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3375-C467-F144-80BA-6D4128AE8CA6}">
  <sheetPr>
    <tabColor indexed="52"/>
  </sheetPr>
  <dimension ref="B1:J31"/>
  <sheetViews>
    <sheetView workbookViewId="0">
      <selection activeCell="D15" sqref="D15"/>
    </sheetView>
  </sheetViews>
  <sheetFormatPr baseColWidth="10" defaultColWidth="9.1640625" defaultRowHeight="13" x14ac:dyDescent="0.15"/>
  <cols>
    <col min="1" max="1" width="9.1640625" style="10"/>
    <col min="2" max="2" width="18.33203125" style="10" customWidth="1"/>
    <col min="3" max="3" width="7.33203125" style="10" customWidth="1"/>
    <col min="4" max="4" width="15" style="10" customWidth="1"/>
    <col min="5" max="7" width="9.1640625" style="10"/>
    <col min="8" max="8" width="13.5" style="10" customWidth="1"/>
    <col min="9" max="16384" width="9.1640625" style="10"/>
  </cols>
  <sheetData>
    <row r="1" spans="2:10" ht="14" thickBot="1" x14ac:dyDescent="0.2"/>
    <row r="2" spans="2:10" x14ac:dyDescent="0.15">
      <c r="B2" s="66" t="s">
        <v>49</v>
      </c>
      <c r="C2" s="67"/>
      <c r="D2" s="68"/>
      <c r="E2" s="72" t="s">
        <v>50</v>
      </c>
      <c r="H2" s="74" t="s">
        <v>51</v>
      </c>
      <c r="I2" s="74"/>
      <c r="J2" s="74">
        <v>15</v>
      </c>
    </row>
    <row r="3" spans="2:10" ht="14" thickBot="1" x14ac:dyDescent="0.2">
      <c r="B3" s="69"/>
      <c r="C3" s="70"/>
      <c r="D3" s="71"/>
      <c r="E3" s="73"/>
      <c r="H3" s="74"/>
      <c r="I3" s="74"/>
      <c r="J3" s="74"/>
    </row>
    <row r="4" spans="2:10" ht="14" thickBot="1" x14ac:dyDescent="0.2">
      <c r="B4" s="11" t="s">
        <v>21</v>
      </c>
      <c r="C4" s="12">
        <v>26.2</v>
      </c>
      <c r="D4" s="13">
        <f>IF(C4&gt;25,"výborně",IF(C4&gt;=20,"chvalitebně",IF(C4&gt;=15,"dobře","nedostatečně")))</f>
      </c>
      <c r="E4" s="25">
        <f>RANK(C4,$C$4:$C$31)</f>
        <v>9</v>
      </c>
      <c r="H4" s="10" t="s">
        <v>124</v>
      </c>
    </row>
    <row r="5" spans="2:10" ht="14" thickBot="1" x14ac:dyDescent="0.2">
      <c r="B5" s="14" t="s">
        <v>22</v>
      </c>
      <c r="C5" s="15">
        <v>28.3</v>
      </c>
      <c r="D5" s="13">
        <f>IF(C5&gt;25,"výborně",IF(C5&gt;=20,"chvalitebně",IF(C5&gt;=15,"dobře","nedostatečně")))</f>
      </c>
      <c r="E5" s="25">
        <f t="shared" ref="E5:E30" si="1">RANK(C5,$C$4:$C$31)</f>
        <v>2</v>
      </c>
      <c r="H5" s="10" t="s">
        <v>602</v>
      </c>
    </row>
    <row r="6" spans="2:10" ht="14" thickBot="1" x14ac:dyDescent="0.2">
      <c r="B6" s="14" t="s">
        <v>23</v>
      </c>
      <c r="C6" s="15">
        <v>27.6</v>
      </c>
      <c r="D6" s="13">
        <f>IF(C6&gt;25,"výborně",IF(C6&gt;=20,"chvalitebně",IF(C6&gt;=15,"dobře","nedostatečně")))</f>
      </c>
      <c r="E6" s="25">
        <f t="shared" si="1"/>
        <v>4</v>
      </c>
      <c r="H6" s="10" t="s">
        <v>130</v>
      </c>
    </row>
    <row r="7" spans="2:10" ht="14" thickBot="1" x14ac:dyDescent="0.2">
      <c r="B7" s="14" t="s">
        <v>24</v>
      </c>
      <c r="C7" s="15">
        <v>14.9</v>
      </c>
      <c r="D7" s="13">
        <f>IF(C7&gt;25,"výborně",IF(C7&gt;=20,"chvalitebně",IF(C7&gt;=15,"dobře","nedostatečně")))</f>
      </c>
      <c r="E7" s="25">
        <f t="shared" si="1"/>
        <v>27</v>
      </c>
      <c r="H7" s="10" t="s">
        <v>603</v>
      </c>
    </row>
    <row r="8" spans="2:10" ht="14" thickBot="1" x14ac:dyDescent="0.2">
      <c r="B8" s="14" t="s">
        <v>25</v>
      </c>
      <c r="C8" s="15">
        <v>19.5</v>
      </c>
      <c r="D8" s="13">
        <f>IF(C8&gt;25,"výborně",IF(C8&gt;=20,"chvalitebně",IF(C8&gt;=15,"dobře","nedostatečně")))</f>
      </c>
      <c r="E8" s="25">
        <f t="shared" si="1"/>
        <v>20</v>
      </c>
    </row>
    <row r="9" spans="2:10" ht="14" thickBot="1" x14ac:dyDescent="0.2">
      <c r="B9" s="14" t="s">
        <v>26</v>
      </c>
      <c r="C9" s="15">
        <v>29.1</v>
      </c>
      <c r="D9" s="13">
        <f>IF(C9&gt;25,"výborně",IF(C9&gt;=20,"chvalitebně",IF(C9&gt;=15,"dobře","nedostatečně")))</f>
      </c>
      <c r="E9" s="25">
        <f t="shared" si="1"/>
        <v>1</v>
      </c>
    </row>
    <row r="10" spans="2:10" ht="14" thickBot="1" x14ac:dyDescent="0.2">
      <c r="B10" s="14" t="s">
        <v>27</v>
      </c>
      <c r="C10" s="15">
        <v>19.3</v>
      </c>
      <c r="D10" s="13">
        <f>IF(C10&gt;25,"výborně",IF(C10&gt;=20,"chvalitebně",IF(C10&gt;=15,"dobře","nedostatečně")))</f>
      </c>
      <c r="E10" s="25">
        <f t="shared" si="1"/>
        <v>21</v>
      </c>
    </row>
    <row r="11" spans="2:10" ht="14" thickBot="1" x14ac:dyDescent="0.2">
      <c r="B11" s="14" t="s">
        <v>28</v>
      </c>
      <c r="C11" s="15">
        <v>24.4</v>
      </c>
      <c r="D11" s="13">
        <f>IF(C11&gt;25,"výborně",IF(C11&gt;=20,"chvalitebně",IF(C11&gt;=15,"dobře","nedostatečně")))</f>
      </c>
      <c r="E11" s="25">
        <f t="shared" si="1"/>
        <v>14</v>
      </c>
    </row>
    <row r="12" spans="2:10" ht="14" thickBot="1" x14ac:dyDescent="0.2">
      <c r="B12" s="14" t="s">
        <v>29</v>
      </c>
      <c r="C12" s="15">
        <v>25.1</v>
      </c>
      <c r="D12" s="13">
        <f>IF(C12&gt;25,"výborně",IF(C12&gt;=20,"chvalitebně",IF(C12&gt;=15,"dobře","nedostatečně")))</f>
      </c>
      <c r="E12" s="25">
        <f t="shared" si="1"/>
        <v>10</v>
      </c>
    </row>
    <row r="13" spans="2:10" ht="14" thickBot="1" x14ac:dyDescent="0.2">
      <c r="B13" s="14" t="s">
        <v>30</v>
      </c>
      <c r="C13" s="15">
        <v>26.6</v>
      </c>
      <c r="D13" s="13">
        <f>IF(C13&gt;25,"výborně",IF(C13&gt;=20,"chvalitebně",IF(C13&gt;=15,"dobře","nedostatečně")))</f>
      </c>
      <c r="E13" s="25">
        <f t="shared" si="1"/>
        <v>7</v>
      </c>
    </row>
    <row r="14" spans="2:10" ht="14" thickBot="1" x14ac:dyDescent="0.2">
      <c r="B14" s="14" t="s">
        <v>31</v>
      </c>
      <c r="C14" s="15">
        <v>19.2</v>
      </c>
      <c r="D14" s="13">
        <f>IF(C14&gt;25,"výborně",IF(C14&gt;=20,"chvalitebně",IF(C14&gt;=15,"dobře","nedostatečně")))</f>
      </c>
      <c r="E14" s="25">
        <f t="shared" si="1"/>
        <v>22</v>
      </c>
    </row>
    <row r="15" spans="2:10" ht="14" thickBot="1" x14ac:dyDescent="0.2">
      <c r="B15" s="14" t="s">
        <v>32</v>
      </c>
      <c r="C15" s="15">
        <v>20.399999999999999</v>
      </c>
      <c r="D15" s="13">
        <f>IF(C15&gt;25,"výborně",IF(C15&gt;=20,"chvalitebně",IF(C15&gt;=15,"dobře","nedostatečně")))</f>
      </c>
      <c r="E15" s="25">
        <f t="shared" si="1"/>
        <v>18</v>
      </c>
    </row>
    <row r="16" spans="2:10" ht="14" thickBot="1" x14ac:dyDescent="0.2">
      <c r="B16" s="14" t="s">
        <v>33</v>
      </c>
      <c r="C16" s="15">
        <v>27.9</v>
      </c>
      <c r="D16" s="13">
        <f>IF(C16&gt;25,"výborně",IF(C16&gt;=20,"chvalitebně",IF(C16&gt;=15,"dobře","nedostatečně")))</f>
      </c>
      <c r="E16" s="25">
        <f t="shared" si="1"/>
        <v>3</v>
      </c>
    </row>
    <row r="17" spans="2:5" ht="14" thickBot="1" x14ac:dyDescent="0.2">
      <c r="B17" s="14" t="s">
        <v>34</v>
      </c>
      <c r="C17" s="15">
        <v>13.8</v>
      </c>
      <c r="D17" s="13">
        <f>IF(C17&gt;25,"výborně",IF(C17&gt;=20,"chvalitebně",IF(C17&gt;=15,"dobře","nedostatečně")))</f>
      </c>
      <c r="E17" s="25">
        <f t="shared" si="1"/>
        <v>28</v>
      </c>
    </row>
    <row r="18" spans="2:5" ht="14" thickBot="1" x14ac:dyDescent="0.2">
      <c r="B18" s="14" t="s">
        <v>35</v>
      </c>
      <c r="C18" s="15">
        <v>26.8</v>
      </c>
      <c r="D18" s="13">
        <f>IF(C18&gt;25,"výborně",IF(C18&gt;=20,"chvalitebně",IF(C18&gt;=15,"dobře","nedostatečně")))</f>
      </c>
      <c r="E18" s="25">
        <f t="shared" si="1"/>
        <v>6</v>
      </c>
    </row>
    <row r="19" spans="2:5" ht="14" thickBot="1" x14ac:dyDescent="0.2">
      <c r="B19" s="14" t="s">
        <v>36</v>
      </c>
      <c r="C19" s="15">
        <v>24.7</v>
      </c>
      <c r="D19" s="13">
        <f>IF(C19&gt;25,"výborně",IF(C19&gt;=20,"chvalitebně",IF(C19&gt;=15,"dobře","nedostatečně")))</f>
      </c>
      <c r="E19" s="25">
        <f t="shared" si="1"/>
        <v>12</v>
      </c>
    </row>
    <row r="20" spans="2:5" ht="14" thickBot="1" x14ac:dyDescent="0.2">
      <c r="B20" s="14" t="s">
        <v>37</v>
      </c>
      <c r="C20" s="15">
        <v>18.2</v>
      </c>
      <c r="D20" s="13">
        <f>IF(C20&gt;25,"výborně",IF(C20&gt;=20,"chvalitebně",IF(C20&gt;=15,"dobře","nedostatečně")))</f>
      </c>
      <c r="E20" s="25">
        <f t="shared" si="1"/>
        <v>25</v>
      </c>
    </row>
    <row r="21" spans="2:5" ht="14" thickBot="1" x14ac:dyDescent="0.2">
      <c r="B21" s="14" t="s">
        <v>38</v>
      </c>
      <c r="C21" s="15">
        <v>22.2</v>
      </c>
      <c r="D21" s="13">
        <f>IF(C21&gt;25,"výborně",IF(C21&gt;=20,"chvalitebně",IF(C21&gt;=15,"dobře","nedostatečně")))</f>
      </c>
      <c r="E21" s="25">
        <f t="shared" si="1"/>
        <v>17</v>
      </c>
    </row>
    <row r="22" spans="2:5" ht="14" thickBot="1" x14ac:dyDescent="0.2">
      <c r="B22" s="14" t="s">
        <v>39</v>
      </c>
      <c r="C22" s="15">
        <v>16.7</v>
      </c>
      <c r="D22" s="13">
        <f>IF(C22&gt;25,"výborně",IF(C22&gt;=20,"chvalitebně",IF(C22&gt;=15,"dobře","nedostatečně")))</f>
      </c>
      <c r="E22" s="25">
        <f t="shared" si="1"/>
        <v>26</v>
      </c>
    </row>
    <row r="23" spans="2:5" ht="14" thickBot="1" x14ac:dyDescent="0.2">
      <c r="B23" s="14" t="s">
        <v>40</v>
      </c>
      <c r="C23" s="15">
        <v>24.9</v>
      </c>
      <c r="D23" s="13">
        <f>IF(C23&gt;25,"výborně",IF(C23&gt;=20,"chvalitebně",IF(C23&gt;=15,"dobře","nedostatečně")))</f>
      </c>
      <c r="E23" s="25">
        <f t="shared" si="1"/>
        <v>11</v>
      </c>
    </row>
    <row r="24" spans="2:5" ht="14" thickBot="1" x14ac:dyDescent="0.2">
      <c r="B24" s="14" t="s">
        <v>41</v>
      </c>
      <c r="C24" s="15">
        <v>22.7</v>
      </c>
      <c r="D24" s="13">
        <f>IF(C24&gt;25,"výborně",IF(C24&gt;=20,"chvalitebně",IF(C24&gt;=15,"dobře","nedostatečně")))</f>
      </c>
      <c r="E24" s="25">
        <f t="shared" si="1"/>
        <v>16</v>
      </c>
    </row>
    <row r="25" spans="2:5" ht="14" thickBot="1" x14ac:dyDescent="0.2">
      <c r="B25" s="14" t="s">
        <v>42</v>
      </c>
      <c r="C25" s="15">
        <v>18.399999999999999</v>
      </c>
      <c r="D25" s="13">
        <f>IF(C25&gt;25,"výborně",IF(C25&gt;=20,"chvalitebně",IF(C25&gt;=15,"dobře","nedostatečně")))</f>
      </c>
      <c r="E25" s="25">
        <f t="shared" si="1"/>
        <v>23</v>
      </c>
    </row>
    <row r="26" spans="2:5" ht="14" thickBot="1" x14ac:dyDescent="0.2">
      <c r="B26" s="14" t="s">
        <v>43</v>
      </c>
      <c r="C26" s="15">
        <v>23.1</v>
      </c>
      <c r="D26" s="13">
        <f>IF(C26&gt;25,"výborně",IF(C26&gt;=20,"chvalitebně",IF(C26&gt;=15,"dobře","nedostatečně")))</f>
      </c>
      <c r="E26" s="25">
        <f t="shared" si="1"/>
        <v>15</v>
      </c>
    </row>
    <row r="27" spans="2:5" ht="14" thickBot="1" x14ac:dyDescent="0.2">
      <c r="B27" s="14" t="s">
        <v>44</v>
      </c>
      <c r="C27" s="15">
        <v>24.5</v>
      </c>
      <c r="D27" s="13">
        <f>IF(C27&gt;25,"výborně",IF(C27&gt;=20,"chvalitebně",IF(C27&gt;=15,"dobře","nedostatečně")))</f>
      </c>
      <c r="E27" s="25">
        <f t="shared" si="1"/>
        <v>13</v>
      </c>
    </row>
    <row r="28" spans="2:5" ht="14" thickBot="1" x14ac:dyDescent="0.2">
      <c r="B28" s="14" t="s">
        <v>45</v>
      </c>
      <c r="C28" s="15">
        <v>19.600000000000001</v>
      </c>
      <c r="D28" s="13">
        <f>IF(C28&gt;25,"výborně",IF(C28&gt;=20,"chvalitebně",IF(C28&gt;=15,"dobře","nedostatečně")))</f>
      </c>
      <c r="E28" s="25">
        <f t="shared" si="1"/>
        <v>19</v>
      </c>
    </row>
    <row r="29" spans="2:5" ht="14" thickBot="1" x14ac:dyDescent="0.2">
      <c r="B29" s="14" t="s">
        <v>46</v>
      </c>
      <c r="C29" s="15">
        <v>18.3</v>
      </c>
      <c r="D29" s="13">
        <f>IF(C29&gt;25,"výborně",IF(C29&gt;=20,"chvalitebně",IF(C29&gt;=15,"dobře","nedostatečně")))</f>
      </c>
      <c r="E29" s="25">
        <f t="shared" si="1"/>
        <v>24</v>
      </c>
    </row>
    <row r="30" spans="2:5" ht="14" thickBot="1" x14ac:dyDescent="0.2">
      <c r="B30" s="14" t="s">
        <v>47</v>
      </c>
      <c r="C30" s="15">
        <v>26.5</v>
      </c>
      <c r="D30" s="13">
        <f>IF(C30&gt;25,"výborně",IF(C30&gt;=20,"chvalitebně",IF(C30&gt;=15,"dobře","nedostatečně")))</f>
      </c>
      <c r="E30" s="25">
        <f t="shared" si="1"/>
        <v>8</v>
      </c>
    </row>
    <row r="31" spans="2:5" ht="14" thickBot="1" x14ac:dyDescent="0.2">
      <c r="B31" s="16" t="s">
        <v>48</v>
      </c>
      <c r="C31" s="17">
        <v>27.4</v>
      </c>
      <c r="D31" s="13">
        <f>IF(C31&gt;25,"výborně",IF(C31&gt;=20,"chvalitebně",IF(C31&gt;=15,"dobře","nedostatečně")))</f>
      </c>
      <c r="E31" s="25">
        <f>RANK(C31,$C$4:$C$31)</f>
        <v>5</v>
      </c>
    </row>
  </sheetData>
  <mergeCells count="4">
    <mergeCell ref="B2:D3"/>
    <mergeCell ref="E2:E3"/>
    <mergeCell ref="H2:I3"/>
    <mergeCell ref="J2:J3"/>
  </mergeCells>
  <phoneticPr fontId="3" type="noConversion"/>
  <conditionalFormatting sqref="D4:D31">
    <cfRule type="containsText" dxfId="8" priority="3" stopIfTrue="1" operator="containsText" text="výborně">
      <formula>NOT(ISERROR(SEARCH("výborně",D4)))</formula>
    </cfRule>
    <cfRule type="containsText" dxfId="7" priority="4" stopIfTrue="1" operator="containsText" text="chvalitebně">
      <formula>NOT(ISERROR(SEARCH("chvalitebně",D4)))</formula>
    </cfRule>
    <cfRule type="containsText" dxfId="6" priority="5" stopIfTrue="1" operator="containsText" text="dobře">
      <formula>NOT(ISERROR(SEARCH("dobře",D4)))</formula>
    </cfRule>
    <cfRule type="containsText" dxfId="3" priority="6" stopIfTrue="1" operator="containsText" text="nedostatečně">
      <formula>NOT(ISERROR(SEARCH("nedostatečně",D4)))</formula>
    </cfRule>
  </conditionalFormatting>
  <conditionalFormatting sqref="E4:E31">
    <cfRule type="cellIs" dxfId="5" priority="1" stopIfTrue="1" operator="greaterThan">
      <formula>$J$2</formula>
    </cfRule>
    <cfRule type="cellIs" dxfId="4" priority="2" stopIfTrue="1" operator="lessThanOrEqual">
      <formula>$J$2</formula>
    </cfRule>
  </conditionalFormatting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9904-B677-DF4D-8F85-213B790971F5}">
  <sheetPr>
    <tabColor rgb="FF7030A0"/>
  </sheetPr>
  <dimension ref="C1:F33"/>
  <sheetViews>
    <sheetView workbookViewId="0">
      <selection activeCell="F10" sqref="F9:F10"/>
    </sheetView>
  </sheetViews>
  <sheetFormatPr baseColWidth="10" defaultColWidth="9.1640625" defaultRowHeight="15" x14ac:dyDescent="0.2"/>
  <cols>
    <col min="1" max="1" width="9.1640625" style="45"/>
    <col min="2" max="2" width="7.6640625" style="45" customWidth="1"/>
    <col min="3" max="4" width="9.1640625" style="46"/>
    <col min="5" max="5" width="11.6640625" style="46" customWidth="1"/>
    <col min="6" max="6" width="20.6640625" style="46" customWidth="1"/>
    <col min="7" max="16384" width="9.1640625" style="45"/>
  </cols>
  <sheetData>
    <row r="1" spans="3:6" ht="16" thickBot="1" x14ac:dyDescent="0.25"/>
    <row r="2" spans="3:6" ht="17" thickTop="1" thickBot="1" x14ac:dyDescent="0.25">
      <c r="C2" s="47" t="s">
        <v>585</v>
      </c>
      <c r="D2" s="47" t="s">
        <v>586</v>
      </c>
      <c r="E2" s="47" t="s">
        <v>590</v>
      </c>
      <c r="F2" s="47" t="s">
        <v>587</v>
      </c>
    </row>
    <row r="3" spans="3:6" ht="16" thickTop="1" x14ac:dyDescent="0.2">
      <c r="C3" s="48" t="s">
        <v>588</v>
      </c>
      <c r="D3" s="48">
        <f ca="1">ROUND(RAND()*20+50,0)</f>
        <v>61</v>
      </c>
      <c r="E3" s="48">
        <f ca="1">ROUND(RAND()*4,0)</f>
        <v>3</v>
      </c>
      <c r="F3" s="48" t="str">
        <f ca="1">IF(OR(AND(C3="muž",D3&gt;=65),AND(C3="žena",D3&gt;=62-E3)),"Má nárok","Nemá nárok")</f>
        <v>Nemá nárok</v>
      </c>
    </row>
    <row r="4" spans="3:6" x14ac:dyDescent="0.2">
      <c r="C4" s="49" t="s">
        <v>588</v>
      </c>
      <c r="D4" s="49">
        <f t="shared" ref="D4:D33" ca="1" si="0">ROUND(RAND()*20+50,0)</f>
        <v>67</v>
      </c>
      <c r="E4" s="49">
        <f t="shared" ref="E4:E33" ca="1" si="1">ROUND(RAND()*4,0)</f>
        <v>3</v>
      </c>
      <c r="F4" s="48" t="str">
        <f t="shared" ref="F4:F33" ca="1" si="2">IF(OR(AND(C4="muž",D4&gt;=65),AND(C4="žena",D4&gt;=62-E4)),"Má nárok","Nemá nárok")</f>
        <v>Má nárok</v>
      </c>
    </row>
    <row r="5" spans="3:6" x14ac:dyDescent="0.2">
      <c r="C5" s="50" t="s">
        <v>589</v>
      </c>
      <c r="D5" s="50">
        <f t="shared" ca="1" si="0"/>
        <v>59</v>
      </c>
      <c r="E5" s="50">
        <f t="shared" ca="1" si="1"/>
        <v>0</v>
      </c>
      <c r="F5" s="48" t="str">
        <f t="shared" ca="1" si="2"/>
        <v>Nemá nárok</v>
      </c>
    </row>
    <row r="6" spans="3:6" x14ac:dyDescent="0.2">
      <c r="C6" s="49" t="s">
        <v>588</v>
      </c>
      <c r="D6" s="49">
        <f t="shared" ca="1" si="0"/>
        <v>64</v>
      </c>
      <c r="E6" s="49">
        <f t="shared" ca="1" si="1"/>
        <v>2</v>
      </c>
      <c r="F6" s="48" t="str">
        <f t="shared" ca="1" si="2"/>
        <v>Nemá nárok</v>
      </c>
    </row>
    <row r="7" spans="3:6" x14ac:dyDescent="0.2">
      <c r="C7" s="50" t="s">
        <v>588</v>
      </c>
      <c r="D7" s="50">
        <f t="shared" ca="1" si="0"/>
        <v>62</v>
      </c>
      <c r="E7" s="50">
        <f t="shared" ca="1" si="1"/>
        <v>3</v>
      </c>
      <c r="F7" s="48" t="str">
        <f t="shared" ca="1" si="2"/>
        <v>Nemá nárok</v>
      </c>
    </row>
    <row r="8" spans="3:6" x14ac:dyDescent="0.2">
      <c r="C8" s="49" t="s">
        <v>589</v>
      </c>
      <c r="D8" s="49">
        <f t="shared" ca="1" si="0"/>
        <v>61</v>
      </c>
      <c r="E8" s="49">
        <f t="shared" ca="1" si="1"/>
        <v>0</v>
      </c>
      <c r="F8" s="48" t="str">
        <f t="shared" ca="1" si="2"/>
        <v>Nemá nárok</v>
      </c>
    </row>
    <row r="9" spans="3:6" x14ac:dyDescent="0.2">
      <c r="C9" s="50" t="s">
        <v>588</v>
      </c>
      <c r="D9" s="50">
        <f t="shared" ca="1" si="0"/>
        <v>61</v>
      </c>
      <c r="E9" s="50">
        <f t="shared" ca="1" si="1"/>
        <v>2</v>
      </c>
      <c r="F9" s="48" t="str">
        <f t="shared" ca="1" si="2"/>
        <v>Nemá nárok</v>
      </c>
    </row>
    <row r="10" spans="3:6" x14ac:dyDescent="0.2">
      <c r="C10" s="49" t="s">
        <v>589</v>
      </c>
      <c r="D10" s="49">
        <f t="shared" ca="1" si="0"/>
        <v>68</v>
      </c>
      <c r="E10" s="49">
        <f t="shared" ca="1" si="1"/>
        <v>1</v>
      </c>
      <c r="F10" s="48" t="str">
        <f t="shared" ca="1" si="2"/>
        <v>Má nárok</v>
      </c>
    </row>
    <row r="11" spans="3:6" x14ac:dyDescent="0.2">
      <c r="C11" s="50" t="s">
        <v>588</v>
      </c>
      <c r="D11" s="50">
        <f t="shared" ca="1" si="0"/>
        <v>61</v>
      </c>
      <c r="E11" s="50">
        <f t="shared" ca="1" si="1"/>
        <v>2</v>
      </c>
      <c r="F11" s="48" t="str">
        <f t="shared" ca="1" si="2"/>
        <v>Nemá nárok</v>
      </c>
    </row>
    <row r="12" spans="3:6" x14ac:dyDescent="0.2">
      <c r="C12" s="49" t="s">
        <v>589</v>
      </c>
      <c r="D12" s="49">
        <f t="shared" ca="1" si="0"/>
        <v>52</v>
      </c>
      <c r="E12" s="49">
        <f t="shared" ca="1" si="1"/>
        <v>1</v>
      </c>
      <c r="F12" s="48" t="str">
        <f t="shared" ca="1" si="2"/>
        <v>Nemá nárok</v>
      </c>
    </row>
    <row r="13" spans="3:6" x14ac:dyDescent="0.2">
      <c r="C13" s="50" t="s">
        <v>589</v>
      </c>
      <c r="D13" s="50">
        <f t="shared" ca="1" si="0"/>
        <v>69</v>
      </c>
      <c r="E13" s="50">
        <f t="shared" ca="1" si="1"/>
        <v>3</v>
      </c>
      <c r="F13" s="48" t="str">
        <f t="shared" ca="1" si="2"/>
        <v>Má nárok</v>
      </c>
    </row>
    <row r="14" spans="3:6" x14ac:dyDescent="0.2">
      <c r="C14" s="49" t="s">
        <v>589</v>
      </c>
      <c r="D14" s="49">
        <f t="shared" ca="1" si="0"/>
        <v>67</v>
      </c>
      <c r="E14" s="49">
        <f t="shared" ca="1" si="1"/>
        <v>1</v>
      </c>
      <c r="F14" s="48" t="str">
        <f t="shared" ca="1" si="2"/>
        <v>Má nárok</v>
      </c>
    </row>
    <row r="15" spans="3:6" x14ac:dyDescent="0.2">
      <c r="C15" s="50" t="s">
        <v>588</v>
      </c>
      <c r="D15" s="50">
        <f t="shared" ca="1" si="0"/>
        <v>67</v>
      </c>
      <c r="E15" s="50">
        <f t="shared" ca="1" si="1"/>
        <v>3</v>
      </c>
      <c r="F15" s="48" t="str">
        <f t="shared" ca="1" si="2"/>
        <v>Má nárok</v>
      </c>
    </row>
    <row r="16" spans="3:6" x14ac:dyDescent="0.2">
      <c r="C16" s="49" t="s">
        <v>588</v>
      </c>
      <c r="D16" s="49">
        <f t="shared" ca="1" si="0"/>
        <v>56</v>
      </c>
      <c r="E16" s="49">
        <f t="shared" ca="1" si="1"/>
        <v>3</v>
      </c>
      <c r="F16" s="48" t="str">
        <f t="shared" ca="1" si="2"/>
        <v>Nemá nárok</v>
      </c>
    </row>
    <row r="17" spans="3:6" x14ac:dyDescent="0.2">
      <c r="C17" s="50" t="s">
        <v>589</v>
      </c>
      <c r="D17" s="50">
        <f t="shared" ca="1" si="0"/>
        <v>61</v>
      </c>
      <c r="E17" s="50">
        <f t="shared" ca="1" si="1"/>
        <v>0</v>
      </c>
      <c r="F17" s="48" t="str">
        <f t="shared" ca="1" si="2"/>
        <v>Nemá nárok</v>
      </c>
    </row>
    <row r="18" spans="3:6" x14ac:dyDescent="0.2">
      <c r="C18" s="49" t="s">
        <v>588</v>
      </c>
      <c r="D18" s="49">
        <f t="shared" ca="1" si="0"/>
        <v>54</v>
      </c>
      <c r="E18" s="49">
        <f t="shared" ca="1" si="1"/>
        <v>1</v>
      </c>
      <c r="F18" s="48" t="str">
        <f t="shared" ca="1" si="2"/>
        <v>Nemá nárok</v>
      </c>
    </row>
    <row r="19" spans="3:6" x14ac:dyDescent="0.2">
      <c r="C19" s="50" t="s">
        <v>589</v>
      </c>
      <c r="D19" s="50">
        <f t="shared" ca="1" si="0"/>
        <v>63</v>
      </c>
      <c r="E19" s="50">
        <f t="shared" ca="1" si="1"/>
        <v>3</v>
      </c>
      <c r="F19" s="48" t="str">
        <f t="shared" ca="1" si="2"/>
        <v>Má nárok</v>
      </c>
    </row>
    <row r="20" spans="3:6" x14ac:dyDescent="0.2">
      <c r="C20" s="49" t="s">
        <v>588</v>
      </c>
      <c r="D20" s="49">
        <f t="shared" ca="1" si="0"/>
        <v>65</v>
      </c>
      <c r="E20" s="49">
        <f t="shared" ca="1" si="1"/>
        <v>3</v>
      </c>
      <c r="F20" s="48" t="str">
        <f t="shared" ca="1" si="2"/>
        <v>Má nárok</v>
      </c>
    </row>
    <row r="21" spans="3:6" x14ac:dyDescent="0.2">
      <c r="C21" s="50" t="s">
        <v>589</v>
      </c>
      <c r="D21" s="50">
        <f t="shared" ca="1" si="0"/>
        <v>61</v>
      </c>
      <c r="E21" s="50">
        <f t="shared" ca="1" si="1"/>
        <v>0</v>
      </c>
      <c r="F21" s="48" t="str">
        <f t="shared" ca="1" si="2"/>
        <v>Nemá nárok</v>
      </c>
    </row>
    <row r="22" spans="3:6" x14ac:dyDescent="0.2">
      <c r="C22" s="49" t="s">
        <v>589</v>
      </c>
      <c r="D22" s="49">
        <f t="shared" ca="1" si="0"/>
        <v>67</v>
      </c>
      <c r="E22" s="49">
        <f t="shared" ca="1" si="1"/>
        <v>0</v>
      </c>
      <c r="F22" s="48" t="str">
        <f t="shared" ca="1" si="2"/>
        <v>Má nárok</v>
      </c>
    </row>
    <row r="23" spans="3:6" x14ac:dyDescent="0.2">
      <c r="C23" s="50" t="s">
        <v>589</v>
      </c>
      <c r="D23" s="50">
        <f t="shared" ca="1" si="0"/>
        <v>62</v>
      </c>
      <c r="E23" s="50">
        <f t="shared" ca="1" si="1"/>
        <v>2</v>
      </c>
      <c r="F23" s="48" t="str">
        <f t="shared" ca="1" si="2"/>
        <v>Má nárok</v>
      </c>
    </row>
    <row r="24" spans="3:6" x14ac:dyDescent="0.2">
      <c r="C24" s="49" t="s">
        <v>588</v>
      </c>
      <c r="D24" s="49">
        <f t="shared" ca="1" si="0"/>
        <v>69</v>
      </c>
      <c r="E24" s="49">
        <f t="shared" ca="1" si="1"/>
        <v>3</v>
      </c>
      <c r="F24" s="48" t="str">
        <f t="shared" ca="1" si="2"/>
        <v>Má nárok</v>
      </c>
    </row>
    <row r="25" spans="3:6" x14ac:dyDescent="0.2">
      <c r="C25" s="50" t="s">
        <v>588</v>
      </c>
      <c r="D25" s="50">
        <f t="shared" ca="1" si="0"/>
        <v>66</v>
      </c>
      <c r="E25" s="50">
        <f t="shared" ca="1" si="1"/>
        <v>1</v>
      </c>
      <c r="F25" s="48" t="str">
        <f t="shared" ca="1" si="2"/>
        <v>Má nárok</v>
      </c>
    </row>
    <row r="26" spans="3:6" x14ac:dyDescent="0.2">
      <c r="C26" s="49" t="s">
        <v>589</v>
      </c>
      <c r="D26" s="49">
        <f t="shared" ca="1" si="0"/>
        <v>51</v>
      </c>
      <c r="E26" s="49">
        <f t="shared" ca="1" si="1"/>
        <v>1</v>
      </c>
      <c r="F26" s="48" t="str">
        <f t="shared" ca="1" si="2"/>
        <v>Nemá nárok</v>
      </c>
    </row>
    <row r="27" spans="3:6" x14ac:dyDescent="0.2">
      <c r="C27" s="50" t="s">
        <v>588</v>
      </c>
      <c r="D27" s="50">
        <f t="shared" ca="1" si="0"/>
        <v>51</v>
      </c>
      <c r="E27" s="50">
        <f t="shared" ca="1" si="1"/>
        <v>2</v>
      </c>
      <c r="F27" s="48" t="str">
        <f t="shared" ca="1" si="2"/>
        <v>Nemá nárok</v>
      </c>
    </row>
    <row r="28" spans="3:6" x14ac:dyDescent="0.2">
      <c r="C28" s="49" t="s">
        <v>589</v>
      </c>
      <c r="D28" s="49">
        <f t="shared" ca="1" si="0"/>
        <v>65</v>
      </c>
      <c r="E28" s="49">
        <f t="shared" ca="1" si="1"/>
        <v>1</v>
      </c>
      <c r="F28" s="48" t="str">
        <f t="shared" ca="1" si="2"/>
        <v>Má nárok</v>
      </c>
    </row>
    <row r="29" spans="3:6" x14ac:dyDescent="0.2">
      <c r="C29" s="50" t="s">
        <v>589</v>
      </c>
      <c r="D29" s="50">
        <f t="shared" ca="1" si="0"/>
        <v>60</v>
      </c>
      <c r="E29" s="50">
        <f t="shared" ca="1" si="1"/>
        <v>0</v>
      </c>
      <c r="F29" s="48" t="str">
        <f t="shared" ca="1" si="2"/>
        <v>Nemá nárok</v>
      </c>
    </row>
    <row r="30" spans="3:6" x14ac:dyDescent="0.2">
      <c r="C30" s="49" t="s">
        <v>588</v>
      </c>
      <c r="D30" s="49">
        <f t="shared" ca="1" si="0"/>
        <v>62</v>
      </c>
      <c r="E30" s="49">
        <f t="shared" ca="1" si="1"/>
        <v>3</v>
      </c>
      <c r="F30" s="48" t="str">
        <f t="shared" ca="1" si="2"/>
        <v>Nemá nárok</v>
      </c>
    </row>
    <row r="31" spans="3:6" x14ac:dyDescent="0.2">
      <c r="C31" s="50" t="s">
        <v>588</v>
      </c>
      <c r="D31" s="50">
        <f t="shared" ca="1" si="0"/>
        <v>61</v>
      </c>
      <c r="E31" s="50">
        <f t="shared" ca="1" si="1"/>
        <v>2</v>
      </c>
      <c r="F31" s="48" t="str">
        <f t="shared" ca="1" si="2"/>
        <v>Nemá nárok</v>
      </c>
    </row>
    <row r="32" spans="3:6" x14ac:dyDescent="0.2">
      <c r="C32" s="49" t="s">
        <v>589</v>
      </c>
      <c r="D32" s="49">
        <f t="shared" ca="1" si="0"/>
        <v>54</v>
      </c>
      <c r="E32" s="49">
        <f t="shared" ca="1" si="1"/>
        <v>2</v>
      </c>
      <c r="F32" s="48" t="str">
        <f t="shared" ca="1" si="2"/>
        <v>Nemá nárok</v>
      </c>
    </row>
    <row r="33" spans="3:6" x14ac:dyDescent="0.2">
      <c r="C33" s="50" t="s">
        <v>588</v>
      </c>
      <c r="D33" s="50">
        <f t="shared" ca="1" si="0"/>
        <v>62</v>
      </c>
      <c r="E33" s="50">
        <f t="shared" ca="1" si="1"/>
        <v>3</v>
      </c>
      <c r="F33" s="48" t="str">
        <f t="shared" ca="1" si="2"/>
        <v>Nemá nárok</v>
      </c>
    </row>
  </sheetData>
  <pageMargins left="0.7" right="0.7" top="0.78740157499999996" bottom="0.78740157499999996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2772-C9C2-D049-8017-756D9C7305DF}">
  <sheetPr>
    <tabColor rgb="FF00B050"/>
  </sheetPr>
  <dimension ref="A1:Q385"/>
  <sheetViews>
    <sheetView workbookViewId="0">
      <selection activeCell="M11" sqref="M11"/>
    </sheetView>
  </sheetViews>
  <sheetFormatPr baseColWidth="10" defaultColWidth="8.83203125" defaultRowHeight="15" x14ac:dyDescent="0.2"/>
  <cols>
    <col min="1" max="1" width="15.83203125" customWidth="1"/>
    <col min="2" max="2" width="8.83203125" customWidth="1"/>
    <col min="3" max="3" width="9.1640625" style="40" customWidth="1"/>
    <col min="4" max="4" width="13.5" style="30" customWidth="1"/>
    <col min="5" max="7" width="9.1640625" style="30" customWidth="1"/>
    <col min="8" max="8" width="15.6640625" style="30" customWidth="1"/>
    <col min="9" max="9" width="10.33203125" style="30" customWidth="1"/>
    <col min="10" max="17" width="9.1640625" style="30" customWidth="1"/>
  </cols>
  <sheetData>
    <row r="1" spans="1:13" ht="17" thickBot="1" x14ac:dyDescent="0.25">
      <c r="A1" s="39" t="s">
        <v>119</v>
      </c>
      <c r="B1" s="39" t="s">
        <v>120</v>
      </c>
      <c r="C1" s="40">
        <f ca="1">CEILING(RAND()*4,1)</f>
        <v>3</v>
      </c>
      <c r="D1" s="30" t="str">
        <f ca="1">IF(C1=1,$H$3,IF(C1=2,$H$4,IF(C1=3,$H$5,IF(C1=4,$H$6))))</f>
        <v>dobře</v>
      </c>
    </row>
    <row r="2" spans="1:13" ht="16" x14ac:dyDescent="0.2">
      <c r="A2" s="39" t="s">
        <v>121</v>
      </c>
      <c r="B2" s="39" t="s">
        <v>2</v>
      </c>
      <c r="C2" s="40">
        <f t="shared" ref="C2:C65" ca="1" si="0">CEILING(RAND()*4,1)</f>
        <v>4</v>
      </c>
      <c r="D2" s="30" t="str">
        <f t="shared" ref="D2:D65" ca="1" si="1">IF(C2=1,$H$3,IF(C2=2,$H$4,IF(C2=3,$H$5,IF(C2=4,$H$6))))</f>
        <v>nevyhovující</v>
      </c>
      <c r="G2" s="75" t="s">
        <v>122</v>
      </c>
      <c r="H2" s="76"/>
      <c r="I2" s="57" t="s">
        <v>601</v>
      </c>
    </row>
    <row r="3" spans="1:13" ht="16" x14ac:dyDescent="0.2">
      <c r="A3" s="39" t="s">
        <v>123</v>
      </c>
      <c r="B3" s="39" t="s">
        <v>2</v>
      </c>
      <c r="C3" s="40">
        <f t="shared" ca="1" si="0"/>
        <v>4</v>
      </c>
      <c r="D3" s="30" t="str">
        <f t="shared" ca="1" si="1"/>
        <v>nevyhovující</v>
      </c>
      <c r="G3" s="41">
        <v>1</v>
      </c>
      <c r="H3" s="42" t="s">
        <v>124</v>
      </c>
      <c r="I3" s="58">
        <f ca="1">COUNTIF(C1:C385,1)</f>
        <v>95</v>
      </c>
    </row>
    <row r="4" spans="1:13" ht="16" x14ac:dyDescent="0.2">
      <c r="A4" s="39" t="s">
        <v>125</v>
      </c>
      <c r="B4" s="39" t="s">
        <v>126</v>
      </c>
      <c r="C4" s="40">
        <f t="shared" ca="1" si="0"/>
        <v>3</v>
      </c>
      <c r="D4" s="30" t="str">
        <f t="shared" ca="1" si="1"/>
        <v>dobře</v>
      </c>
      <c r="G4" s="41">
        <v>2</v>
      </c>
      <c r="H4" s="42" t="s">
        <v>127</v>
      </c>
      <c r="I4" s="58">
        <f ca="1">COUNTIF(C1:C385,2)</f>
        <v>88</v>
      </c>
    </row>
    <row r="5" spans="1:13" ht="16" x14ac:dyDescent="0.2">
      <c r="A5" s="39" t="s">
        <v>128</v>
      </c>
      <c r="B5" s="39" t="s">
        <v>129</v>
      </c>
      <c r="C5" s="40">
        <f t="shared" ca="1" si="0"/>
        <v>1</v>
      </c>
      <c r="D5" s="30" t="str">
        <f t="shared" ca="1" si="1"/>
        <v>výborně</v>
      </c>
      <c r="G5" s="41">
        <v>3</v>
      </c>
      <c r="H5" s="42" t="s">
        <v>130</v>
      </c>
      <c r="I5" s="58">
        <f ca="1">COUNTIF(C1:C385,3)</f>
        <v>109</v>
      </c>
    </row>
    <row r="6" spans="1:13" ht="17" thickBot="1" x14ac:dyDescent="0.25">
      <c r="A6" s="39" t="s">
        <v>131</v>
      </c>
      <c r="B6" s="39" t="s">
        <v>132</v>
      </c>
      <c r="C6" s="40">
        <f t="shared" ca="1" si="0"/>
        <v>2</v>
      </c>
      <c r="D6" s="30" t="str">
        <f t="shared" ca="1" si="1"/>
        <v>velmi dobře</v>
      </c>
      <c r="G6" s="43">
        <v>4</v>
      </c>
      <c r="H6" s="44" t="s">
        <v>133</v>
      </c>
      <c r="I6" s="59">
        <f ca="1">COUNTIF(C1:C385,4)</f>
        <v>93</v>
      </c>
    </row>
    <row r="7" spans="1:13" ht="16" x14ac:dyDescent="0.2">
      <c r="A7" s="39" t="s">
        <v>131</v>
      </c>
      <c r="B7" s="39" t="s">
        <v>134</v>
      </c>
      <c r="C7" s="40">
        <f t="shared" ca="1" si="0"/>
        <v>4</v>
      </c>
      <c r="D7" s="30" t="str">
        <f t="shared" ca="1" si="1"/>
        <v>nevyhovující</v>
      </c>
    </row>
    <row r="8" spans="1:13" ht="16" x14ac:dyDescent="0.2">
      <c r="A8" s="39" t="s">
        <v>135</v>
      </c>
      <c r="B8" s="39" t="s">
        <v>136</v>
      </c>
      <c r="C8" s="40">
        <f t="shared" ca="1" si="0"/>
        <v>4</v>
      </c>
      <c r="D8" s="30" t="str">
        <f t="shared" ca="1" si="1"/>
        <v>nevyhovující</v>
      </c>
    </row>
    <row r="9" spans="1:13" ht="16" x14ac:dyDescent="0.2">
      <c r="A9" s="39" t="s">
        <v>137</v>
      </c>
      <c r="B9" s="39" t="s">
        <v>138</v>
      </c>
      <c r="C9" s="40">
        <f t="shared" ca="1" si="0"/>
        <v>4</v>
      </c>
      <c r="D9" s="30" t="str">
        <f t="shared" ca="1" si="1"/>
        <v>nevyhovující</v>
      </c>
    </row>
    <row r="10" spans="1:13" ht="16" x14ac:dyDescent="0.2">
      <c r="A10" s="39" t="s">
        <v>139</v>
      </c>
      <c r="B10" s="39" t="s">
        <v>140</v>
      </c>
      <c r="C10" s="40">
        <f t="shared" ca="1" si="0"/>
        <v>1</v>
      </c>
      <c r="D10" s="30" t="str">
        <f t="shared" ca="1" si="1"/>
        <v>výborně</v>
      </c>
    </row>
    <row r="11" spans="1:13" ht="16" x14ac:dyDescent="0.2">
      <c r="A11" s="39" t="s">
        <v>141</v>
      </c>
      <c r="B11" s="39" t="s">
        <v>132</v>
      </c>
      <c r="C11" s="40">
        <f t="shared" ca="1" si="0"/>
        <v>4</v>
      </c>
      <c r="D11" s="30" t="str">
        <f t="shared" ca="1" si="1"/>
        <v>nevyhovující</v>
      </c>
    </row>
    <row r="12" spans="1:13" ht="16" x14ac:dyDescent="0.2">
      <c r="A12" s="39" t="s">
        <v>142</v>
      </c>
      <c r="B12" s="39" t="s">
        <v>143</v>
      </c>
      <c r="C12" s="40">
        <f t="shared" ca="1" si="0"/>
        <v>1</v>
      </c>
      <c r="D12" s="30" t="str">
        <f t="shared" ca="1" si="1"/>
        <v>výborně</v>
      </c>
    </row>
    <row r="13" spans="1:13" ht="16" x14ac:dyDescent="0.2">
      <c r="A13" s="39" t="s">
        <v>144</v>
      </c>
      <c r="B13" s="39" t="s">
        <v>126</v>
      </c>
      <c r="C13" s="40">
        <f t="shared" ca="1" si="0"/>
        <v>3</v>
      </c>
      <c r="D13" s="30" t="str">
        <f t="shared" ca="1" si="1"/>
        <v>dobře</v>
      </c>
    </row>
    <row r="14" spans="1:13" ht="16" x14ac:dyDescent="0.2">
      <c r="A14" s="39" t="s">
        <v>144</v>
      </c>
      <c r="B14" s="39" t="s">
        <v>145</v>
      </c>
      <c r="C14" s="40">
        <f t="shared" ca="1" si="0"/>
        <v>4</v>
      </c>
      <c r="D14" s="30" t="str">
        <f t="shared" ca="1" si="1"/>
        <v>nevyhovující</v>
      </c>
    </row>
    <row r="15" spans="1:13" ht="16" x14ac:dyDescent="0.2">
      <c r="A15" s="39" t="s">
        <v>146</v>
      </c>
      <c r="B15" s="39" t="s">
        <v>147</v>
      </c>
      <c r="C15" s="40">
        <f t="shared" ca="1" si="0"/>
        <v>1</v>
      </c>
      <c r="D15" s="30" t="str">
        <f t="shared" ca="1" si="1"/>
        <v>výborně</v>
      </c>
      <c r="M15" s="38"/>
    </row>
    <row r="16" spans="1:13" ht="16" x14ac:dyDescent="0.2">
      <c r="A16" s="39" t="s">
        <v>148</v>
      </c>
      <c r="B16" s="39" t="s">
        <v>149</v>
      </c>
      <c r="C16" s="40">
        <f t="shared" ca="1" si="0"/>
        <v>2</v>
      </c>
      <c r="D16" s="30" t="str">
        <f t="shared" ca="1" si="1"/>
        <v>velmi dobře</v>
      </c>
      <c r="M16" s="38"/>
    </row>
    <row r="17" spans="1:14" ht="16" x14ac:dyDescent="0.2">
      <c r="A17" s="39" t="s">
        <v>150</v>
      </c>
      <c r="B17" s="39" t="s">
        <v>151</v>
      </c>
      <c r="C17" s="40">
        <f t="shared" ca="1" si="0"/>
        <v>1</v>
      </c>
      <c r="D17" s="30" t="str">
        <f t="shared" ca="1" si="1"/>
        <v>výborně</v>
      </c>
      <c r="N17" s="38"/>
    </row>
    <row r="18" spans="1:14" ht="16" x14ac:dyDescent="0.2">
      <c r="A18" s="39" t="s">
        <v>150</v>
      </c>
      <c r="B18" s="39" t="s">
        <v>152</v>
      </c>
      <c r="C18" s="40">
        <f t="shared" ca="1" si="0"/>
        <v>1</v>
      </c>
      <c r="D18" s="30" t="str">
        <f t="shared" ca="1" si="1"/>
        <v>výborně</v>
      </c>
      <c r="N18" s="38"/>
    </row>
    <row r="19" spans="1:14" ht="16" x14ac:dyDescent="0.2">
      <c r="A19" s="39" t="s">
        <v>153</v>
      </c>
      <c r="B19" s="39" t="s">
        <v>154</v>
      </c>
      <c r="C19" s="40">
        <f t="shared" ca="1" si="0"/>
        <v>4</v>
      </c>
      <c r="D19" s="30" t="str">
        <f t="shared" ca="1" si="1"/>
        <v>nevyhovující</v>
      </c>
      <c r="N19" s="38"/>
    </row>
    <row r="20" spans="1:14" ht="16" x14ac:dyDescent="0.2">
      <c r="A20" s="39" t="s">
        <v>153</v>
      </c>
      <c r="B20" s="39" t="s">
        <v>155</v>
      </c>
      <c r="C20" s="40">
        <f t="shared" ca="1" si="0"/>
        <v>4</v>
      </c>
      <c r="D20" s="30" t="str">
        <f t="shared" ca="1" si="1"/>
        <v>nevyhovující</v>
      </c>
      <c r="N20" s="38"/>
    </row>
    <row r="21" spans="1:14" ht="16" x14ac:dyDescent="0.2">
      <c r="A21" s="39" t="s">
        <v>156</v>
      </c>
      <c r="B21" s="39" t="s">
        <v>149</v>
      </c>
      <c r="C21" s="40">
        <f t="shared" ca="1" si="0"/>
        <v>4</v>
      </c>
      <c r="D21" s="30" t="str">
        <f t="shared" ca="1" si="1"/>
        <v>nevyhovující</v>
      </c>
      <c r="N21" s="38"/>
    </row>
    <row r="22" spans="1:14" ht="16" x14ac:dyDescent="0.2">
      <c r="A22" s="39" t="s">
        <v>157</v>
      </c>
      <c r="B22" s="39" t="s">
        <v>158</v>
      </c>
      <c r="C22" s="40">
        <f t="shared" ca="1" si="0"/>
        <v>3</v>
      </c>
      <c r="D22" s="30" t="str">
        <f t="shared" ca="1" si="1"/>
        <v>dobře</v>
      </c>
      <c r="N22" s="38"/>
    </row>
    <row r="23" spans="1:14" ht="16" x14ac:dyDescent="0.2">
      <c r="A23" s="39" t="s">
        <v>159</v>
      </c>
      <c r="B23" s="39" t="s">
        <v>132</v>
      </c>
      <c r="C23" s="40">
        <f t="shared" ca="1" si="0"/>
        <v>4</v>
      </c>
      <c r="D23" s="30" t="str">
        <f t="shared" ca="1" si="1"/>
        <v>nevyhovující</v>
      </c>
      <c r="N23" s="38"/>
    </row>
    <row r="24" spans="1:14" ht="16" x14ac:dyDescent="0.2">
      <c r="A24" s="39" t="s">
        <v>160</v>
      </c>
      <c r="B24" s="39" t="s">
        <v>161</v>
      </c>
      <c r="C24" s="40">
        <f t="shared" ca="1" si="0"/>
        <v>1</v>
      </c>
      <c r="D24" s="30" t="str">
        <f t="shared" ca="1" si="1"/>
        <v>výborně</v>
      </c>
      <c r="N24" s="38"/>
    </row>
    <row r="25" spans="1:14" ht="16" x14ac:dyDescent="0.2">
      <c r="A25" s="39" t="s">
        <v>162</v>
      </c>
      <c r="B25" s="39" t="s">
        <v>145</v>
      </c>
      <c r="C25" s="40">
        <f t="shared" ca="1" si="0"/>
        <v>4</v>
      </c>
      <c r="D25" s="30" t="str">
        <f t="shared" ca="1" si="1"/>
        <v>nevyhovující</v>
      </c>
      <c r="N25" s="38"/>
    </row>
    <row r="26" spans="1:14" ht="16" x14ac:dyDescent="0.2">
      <c r="A26" s="39" t="s">
        <v>163</v>
      </c>
      <c r="B26" s="39" t="s">
        <v>164</v>
      </c>
      <c r="C26" s="40">
        <f t="shared" ca="1" si="0"/>
        <v>3</v>
      </c>
      <c r="D26" s="30" t="str">
        <f t="shared" ca="1" si="1"/>
        <v>dobře</v>
      </c>
      <c r="N26" s="38"/>
    </row>
    <row r="27" spans="1:14" ht="16" x14ac:dyDescent="0.2">
      <c r="A27" s="39" t="s">
        <v>165</v>
      </c>
      <c r="B27" s="39" t="s">
        <v>166</v>
      </c>
      <c r="C27" s="40">
        <f t="shared" ca="1" si="0"/>
        <v>2</v>
      </c>
      <c r="D27" s="30" t="str">
        <f t="shared" ca="1" si="1"/>
        <v>velmi dobře</v>
      </c>
      <c r="N27" s="38"/>
    </row>
    <row r="28" spans="1:14" ht="16" x14ac:dyDescent="0.2">
      <c r="A28" s="39" t="s">
        <v>167</v>
      </c>
      <c r="B28" s="39" t="s">
        <v>168</v>
      </c>
      <c r="C28" s="40">
        <f t="shared" ca="1" si="0"/>
        <v>3</v>
      </c>
      <c r="D28" s="30" t="str">
        <f t="shared" ca="1" si="1"/>
        <v>dobře</v>
      </c>
      <c r="N28" s="38"/>
    </row>
    <row r="29" spans="1:14" ht="16" x14ac:dyDescent="0.2">
      <c r="A29" s="39" t="s">
        <v>169</v>
      </c>
      <c r="B29" s="39" t="s">
        <v>170</v>
      </c>
      <c r="C29" s="40">
        <f t="shared" ca="1" si="0"/>
        <v>4</v>
      </c>
      <c r="D29" s="30" t="str">
        <f t="shared" ca="1" si="1"/>
        <v>nevyhovující</v>
      </c>
      <c r="N29" s="38"/>
    </row>
    <row r="30" spans="1:14" ht="16" x14ac:dyDescent="0.2">
      <c r="A30" s="39" t="s">
        <v>171</v>
      </c>
      <c r="B30" s="39" t="s">
        <v>172</v>
      </c>
      <c r="C30" s="40">
        <f t="shared" ca="1" si="0"/>
        <v>3</v>
      </c>
      <c r="D30" s="30" t="str">
        <f t="shared" ca="1" si="1"/>
        <v>dobře</v>
      </c>
      <c r="N30" s="38"/>
    </row>
    <row r="31" spans="1:14" ht="16" x14ac:dyDescent="0.2">
      <c r="A31" s="39" t="s">
        <v>173</v>
      </c>
      <c r="B31" s="39" t="s">
        <v>174</v>
      </c>
      <c r="C31" s="40">
        <f t="shared" ca="1" si="0"/>
        <v>3</v>
      </c>
      <c r="D31" s="30" t="str">
        <f t="shared" ca="1" si="1"/>
        <v>dobře</v>
      </c>
      <c r="N31" s="38"/>
    </row>
    <row r="32" spans="1:14" ht="16" x14ac:dyDescent="0.2">
      <c r="A32" s="39" t="s">
        <v>175</v>
      </c>
      <c r="B32" s="39" t="s">
        <v>154</v>
      </c>
      <c r="C32" s="40">
        <f t="shared" ca="1" si="0"/>
        <v>3</v>
      </c>
      <c r="D32" s="30" t="str">
        <f t="shared" ca="1" si="1"/>
        <v>dobře</v>
      </c>
    </row>
    <row r="33" spans="1:4" ht="16" x14ac:dyDescent="0.2">
      <c r="A33" s="39" t="s">
        <v>176</v>
      </c>
      <c r="B33" s="39" t="s">
        <v>120</v>
      </c>
      <c r="C33" s="40">
        <f t="shared" ca="1" si="0"/>
        <v>2</v>
      </c>
      <c r="D33" s="30" t="str">
        <f t="shared" ca="1" si="1"/>
        <v>velmi dobře</v>
      </c>
    </row>
    <row r="34" spans="1:4" ht="16" x14ac:dyDescent="0.2">
      <c r="A34" s="39" t="s">
        <v>177</v>
      </c>
      <c r="B34" s="39" t="s">
        <v>149</v>
      </c>
      <c r="C34" s="40">
        <f t="shared" ca="1" si="0"/>
        <v>2</v>
      </c>
      <c r="D34" s="30" t="str">
        <f t="shared" ca="1" si="1"/>
        <v>velmi dobře</v>
      </c>
    </row>
    <row r="35" spans="1:4" ht="16" x14ac:dyDescent="0.2">
      <c r="A35" s="39" t="s">
        <v>178</v>
      </c>
      <c r="B35" s="39" t="s">
        <v>179</v>
      </c>
      <c r="C35" s="40">
        <f t="shared" ca="1" si="0"/>
        <v>4</v>
      </c>
      <c r="D35" s="30" t="str">
        <f t="shared" ca="1" si="1"/>
        <v>nevyhovující</v>
      </c>
    </row>
    <row r="36" spans="1:4" ht="16" x14ac:dyDescent="0.2">
      <c r="A36" s="39" t="s">
        <v>178</v>
      </c>
      <c r="B36" s="39" t="s">
        <v>155</v>
      </c>
      <c r="C36" s="40">
        <f t="shared" ca="1" si="0"/>
        <v>3</v>
      </c>
      <c r="D36" s="30" t="str">
        <f t="shared" ca="1" si="1"/>
        <v>dobře</v>
      </c>
    </row>
    <row r="37" spans="1:4" ht="16" x14ac:dyDescent="0.2">
      <c r="A37" s="39" t="s">
        <v>180</v>
      </c>
      <c r="B37" s="39" t="s">
        <v>161</v>
      </c>
      <c r="C37" s="40">
        <f t="shared" ca="1" si="0"/>
        <v>1</v>
      </c>
      <c r="D37" s="30" t="str">
        <f t="shared" ca="1" si="1"/>
        <v>výborně</v>
      </c>
    </row>
    <row r="38" spans="1:4" ht="16" x14ac:dyDescent="0.2">
      <c r="A38" s="39" t="s">
        <v>181</v>
      </c>
      <c r="B38" s="39" t="s">
        <v>182</v>
      </c>
      <c r="C38" s="40">
        <f t="shared" ca="1" si="0"/>
        <v>3</v>
      </c>
      <c r="D38" s="30" t="str">
        <f t="shared" ca="1" si="1"/>
        <v>dobře</v>
      </c>
    </row>
    <row r="39" spans="1:4" ht="16" x14ac:dyDescent="0.2">
      <c r="A39" s="39" t="s">
        <v>183</v>
      </c>
      <c r="B39" s="39" t="s">
        <v>184</v>
      </c>
      <c r="C39" s="40">
        <f t="shared" ca="1" si="0"/>
        <v>1</v>
      </c>
      <c r="D39" s="30" t="str">
        <f t="shared" ca="1" si="1"/>
        <v>výborně</v>
      </c>
    </row>
    <row r="40" spans="1:4" ht="16" x14ac:dyDescent="0.2">
      <c r="A40" s="39" t="s">
        <v>185</v>
      </c>
      <c r="B40" s="39" t="s">
        <v>143</v>
      </c>
      <c r="C40" s="40">
        <f t="shared" ca="1" si="0"/>
        <v>4</v>
      </c>
      <c r="D40" s="30" t="str">
        <f t="shared" ca="1" si="1"/>
        <v>nevyhovující</v>
      </c>
    </row>
    <row r="41" spans="1:4" ht="16" x14ac:dyDescent="0.2">
      <c r="A41" s="39" t="s">
        <v>186</v>
      </c>
      <c r="B41" s="39" t="s">
        <v>132</v>
      </c>
      <c r="C41" s="40">
        <f t="shared" ca="1" si="0"/>
        <v>3</v>
      </c>
      <c r="D41" s="30" t="str">
        <f t="shared" ca="1" si="1"/>
        <v>dobře</v>
      </c>
    </row>
    <row r="42" spans="1:4" ht="16" x14ac:dyDescent="0.2">
      <c r="A42" s="39" t="s">
        <v>187</v>
      </c>
      <c r="B42" s="39" t="s">
        <v>188</v>
      </c>
      <c r="C42" s="40">
        <f t="shared" ca="1" si="0"/>
        <v>1</v>
      </c>
      <c r="D42" s="30" t="str">
        <f t="shared" ca="1" si="1"/>
        <v>výborně</v>
      </c>
    </row>
    <row r="43" spans="1:4" ht="16" x14ac:dyDescent="0.2">
      <c r="A43" s="39" t="s">
        <v>189</v>
      </c>
      <c r="B43" s="39" t="s">
        <v>129</v>
      </c>
      <c r="C43" s="40">
        <f t="shared" ca="1" si="0"/>
        <v>4</v>
      </c>
      <c r="D43" s="30" t="str">
        <f t="shared" ca="1" si="1"/>
        <v>nevyhovující</v>
      </c>
    </row>
    <row r="44" spans="1:4" ht="16" x14ac:dyDescent="0.2">
      <c r="A44" s="39" t="s">
        <v>190</v>
      </c>
      <c r="B44" s="39" t="s">
        <v>2</v>
      </c>
      <c r="C44" s="40">
        <f t="shared" ca="1" si="0"/>
        <v>2</v>
      </c>
      <c r="D44" s="30" t="str">
        <f t="shared" ca="1" si="1"/>
        <v>velmi dobře</v>
      </c>
    </row>
    <row r="45" spans="1:4" ht="16" x14ac:dyDescent="0.2">
      <c r="A45" s="39" t="s">
        <v>191</v>
      </c>
      <c r="B45" s="39" t="s">
        <v>2</v>
      </c>
      <c r="C45" s="40">
        <f t="shared" ca="1" si="0"/>
        <v>3</v>
      </c>
      <c r="D45" s="30" t="str">
        <f t="shared" ca="1" si="1"/>
        <v>dobře</v>
      </c>
    </row>
    <row r="46" spans="1:4" ht="16" x14ac:dyDescent="0.2">
      <c r="A46" s="39" t="s">
        <v>192</v>
      </c>
      <c r="B46" s="39" t="s">
        <v>193</v>
      </c>
      <c r="C46" s="40">
        <f t="shared" ca="1" si="0"/>
        <v>2</v>
      </c>
      <c r="D46" s="30" t="str">
        <f t="shared" ca="1" si="1"/>
        <v>velmi dobře</v>
      </c>
    </row>
    <row r="47" spans="1:4" ht="16" x14ac:dyDescent="0.2">
      <c r="A47" s="39" t="s">
        <v>194</v>
      </c>
      <c r="B47" s="39" t="s">
        <v>132</v>
      </c>
      <c r="C47" s="40">
        <f t="shared" ca="1" si="0"/>
        <v>2</v>
      </c>
      <c r="D47" s="30" t="str">
        <f t="shared" ca="1" si="1"/>
        <v>velmi dobře</v>
      </c>
    </row>
    <row r="48" spans="1:4" ht="16" x14ac:dyDescent="0.2">
      <c r="A48" s="39" t="s">
        <v>195</v>
      </c>
      <c r="B48" s="39" t="s">
        <v>196</v>
      </c>
      <c r="C48" s="40">
        <f t="shared" ca="1" si="0"/>
        <v>2</v>
      </c>
      <c r="D48" s="30" t="str">
        <f t="shared" ca="1" si="1"/>
        <v>velmi dobře</v>
      </c>
    </row>
    <row r="49" spans="1:4" ht="16" x14ac:dyDescent="0.2">
      <c r="A49" s="39" t="s">
        <v>197</v>
      </c>
      <c r="B49" s="39" t="s">
        <v>168</v>
      </c>
      <c r="C49" s="40">
        <f t="shared" ca="1" si="0"/>
        <v>4</v>
      </c>
      <c r="D49" s="30" t="str">
        <f t="shared" ca="1" si="1"/>
        <v>nevyhovující</v>
      </c>
    </row>
    <row r="50" spans="1:4" ht="16" x14ac:dyDescent="0.2">
      <c r="A50" s="39" t="s">
        <v>198</v>
      </c>
      <c r="B50" s="39" t="s">
        <v>199</v>
      </c>
      <c r="C50" s="40">
        <f t="shared" ca="1" si="0"/>
        <v>1</v>
      </c>
      <c r="D50" s="30" t="str">
        <f t="shared" ca="1" si="1"/>
        <v>výborně</v>
      </c>
    </row>
    <row r="51" spans="1:4" ht="16" x14ac:dyDescent="0.2">
      <c r="A51" s="39" t="s">
        <v>200</v>
      </c>
      <c r="B51" s="39" t="s">
        <v>168</v>
      </c>
      <c r="C51" s="40">
        <f t="shared" ca="1" si="0"/>
        <v>3</v>
      </c>
      <c r="D51" s="30" t="str">
        <f t="shared" ca="1" si="1"/>
        <v>dobře</v>
      </c>
    </row>
    <row r="52" spans="1:4" ht="16" x14ac:dyDescent="0.2">
      <c r="A52" s="39" t="s">
        <v>201</v>
      </c>
      <c r="B52" s="39" t="s">
        <v>136</v>
      </c>
      <c r="C52" s="40">
        <f t="shared" ca="1" si="0"/>
        <v>3</v>
      </c>
      <c r="D52" s="30" t="str">
        <f t="shared" ca="1" si="1"/>
        <v>dobře</v>
      </c>
    </row>
    <row r="53" spans="1:4" ht="16" x14ac:dyDescent="0.2">
      <c r="A53" s="39" t="s">
        <v>202</v>
      </c>
      <c r="B53" s="39" t="s">
        <v>168</v>
      </c>
      <c r="C53" s="40">
        <f t="shared" ca="1" si="0"/>
        <v>1</v>
      </c>
      <c r="D53" s="30" t="str">
        <f t="shared" ca="1" si="1"/>
        <v>výborně</v>
      </c>
    </row>
    <row r="54" spans="1:4" ht="16" x14ac:dyDescent="0.2">
      <c r="A54" s="39" t="s">
        <v>203</v>
      </c>
      <c r="B54" s="39" t="s">
        <v>138</v>
      </c>
      <c r="C54" s="40">
        <f t="shared" ca="1" si="0"/>
        <v>1</v>
      </c>
      <c r="D54" s="30" t="str">
        <f t="shared" ca="1" si="1"/>
        <v>výborně</v>
      </c>
    </row>
    <row r="55" spans="1:4" ht="16" x14ac:dyDescent="0.2">
      <c r="A55" s="39" t="s">
        <v>204</v>
      </c>
      <c r="B55" s="39" t="s">
        <v>205</v>
      </c>
      <c r="C55" s="40">
        <f t="shared" ca="1" si="0"/>
        <v>3</v>
      </c>
      <c r="D55" s="30" t="str">
        <f t="shared" ca="1" si="1"/>
        <v>dobře</v>
      </c>
    </row>
    <row r="56" spans="1:4" ht="16" x14ac:dyDescent="0.2">
      <c r="A56" s="39" t="s">
        <v>206</v>
      </c>
      <c r="B56" s="39" t="s">
        <v>207</v>
      </c>
      <c r="C56" s="40">
        <f t="shared" ca="1" si="0"/>
        <v>2</v>
      </c>
      <c r="D56" s="30" t="str">
        <f t="shared" ca="1" si="1"/>
        <v>velmi dobře</v>
      </c>
    </row>
    <row r="57" spans="1:4" ht="16" x14ac:dyDescent="0.2">
      <c r="A57" s="39" t="s">
        <v>208</v>
      </c>
      <c r="B57" s="39" t="s">
        <v>209</v>
      </c>
      <c r="C57" s="40">
        <f t="shared" ca="1" si="0"/>
        <v>4</v>
      </c>
      <c r="D57" s="30" t="str">
        <f t="shared" ca="1" si="1"/>
        <v>nevyhovující</v>
      </c>
    </row>
    <row r="58" spans="1:4" ht="16" x14ac:dyDescent="0.2">
      <c r="A58" s="39" t="s">
        <v>210</v>
      </c>
      <c r="B58" s="39" t="s">
        <v>155</v>
      </c>
      <c r="C58" s="40">
        <f t="shared" ca="1" si="0"/>
        <v>2</v>
      </c>
      <c r="D58" s="30" t="str">
        <f t="shared" ca="1" si="1"/>
        <v>velmi dobře</v>
      </c>
    </row>
    <row r="59" spans="1:4" ht="16" x14ac:dyDescent="0.2">
      <c r="A59" s="39" t="s">
        <v>211</v>
      </c>
      <c r="B59" s="39" t="s">
        <v>212</v>
      </c>
      <c r="C59" s="40">
        <f t="shared" ca="1" si="0"/>
        <v>2</v>
      </c>
      <c r="D59" s="30" t="str">
        <f t="shared" ca="1" si="1"/>
        <v>velmi dobře</v>
      </c>
    </row>
    <row r="60" spans="1:4" ht="16" x14ac:dyDescent="0.2">
      <c r="A60" s="39" t="s">
        <v>213</v>
      </c>
      <c r="B60" s="39" t="s">
        <v>214</v>
      </c>
      <c r="C60" s="40">
        <f t="shared" ca="1" si="0"/>
        <v>3</v>
      </c>
      <c r="D60" s="30" t="str">
        <f t="shared" ca="1" si="1"/>
        <v>dobře</v>
      </c>
    </row>
    <row r="61" spans="1:4" ht="16" x14ac:dyDescent="0.2">
      <c r="A61" s="39" t="s">
        <v>215</v>
      </c>
      <c r="B61" s="39" t="s">
        <v>216</v>
      </c>
      <c r="C61" s="40">
        <f t="shared" ca="1" si="0"/>
        <v>3</v>
      </c>
      <c r="D61" s="30" t="str">
        <f t="shared" ca="1" si="1"/>
        <v>dobře</v>
      </c>
    </row>
    <row r="62" spans="1:4" ht="16" x14ac:dyDescent="0.2">
      <c r="A62" s="39" t="s">
        <v>217</v>
      </c>
      <c r="B62" s="39" t="s">
        <v>188</v>
      </c>
      <c r="C62" s="40">
        <f t="shared" ca="1" si="0"/>
        <v>2</v>
      </c>
      <c r="D62" s="30" t="str">
        <f t="shared" ca="1" si="1"/>
        <v>velmi dobře</v>
      </c>
    </row>
    <row r="63" spans="1:4" ht="16" x14ac:dyDescent="0.2">
      <c r="A63" s="39" t="s">
        <v>218</v>
      </c>
      <c r="B63" s="39" t="s">
        <v>219</v>
      </c>
      <c r="C63" s="40">
        <f t="shared" ca="1" si="0"/>
        <v>2</v>
      </c>
      <c r="D63" s="30" t="str">
        <f t="shared" ca="1" si="1"/>
        <v>velmi dobře</v>
      </c>
    </row>
    <row r="64" spans="1:4" ht="16" x14ac:dyDescent="0.2">
      <c r="A64" s="39" t="s">
        <v>220</v>
      </c>
      <c r="B64" s="39" t="s">
        <v>221</v>
      </c>
      <c r="C64" s="40">
        <f t="shared" ca="1" si="0"/>
        <v>3</v>
      </c>
      <c r="D64" s="30" t="str">
        <f t="shared" ca="1" si="1"/>
        <v>dobře</v>
      </c>
    </row>
    <row r="65" spans="1:4" ht="16" x14ac:dyDescent="0.2">
      <c r="A65" s="39" t="s">
        <v>222</v>
      </c>
      <c r="B65" s="39" t="s">
        <v>126</v>
      </c>
      <c r="C65" s="40">
        <f t="shared" ca="1" si="0"/>
        <v>2</v>
      </c>
      <c r="D65" s="30" t="str">
        <f t="shared" ca="1" si="1"/>
        <v>velmi dobře</v>
      </c>
    </row>
    <row r="66" spans="1:4" ht="16" x14ac:dyDescent="0.2">
      <c r="A66" s="39" t="s">
        <v>223</v>
      </c>
      <c r="B66" s="39" t="s">
        <v>224</v>
      </c>
      <c r="C66" s="40">
        <f t="shared" ref="C66:C129" ca="1" si="2">CEILING(RAND()*4,1)</f>
        <v>3</v>
      </c>
      <c r="D66" s="30" t="str">
        <f t="shared" ref="D66:D129" ca="1" si="3">IF(C66=1,$H$3,IF(C66=2,$H$4,IF(C66=3,$H$5,IF(C66=4,$H$6))))</f>
        <v>dobře</v>
      </c>
    </row>
    <row r="67" spans="1:4" ht="16" x14ac:dyDescent="0.2">
      <c r="A67" s="39" t="s">
        <v>225</v>
      </c>
      <c r="B67" s="39" t="s">
        <v>140</v>
      </c>
      <c r="C67" s="40">
        <f t="shared" ca="1" si="2"/>
        <v>3</v>
      </c>
      <c r="D67" s="30" t="str">
        <f t="shared" ca="1" si="3"/>
        <v>dobře</v>
      </c>
    </row>
    <row r="68" spans="1:4" ht="16" x14ac:dyDescent="0.2">
      <c r="A68" s="39" t="s">
        <v>226</v>
      </c>
      <c r="B68" s="39" t="s">
        <v>227</v>
      </c>
      <c r="C68" s="40">
        <f t="shared" ca="1" si="2"/>
        <v>2</v>
      </c>
      <c r="D68" s="30" t="str">
        <f t="shared" ca="1" si="3"/>
        <v>velmi dobře</v>
      </c>
    </row>
    <row r="69" spans="1:4" ht="16" x14ac:dyDescent="0.2">
      <c r="A69" s="39" t="s">
        <v>226</v>
      </c>
      <c r="B69" s="39" t="s">
        <v>2</v>
      </c>
      <c r="C69" s="40">
        <f t="shared" ca="1" si="2"/>
        <v>3</v>
      </c>
      <c r="D69" s="30" t="str">
        <f t="shared" ca="1" si="3"/>
        <v>dobře</v>
      </c>
    </row>
    <row r="70" spans="1:4" ht="16" x14ac:dyDescent="0.2">
      <c r="A70" s="39" t="s">
        <v>228</v>
      </c>
      <c r="B70" s="39" t="s">
        <v>229</v>
      </c>
      <c r="C70" s="40">
        <f t="shared" ca="1" si="2"/>
        <v>4</v>
      </c>
      <c r="D70" s="30" t="str">
        <f t="shared" ca="1" si="3"/>
        <v>nevyhovující</v>
      </c>
    </row>
    <row r="71" spans="1:4" ht="16" x14ac:dyDescent="0.2">
      <c r="A71" s="39" t="s">
        <v>230</v>
      </c>
      <c r="B71" s="39" t="s">
        <v>120</v>
      </c>
      <c r="C71" s="40">
        <f t="shared" ca="1" si="2"/>
        <v>3</v>
      </c>
      <c r="D71" s="30" t="str">
        <f t="shared" ca="1" si="3"/>
        <v>dobře</v>
      </c>
    </row>
    <row r="72" spans="1:4" ht="16" x14ac:dyDescent="0.2">
      <c r="A72" s="39" t="s">
        <v>231</v>
      </c>
      <c r="B72" s="39" t="s">
        <v>232</v>
      </c>
      <c r="C72" s="40">
        <f t="shared" ca="1" si="2"/>
        <v>4</v>
      </c>
      <c r="D72" s="30" t="str">
        <f t="shared" ca="1" si="3"/>
        <v>nevyhovující</v>
      </c>
    </row>
    <row r="73" spans="1:4" ht="16" x14ac:dyDescent="0.2">
      <c r="A73" s="39" t="s">
        <v>233</v>
      </c>
      <c r="B73" s="39" t="s">
        <v>164</v>
      </c>
      <c r="C73" s="40">
        <f t="shared" ca="1" si="2"/>
        <v>4</v>
      </c>
      <c r="D73" s="30" t="str">
        <f t="shared" ca="1" si="3"/>
        <v>nevyhovující</v>
      </c>
    </row>
    <row r="74" spans="1:4" ht="16" x14ac:dyDescent="0.2">
      <c r="A74" s="39" t="s">
        <v>234</v>
      </c>
      <c r="B74" s="39" t="s">
        <v>235</v>
      </c>
      <c r="C74" s="40">
        <f t="shared" ca="1" si="2"/>
        <v>2</v>
      </c>
      <c r="D74" s="30" t="str">
        <f t="shared" ca="1" si="3"/>
        <v>velmi dobře</v>
      </c>
    </row>
    <row r="75" spans="1:4" ht="16" x14ac:dyDescent="0.2">
      <c r="A75" s="39" t="s">
        <v>236</v>
      </c>
      <c r="B75" s="39" t="s">
        <v>182</v>
      </c>
      <c r="C75" s="40">
        <f t="shared" ca="1" si="2"/>
        <v>1</v>
      </c>
      <c r="D75" s="30" t="str">
        <f t="shared" ca="1" si="3"/>
        <v>výborně</v>
      </c>
    </row>
    <row r="76" spans="1:4" ht="16" x14ac:dyDescent="0.2">
      <c r="A76" s="39" t="s">
        <v>237</v>
      </c>
      <c r="B76" s="39" t="s">
        <v>238</v>
      </c>
      <c r="C76" s="40">
        <f t="shared" ca="1" si="2"/>
        <v>3</v>
      </c>
      <c r="D76" s="30" t="str">
        <f t="shared" ca="1" si="3"/>
        <v>dobře</v>
      </c>
    </row>
    <row r="77" spans="1:4" ht="16" x14ac:dyDescent="0.2">
      <c r="A77" s="39" t="s">
        <v>239</v>
      </c>
      <c r="B77" s="39" t="s">
        <v>132</v>
      </c>
      <c r="C77" s="40">
        <f t="shared" ca="1" si="2"/>
        <v>3</v>
      </c>
      <c r="D77" s="30" t="str">
        <f t="shared" ca="1" si="3"/>
        <v>dobře</v>
      </c>
    </row>
    <row r="78" spans="1:4" ht="16" x14ac:dyDescent="0.2">
      <c r="A78" s="39" t="s">
        <v>240</v>
      </c>
      <c r="B78" s="39" t="s">
        <v>2</v>
      </c>
      <c r="C78" s="40">
        <f t="shared" ca="1" si="2"/>
        <v>1</v>
      </c>
      <c r="D78" s="30" t="str">
        <f t="shared" ca="1" si="3"/>
        <v>výborně</v>
      </c>
    </row>
    <row r="79" spans="1:4" ht="16" x14ac:dyDescent="0.2">
      <c r="A79" s="39" t="s">
        <v>241</v>
      </c>
      <c r="B79" s="39" t="s">
        <v>2</v>
      </c>
      <c r="C79" s="40">
        <f t="shared" ca="1" si="2"/>
        <v>4</v>
      </c>
      <c r="D79" s="30" t="str">
        <f t="shared" ca="1" si="3"/>
        <v>nevyhovující</v>
      </c>
    </row>
    <row r="80" spans="1:4" ht="16" x14ac:dyDescent="0.2">
      <c r="A80" s="39" t="s">
        <v>242</v>
      </c>
      <c r="B80" s="39" t="s">
        <v>243</v>
      </c>
      <c r="C80" s="40">
        <f t="shared" ca="1" si="2"/>
        <v>3</v>
      </c>
      <c r="D80" s="30" t="str">
        <f t="shared" ca="1" si="3"/>
        <v>dobře</v>
      </c>
    </row>
    <row r="81" spans="1:4" ht="16" x14ac:dyDescent="0.2">
      <c r="A81" s="39" t="s">
        <v>244</v>
      </c>
      <c r="B81" s="39" t="s">
        <v>245</v>
      </c>
      <c r="C81" s="40">
        <f t="shared" ca="1" si="2"/>
        <v>1</v>
      </c>
      <c r="D81" s="30" t="str">
        <f t="shared" ca="1" si="3"/>
        <v>výborně</v>
      </c>
    </row>
    <row r="82" spans="1:4" ht="16" x14ac:dyDescent="0.2">
      <c r="A82" s="39" t="s">
        <v>246</v>
      </c>
      <c r="B82" s="39" t="s">
        <v>149</v>
      </c>
      <c r="C82" s="40">
        <f t="shared" ca="1" si="2"/>
        <v>3</v>
      </c>
      <c r="D82" s="30" t="str">
        <f t="shared" ca="1" si="3"/>
        <v>dobře</v>
      </c>
    </row>
    <row r="83" spans="1:4" ht="16" x14ac:dyDescent="0.2">
      <c r="A83" s="39" t="s">
        <v>247</v>
      </c>
      <c r="B83" s="39" t="s">
        <v>248</v>
      </c>
      <c r="C83" s="40">
        <f t="shared" ca="1" si="2"/>
        <v>4</v>
      </c>
      <c r="D83" s="30" t="str">
        <f t="shared" ca="1" si="3"/>
        <v>nevyhovující</v>
      </c>
    </row>
    <row r="84" spans="1:4" ht="16" x14ac:dyDescent="0.2">
      <c r="A84" s="39" t="s">
        <v>249</v>
      </c>
      <c r="B84" s="39" t="s">
        <v>155</v>
      </c>
      <c r="C84" s="40">
        <f t="shared" ca="1" si="2"/>
        <v>4</v>
      </c>
      <c r="D84" s="30" t="str">
        <f t="shared" ca="1" si="3"/>
        <v>nevyhovující</v>
      </c>
    </row>
    <row r="85" spans="1:4" ht="16" x14ac:dyDescent="0.2">
      <c r="A85" s="39" t="s">
        <v>250</v>
      </c>
      <c r="B85" s="39" t="s">
        <v>209</v>
      </c>
      <c r="C85" s="40">
        <f t="shared" ca="1" si="2"/>
        <v>2</v>
      </c>
      <c r="D85" s="30" t="str">
        <f t="shared" ca="1" si="3"/>
        <v>velmi dobře</v>
      </c>
    </row>
    <row r="86" spans="1:4" ht="16" x14ac:dyDescent="0.2">
      <c r="A86" s="39" t="s">
        <v>251</v>
      </c>
      <c r="B86" s="39" t="s">
        <v>252</v>
      </c>
      <c r="C86" s="40">
        <f t="shared" ca="1" si="2"/>
        <v>1</v>
      </c>
      <c r="D86" s="30" t="str">
        <f t="shared" ca="1" si="3"/>
        <v>výborně</v>
      </c>
    </row>
    <row r="87" spans="1:4" ht="16" x14ac:dyDescent="0.2">
      <c r="A87" s="39" t="s">
        <v>253</v>
      </c>
      <c r="B87" s="39" t="s">
        <v>254</v>
      </c>
      <c r="C87" s="40">
        <f t="shared" ca="1" si="2"/>
        <v>4</v>
      </c>
      <c r="D87" s="30" t="str">
        <f t="shared" ca="1" si="3"/>
        <v>nevyhovující</v>
      </c>
    </row>
    <row r="88" spans="1:4" ht="16" x14ac:dyDescent="0.2">
      <c r="A88" s="39" t="s">
        <v>255</v>
      </c>
      <c r="B88" s="39" t="s">
        <v>15</v>
      </c>
      <c r="C88" s="40">
        <f t="shared" ca="1" si="2"/>
        <v>1</v>
      </c>
      <c r="D88" s="30" t="str">
        <f t="shared" ca="1" si="3"/>
        <v>výborně</v>
      </c>
    </row>
    <row r="89" spans="1:4" ht="16" x14ac:dyDescent="0.2">
      <c r="A89" s="39" t="s">
        <v>256</v>
      </c>
      <c r="B89" s="39" t="s">
        <v>212</v>
      </c>
      <c r="C89" s="40">
        <f t="shared" ca="1" si="2"/>
        <v>2</v>
      </c>
      <c r="D89" s="30" t="str">
        <f t="shared" ca="1" si="3"/>
        <v>velmi dobře</v>
      </c>
    </row>
    <row r="90" spans="1:4" ht="16" x14ac:dyDescent="0.2">
      <c r="A90" s="39" t="s">
        <v>257</v>
      </c>
      <c r="B90" s="39" t="s">
        <v>235</v>
      </c>
      <c r="C90" s="40">
        <f t="shared" ca="1" si="2"/>
        <v>3</v>
      </c>
      <c r="D90" s="30" t="str">
        <f t="shared" ca="1" si="3"/>
        <v>dobře</v>
      </c>
    </row>
    <row r="91" spans="1:4" ht="16" x14ac:dyDescent="0.2">
      <c r="A91" s="39" t="s">
        <v>258</v>
      </c>
      <c r="B91" s="39" t="s">
        <v>132</v>
      </c>
      <c r="C91" s="40">
        <f t="shared" ca="1" si="2"/>
        <v>3</v>
      </c>
      <c r="D91" s="30" t="str">
        <f t="shared" ca="1" si="3"/>
        <v>dobře</v>
      </c>
    </row>
    <row r="92" spans="1:4" ht="16" x14ac:dyDescent="0.2">
      <c r="A92" s="39" t="s">
        <v>259</v>
      </c>
      <c r="B92" s="39" t="s">
        <v>216</v>
      </c>
      <c r="C92" s="40">
        <f t="shared" ca="1" si="2"/>
        <v>2</v>
      </c>
      <c r="D92" s="30" t="str">
        <f t="shared" ca="1" si="3"/>
        <v>velmi dobře</v>
      </c>
    </row>
    <row r="93" spans="1:4" ht="16" x14ac:dyDescent="0.2">
      <c r="A93" s="39" t="s">
        <v>260</v>
      </c>
      <c r="B93" s="39" t="s">
        <v>209</v>
      </c>
      <c r="C93" s="40">
        <f t="shared" ca="1" si="2"/>
        <v>4</v>
      </c>
      <c r="D93" s="30" t="str">
        <f t="shared" ca="1" si="3"/>
        <v>nevyhovující</v>
      </c>
    </row>
    <row r="94" spans="1:4" ht="16" x14ac:dyDescent="0.2">
      <c r="A94" s="39" t="s">
        <v>261</v>
      </c>
      <c r="B94" s="39" t="s">
        <v>262</v>
      </c>
      <c r="C94" s="40">
        <f t="shared" ca="1" si="2"/>
        <v>2</v>
      </c>
      <c r="D94" s="30" t="str">
        <f t="shared" ca="1" si="3"/>
        <v>velmi dobře</v>
      </c>
    </row>
    <row r="95" spans="1:4" ht="16" x14ac:dyDescent="0.2">
      <c r="A95" s="39" t="s">
        <v>263</v>
      </c>
      <c r="B95" s="39" t="s">
        <v>224</v>
      </c>
      <c r="C95" s="40">
        <f t="shared" ca="1" si="2"/>
        <v>4</v>
      </c>
      <c r="D95" s="30" t="str">
        <f t="shared" ca="1" si="3"/>
        <v>nevyhovující</v>
      </c>
    </row>
    <row r="96" spans="1:4" ht="16" x14ac:dyDescent="0.2">
      <c r="A96" s="39" t="s">
        <v>264</v>
      </c>
      <c r="B96" s="39" t="s">
        <v>145</v>
      </c>
      <c r="C96" s="40">
        <f t="shared" ca="1" si="2"/>
        <v>3</v>
      </c>
      <c r="D96" s="30" t="str">
        <f t="shared" ca="1" si="3"/>
        <v>dobře</v>
      </c>
    </row>
    <row r="97" spans="1:4" ht="16" x14ac:dyDescent="0.2">
      <c r="A97" s="39" t="s">
        <v>265</v>
      </c>
      <c r="B97" s="39" t="s">
        <v>145</v>
      </c>
      <c r="C97" s="40">
        <f t="shared" ca="1" si="2"/>
        <v>3</v>
      </c>
      <c r="D97" s="30" t="str">
        <f t="shared" ca="1" si="3"/>
        <v>dobře</v>
      </c>
    </row>
    <row r="98" spans="1:4" ht="16" x14ac:dyDescent="0.2">
      <c r="A98" s="39" t="s">
        <v>266</v>
      </c>
      <c r="B98" s="39" t="s">
        <v>262</v>
      </c>
      <c r="C98" s="40">
        <f t="shared" ca="1" si="2"/>
        <v>1</v>
      </c>
      <c r="D98" s="30" t="str">
        <f t="shared" ca="1" si="3"/>
        <v>výborně</v>
      </c>
    </row>
    <row r="99" spans="1:4" ht="16" x14ac:dyDescent="0.2">
      <c r="A99" s="39" t="s">
        <v>267</v>
      </c>
      <c r="B99" s="39" t="s">
        <v>149</v>
      </c>
      <c r="C99" s="40">
        <f t="shared" ca="1" si="2"/>
        <v>3</v>
      </c>
      <c r="D99" s="30" t="str">
        <f t="shared" ca="1" si="3"/>
        <v>dobře</v>
      </c>
    </row>
    <row r="100" spans="1:4" ht="16" x14ac:dyDescent="0.2">
      <c r="A100" s="39" t="s">
        <v>268</v>
      </c>
      <c r="B100" s="39" t="s">
        <v>179</v>
      </c>
      <c r="C100" s="40">
        <f t="shared" ca="1" si="2"/>
        <v>2</v>
      </c>
      <c r="D100" s="30" t="str">
        <f t="shared" ca="1" si="3"/>
        <v>velmi dobře</v>
      </c>
    </row>
    <row r="101" spans="1:4" ht="16" x14ac:dyDescent="0.2">
      <c r="A101" s="39" t="s">
        <v>269</v>
      </c>
      <c r="B101" s="39" t="s">
        <v>172</v>
      </c>
      <c r="C101" s="40">
        <f t="shared" ca="1" si="2"/>
        <v>3</v>
      </c>
      <c r="D101" s="30" t="str">
        <f t="shared" ca="1" si="3"/>
        <v>dobře</v>
      </c>
    </row>
    <row r="102" spans="1:4" ht="16" x14ac:dyDescent="0.2">
      <c r="A102" s="39" t="s">
        <v>270</v>
      </c>
      <c r="B102" s="39" t="s">
        <v>136</v>
      </c>
      <c r="C102" s="40">
        <f t="shared" ca="1" si="2"/>
        <v>3</v>
      </c>
      <c r="D102" s="30" t="str">
        <f t="shared" ca="1" si="3"/>
        <v>dobře</v>
      </c>
    </row>
    <row r="103" spans="1:4" ht="16" x14ac:dyDescent="0.2">
      <c r="A103" s="39" t="s">
        <v>271</v>
      </c>
      <c r="B103" s="39" t="s">
        <v>143</v>
      </c>
      <c r="C103" s="40">
        <f t="shared" ca="1" si="2"/>
        <v>4</v>
      </c>
      <c r="D103" s="30" t="str">
        <f t="shared" ca="1" si="3"/>
        <v>nevyhovující</v>
      </c>
    </row>
    <row r="104" spans="1:4" ht="16" x14ac:dyDescent="0.2">
      <c r="A104" s="39" t="s">
        <v>272</v>
      </c>
      <c r="B104" s="39" t="s">
        <v>262</v>
      </c>
      <c r="C104" s="40">
        <f t="shared" ca="1" si="2"/>
        <v>1</v>
      </c>
      <c r="D104" s="30" t="str">
        <f t="shared" ca="1" si="3"/>
        <v>výborně</v>
      </c>
    </row>
    <row r="105" spans="1:4" ht="16" x14ac:dyDescent="0.2">
      <c r="A105" s="39" t="s">
        <v>272</v>
      </c>
      <c r="B105" s="39" t="s">
        <v>152</v>
      </c>
      <c r="C105" s="40">
        <f t="shared" ca="1" si="2"/>
        <v>3</v>
      </c>
      <c r="D105" s="30" t="str">
        <f t="shared" ca="1" si="3"/>
        <v>dobře</v>
      </c>
    </row>
    <row r="106" spans="1:4" ht="16" x14ac:dyDescent="0.2">
      <c r="A106" s="39" t="s">
        <v>273</v>
      </c>
      <c r="B106" s="39" t="s">
        <v>274</v>
      </c>
      <c r="C106" s="40">
        <f t="shared" ca="1" si="2"/>
        <v>4</v>
      </c>
      <c r="D106" s="30" t="str">
        <f t="shared" ca="1" si="3"/>
        <v>nevyhovující</v>
      </c>
    </row>
    <row r="107" spans="1:4" ht="16" x14ac:dyDescent="0.2">
      <c r="A107" s="39" t="s">
        <v>275</v>
      </c>
      <c r="B107" s="39" t="s">
        <v>143</v>
      </c>
      <c r="C107" s="40">
        <f t="shared" ca="1" si="2"/>
        <v>1</v>
      </c>
      <c r="D107" s="30" t="str">
        <f t="shared" ca="1" si="3"/>
        <v>výborně</v>
      </c>
    </row>
    <row r="108" spans="1:4" ht="16" x14ac:dyDescent="0.2">
      <c r="A108" s="39" t="s">
        <v>276</v>
      </c>
      <c r="B108" s="39" t="s">
        <v>207</v>
      </c>
      <c r="C108" s="40">
        <f t="shared" ca="1" si="2"/>
        <v>4</v>
      </c>
      <c r="D108" s="30" t="str">
        <f t="shared" ca="1" si="3"/>
        <v>nevyhovující</v>
      </c>
    </row>
    <row r="109" spans="1:4" ht="16" x14ac:dyDescent="0.2">
      <c r="A109" s="39" t="s">
        <v>276</v>
      </c>
      <c r="B109" s="39" t="s">
        <v>126</v>
      </c>
      <c r="C109" s="40">
        <f t="shared" ca="1" si="2"/>
        <v>3</v>
      </c>
      <c r="D109" s="30" t="str">
        <f t="shared" ca="1" si="3"/>
        <v>dobře</v>
      </c>
    </row>
    <row r="110" spans="1:4" ht="16" x14ac:dyDescent="0.2">
      <c r="A110" s="39" t="s">
        <v>277</v>
      </c>
      <c r="B110" s="39" t="s">
        <v>278</v>
      </c>
      <c r="C110" s="40">
        <f t="shared" ca="1" si="2"/>
        <v>1</v>
      </c>
      <c r="D110" s="30" t="str">
        <f t="shared" ca="1" si="3"/>
        <v>výborně</v>
      </c>
    </row>
    <row r="111" spans="1:4" ht="16" x14ac:dyDescent="0.2">
      <c r="A111" s="39" t="s">
        <v>279</v>
      </c>
      <c r="B111" s="39" t="s">
        <v>278</v>
      </c>
      <c r="C111" s="40">
        <f t="shared" ca="1" si="2"/>
        <v>1</v>
      </c>
      <c r="D111" s="30" t="str">
        <f t="shared" ca="1" si="3"/>
        <v>výborně</v>
      </c>
    </row>
    <row r="112" spans="1:4" ht="16" x14ac:dyDescent="0.2">
      <c r="A112" s="39" t="s">
        <v>280</v>
      </c>
      <c r="B112" s="39" t="s">
        <v>149</v>
      </c>
      <c r="C112" s="40">
        <f t="shared" ca="1" si="2"/>
        <v>3</v>
      </c>
      <c r="D112" s="30" t="str">
        <f t="shared" ca="1" si="3"/>
        <v>dobře</v>
      </c>
    </row>
    <row r="113" spans="1:4" ht="16" x14ac:dyDescent="0.2">
      <c r="A113" s="39" t="s">
        <v>281</v>
      </c>
      <c r="B113" s="39" t="s">
        <v>282</v>
      </c>
      <c r="C113" s="40">
        <f t="shared" ca="1" si="2"/>
        <v>3</v>
      </c>
      <c r="D113" s="30" t="str">
        <f t="shared" ca="1" si="3"/>
        <v>dobře</v>
      </c>
    </row>
    <row r="114" spans="1:4" ht="16" x14ac:dyDescent="0.2">
      <c r="A114" s="39" t="s">
        <v>283</v>
      </c>
      <c r="B114" s="39" t="s">
        <v>284</v>
      </c>
      <c r="C114" s="40">
        <f t="shared" ca="1" si="2"/>
        <v>2</v>
      </c>
      <c r="D114" s="30" t="str">
        <f t="shared" ca="1" si="3"/>
        <v>velmi dobře</v>
      </c>
    </row>
    <row r="115" spans="1:4" ht="16" x14ac:dyDescent="0.2">
      <c r="A115" s="39" t="s">
        <v>285</v>
      </c>
      <c r="B115" s="39" t="s">
        <v>138</v>
      </c>
      <c r="C115" s="40">
        <f t="shared" ca="1" si="2"/>
        <v>2</v>
      </c>
      <c r="D115" s="30" t="str">
        <f t="shared" ca="1" si="3"/>
        <v>velmi dobře</v>
      </c>
    </row>
    <row r="116" spans="1:4" ht="16" x14ac:dyDescent="0.2">
      <c r="A116" s="39" t="s">
        <v>286</v>
      </c>
      <c r="B116" s="39" t="s">
        <v>287</v>
      </c>
      <c r="C116" s="40">
        <f t="shared" ca="1" si="2"/>
        <v>2</v>
      </c>
      <c r="D116" s="30" t="str">
        <f t="shared" ca="1" si="3"/>
        <v>velmi dobře</v>
      </c>
    </row>
    <row r="117" spans="1:4" ht="16" x14ac:dyDescent="0.2">
      <c r="A117" s="39" t="s">
        <v>288</v>
      </c>
      <c r="B117" s="39" t="s">
        <v>126</v>
      </c>
      <c r="C117" s="40">
        <f t="shared" ca="1" si="2"/>
        <v>2</v>
      </c>
      <c r="D117" s="30" t="str">
        <f t="shared" ca="1" si="3"/>
        <v>velmi dobře</v>
      </c>
    </row>
    <row r="118" spans="1:4" ht="16" x14ac:dyDescent="0.2">
      <c r="A118" s="39" t="s">
        <v>289</v>
      </c>
      <c r="B118" s="39" t="s">
        <v>2</v>
      </c>
      <c r="C118" s="40">
        <f t="shared" ca="1" si="2"/>
        <v>1</v>
      </c>
      <c r="D118" s="30" t="str">
        <f t="shared" ca="1" si="3"/>
        <v>výborně</v>
      </c>
    </row>
    <row r="119" spans="1:4" ht="16" x14ac:dyDescent="0.2">
      <c r="A119" s="39" t="s">
        <v>289</v>
      </c>
      <c r="B119" s="39" t="s">
        <v>147</v>
      </c>
      <c r="C119" s="40">
        <f t="shared" ca="1" si="2"/>
        <v>1</v>
      </c>
      <c r="D119" s="30" t="str">
        <f t="shared" ca="1" si="3"/>
        <v>výborně</v>
      </c>
    </row>
    <row r="120" spans="1:4" ht="16" x14ac:dyDescent="0.2">
      <c r="A120" s="39" t="s">
        <v>290</v>
      </c>
      <c r="B120" s="39" t="s">
        <v>291</v>
      </c>
      <c r="C120" s="40">
        <f t="shared" ca="1" si="2"/>
        <v>4</v>
      </c>
      <c r="D120" s="30" t="str">
        <f t="shared" ca="1" si="3"/>
        <v>nevyhovující</v>
      </c>
    </row>
    <row r="121" spans="1:4" ht="16" x14ac:dyDescent="0.2">
      <c r="A121" s="39" t="s">
        <v>292</v>
      </c>
      <c r="B121" s="39" t="s">
        <v>182</v>
      </c>
      <c r="C121" s="40">
        <f t="shared" ca="1" si="2"/>
        <v>4</v>
      </c>
      <c r="D121" s="30" t="str">
        <f t="shared" ca="1" si="3"/>
        <v>nevyhovující</v>
      </c>
    </row>
    <row r="122" spans="1:4" ht="16" x14ac:dyDescent="0.2">
      <c r="A122" s="39" t="s">
        <v>293</v>
      </c>
      <c r="B122" s="39" t="s">
        <v>188</v>
      </c>
      <c r="C122" s="40">
        <f t="shared" ca="1" si="2"/>
        <v>2</v>
      </c>
      <c r="D122" s="30" t="str">
        <f t="shared" ca="1" si="3"/>
        <v>velmi dobře</v>
      </c>
    </row>
    <row r="123" spans="1:4" ht="16" x14ac:dyDescent="0.2">
      <c r="A123" s="39" t="s">
        <v>294</v>
      </c>
      <c r="B123" s="39" t="s">
        <v>182</v>
      </c>
      <c r="C123" s="40">
        <f t="shared" ca="1" si="2"/>
        <v>1</v>
      </c>
      <c r="D123" s="30" t="str">
        <f t="shared" ca="1" si="3"/>
        <v>výborně</v>
      </c>
    </row>
    <row r="124" spans="1:4" ht="16" x14ac:dyDescent="0.2">
      <c r="A124" s="39" t="s">
        <v>295</v>
      </c>
      <c r="B124" s="39" t="s">
        <v>262</v>
      </c>
      <c r="C124" s="40">
        <f t="shared" ca="1" si="2"/>
        <v>2</v>
      </c>
      <c r="D124" s="30" t="str">
        <f t="shared" ca="1" si="3"/>
        <v>velmi dobře</v>
      </c>
    </row>
    <row r="125" spans="1:4" ht="16" x14ac:dyDescent="0.2">
      <c r="A125" s="39" t="s">
        <v>296</v>
      </c>
      <c r="B125" s="39" t="s">
        <v>152</v>
      </c>
      <c r="C125" s="40">
        <f t="shared" ca="1" si="2"/>
        <v>4</v>
      </c>
      <c r="D125" s="30" t="str">
        <f t="shared" ca="1" si="3"/>
        <v>nevyhovující</v>
      </c>
    </row>
    <row r="126" spans="1:4" ht="16" x14ac:dyDescent="0.2">
      <c r="A126" s="39" t="s">
        <v>297</v>
      </c>
      <c r="B126" s="39" t="s">
        <v>164</v>
      </c>
      <c r="C126" s="40">
        <f t="shared" ca="1" si="2"/>
        <v>3</v>
      </c>
      <c r="D126" s="30" t="str">
        <f t="shared" ca="1" si="3"/>
        <v>dobře</v>
      </c>
    </row>
    <row r="127" spans="1:4" ht="16" x14ac:dyDescent="0.2">
      <c r="A127" s="39" t="s">
        <v>298</v>
      </c>
      <c r="B127" s="39" t="s">
        <v>149</v>
      </c>
      <c r="C127" s="40">
        <f t="shared" ca="1" si="2"/>
        <v>2</v>
      </c>
      <c r="D127" s="30" t="str">
        <f t="shared" ca="1" si="3"/>
        <v>velmi dobře</v>
      </c>
    </row>
    <row r="128" spans="1:4" ht="16" x14ac:dyDescent="0.2">
      <c r="A128" s="39" t="s">
        <v>299</v>
      </c>
      <c r="B128" s="39" t="s">
        <v>212</v>
      </c>
      <c r="C128" s="40">
        <f t="shared" ca="1" si="2"/>
        <v>1</v>
      </c>
      <c r="D128" s="30" t="str">
        <f t="shared" ca="1" si="3"/>
        <v>výborně</v>
      </c>
    </row>
    <row r="129" spans="1:4" ht="16" x14ac:dyDescent="0.2">
      <c r="A129" s="39" t="s">
        <v>300</v>
      </c>
      <c r="B129" s="39" t="s">
        <v>301</v>
      </c>
      <c r="C129" s="40">
        <f t="shared" ca="1" si="2"/>
        <v>3</v>
      </c>
      <c r="D129" s="30" t="str">
        <f t="shared" ca="1" si="3"/>
        <v>dobře</v>
      </c>
    </row>
    <row r="130" spans="1:4" ht="16" x14ac:dyDescent="0.2">
      <c r="A130" s="39" t="s">
        <v>302</v>
      </c>
      <c r="B130" s="39" t="s">
        <v>168</v>
      </c>
      <c r="C130" s="40">
        <f t="shared" ref="C130:C193" ca="1" si="4">CEILING(RAND()*4,1)</f>
        <v>1</v>
      </c>
      <c r="D130" s="30" t="str">
        <f t="shared" ref="D130:D193" ca="1" si="5">IF(C130=1,$H$3,IF(C130=2,$H$4,IF(C130=3,$H$5,IF(C130=4,$H$6))))</f>
        <v>výborně</v>
      </c>
    </row>
    <row r="131" spans="1:4" ht="16" x14ac:dyDescent="0.2">
      <c r="A131" s="39" t="s">
        <v>303</v>
      </c>
      <c r="B131" s="39" t="s">
        <v>212</v>
      </c>
      <c r="C131" s="40">
        <f t="shared" ca="1" si="4"/>
        <v>2</v>
      </c>
      <c r="D131" s="30" t="str">
        <f t="shared" ca="1" si="5"/>
        <v>velmi dobře</v>
      </c>
    </row>
    <row r="132" spans="1:4" ht="16" x14ac:dyDescent="0.2">
      <c r="A132" s="39" t="s">
        <v>304</v>
      </c>
      <c r="B132" s="39" t="s">
        <v>305</v>
      </c>
      <c r="C132" s="40">
        <f t="shared" ca="1" si="4"/>
        <v>2</v>
      </c>
      <c r="D132" s="30" t="str">
        <f t="shared" ca="1" si="5"/>
        <v>velmi dobře</v>
      </c>
    </row>
    <row r="133" spans="1:4" ht="16" x14ac:dyDescent="0.2">
      <c r="A133" s="39" t="s">
        <v>306</v>
      </c>
      <c r="B133" s="39" t="s">
        <v>154</v>
      </c>
      <c r="C133" s="40">
        <f t="shared" ca="1" si="4"/>
        <v>4</v>
      </c>
      <c r="D133" s="30" t="str">
        <f t="shared" ca="1" si="5"/>
        <v>nevyhovující</v>
      </c>
    </row>
    <row r="134" spans="1:4" ht="16" x14ac:dyDescent="0.2">
      <c r="A134" s="39" t="s">
        <v>307</v>
      </c>
      <c r="B134" s="39" t="s">
        <v>149</v>
      </c>
      <c r="C134" s="40">
        <f t="shared" ca="1" si="4"/>
        <v>1</v>
      </c>
      <c r="D134" s="30" t="str">
        <f t="shared" ca="1" si="5"/>
        <v>výborně</v>
      </c>
    </row>
    <row r="135" spans="1:4" ht="16" x14ac:dyDescent="0.2">
      <c r="A135" s="39" t="s">
        <v>308</v>
      </c>
      <c r="B135" s="39" t="s">
        <v>134</v>
      </c>
      <c r="C135" s="40">
        <f t="shared" ca="1" si="4"/>
        <v>3</v>
      </c>
      <c r="D135" s="30" t="str">
        <f t="shared" ca="1" si="5"/>
        <v>dobře</v>
      </c>
    </row>
    <row r="136" spans="1:4" ht="16" x14ac:dyDescent="0.2">
      <c r="A136" s="39" t="s">
        <v>309</v>
      </c>
      <c r="B136" s="39" t="s">
        <v>310</v>
      </c>
      <c r="C136" s="40">
        <f t="shared" ca="1" si="4"/>
        <v>3</v>
      </c>
      <c r="D136" s="30" t="str">
        <f t="shared" ca="1" si="5"/>
        <v>dobře</v>
      </c>
    </row>
    <row r="137" spans="1:4" ht="16" x14ac:dyDescent="0.2">
      <c r="A137" s="39" t="s">
        <v>311</v>
      </c>
      <c r="B137" s="39" t="s">
        <v>152</v>
      </c>
      <c r="C137" s="40">
        <f t="shared" ca="1" si="4"/>
        <v>1</v>
      </c>
      <c r="D137" s="30" t="str">
        <f t="shared" ca="1" si="5"/>
        <v>výborně</v>
      </c>
    </row>
    <row r="138" spans="1:4" ht="16" x14ac:dyDescent="0.2">
      <c r="A138" s="39" t="s">
        <v>312</v>
      </c>
      <c r="B138" s="39" t="s">
        <v>245</v>
      </c>
      <c r="C138" s="40">
        <f t="shared" ca="1" si="4"/>
        <v>1</v>
      </c>
      <c r="D138" s="30" t="str">
        <f t="shared" ca="1" si="5"/>
        <v>výborně</v>
      </c>
    </row>
    <row r="139" spans="1:4" ht="16" x14ac:dyDescent="0.2">
      <c r="A139" s="39" t="s">
        <v>313</v>
      </c>
      <c r="B139" s="39" t="s">
        <v>149</v>
      </c>
      <c r="C139" s="40">
        <f t="shared" ca="1" si="4"/>
        <v>1</v>
      </c>
      <c r="D139" s="30" t="str">
        <f t="shared" ca="1" si="5"/>
        <v>výborně</v>
      </c>
    </row>
    <row r="140" spans="1:4" ht="16" x14ac:dyDescent="0.2">
      <c r="A140" s="39" t="s">
        <v>314</v>
      </c>
      <c r="B140" s="39" t="s">
        <v>184</v>
      </c>
      <c r="C140" s="40">
        <f t="shared" ca="1" si="4"/>
        <v>2</v>
      </c>
      <c r="D140" s="30" t="str">
        <f t="shared" ca="1" si="5"/>
        <v>velmi dobře</v>
      </c>
    </row>
    <row r="141" spans="1:4" ht="16" x14ac:dyDescent="0.2">
      <c r="A141" s="39" t="s">
        <v>315</v>
      </c>
      <c r="B141" s="39" t="s">
        <v>209</v>
      </c>
      <c r="C141" s="40">
        <f t="shared" ca="1" si="4"/>
        <v>1</v>
      </c>
      <c r="D141" s="30" t="str">
        <f t="shared" ca="1" si="5"/>
        <v>výborně</v>
      </c>
    </row>
    <row r="142" spans="1:4" ht="16" x14ac:dyDescent="0.2">
      <c r="A142" s="39" t="s">
        <v>316</v>
      </c>
      <c r="B142" s="39" t="s">
        <v>317</v>
      </c>
      <c r="C142" s="40">
        <f t="shared" ca="1" si="4"/>
        <v>2</v>
      </c>
      <c r="D142" s="30" t="str">
        <f t="shared" ca="1" si="5"/>
        <v>velmi dobře</v>
      </c>
    </row>
    <row r="143" spans="1:4" ht="16" x14ac:dyDescent="0.2">
      <c r="A143" s="39" t="s">
        <v>318</v>
      </c>
      <c r="B143" s="39" t="s">
        <v>262</v>
      </c>
      <c r="C143" s="40">
        <f t="shared" ca="1" si="4"/>
        <v>4</v>
      </c>
      <c r="D143" s="30" t="str">
        <f t="shared" ca="1" si="5"/>
        <v>nevyhovující</v>
      </c>
    </row>
    <row r="144" spans="1:4" ht="16" x14ac:dyDescent="0.2">
      <c r="A144" s="39" t="s">
        <v>319</v>
      </c>
      <c r="B144" s="39" t="s">
        <v>245</v>
      </c>
      <c r="C144" s="40">
        <f t="shared" ca="1" si="4"/>
        <v>1</v>
      </c>
      <c r="D144" s="30" t="str">
        <f t="shared" ca="1" si="5"/>
        <v>výborně</v>
      </c>
    </row>
    <row r="145" spans="1:4" ht="16" x14ac:dyDescent="0.2">
      <c r="A145" s="39" t="s">
        <v>320</v>
      </c>
      <c r="B145" s="39" t="s">
        <v>321</v>
      </c>
      <c r="C145" s="40">
        <f t="shared" ca="1" si="4"/>
        <v>2</v>
      </c>
      <c r="D145" s="30" t="str">
        <f t="shared" ca="1" si="5"/>
        <v>velmi dobře</v>
      </c>
    </row>
    <row r="146" spans="1:4" ht="16" x14ac:dyDescent="0.2">
      <c r="A146" s="39" t="s">
        <v>322</v>
      </c>
      <c r="B146" s="39" t="s">
        <v>323</v>
      </c>
      <c r="C146" s="40">
        <f t="shared" ca="1" si="4"/>
        <v>3</v>
      </c>
      <c r="D146" s="30" t="str">
        <f t="shared" ca="1" si="5"/>
        <v>dobře</v>
      </c>
    </row>
    <row r="147" spans="1:4" ht="16" x14ac:dyDescent="0.2">
      <c r="A147" s="39" t="s">
        <v>324</v>
      </c>
      <c r="B147" s="39" t="s">
        <v>132</v>
      </c>
      <c r="C147" s="40">
        <f t="shared" ca="1" si="4"/>
        <v>3</v>
      </c>
      <c r="D147" s="30" t="str">
        <f t="shared" ca="1" si="5"/>
        <v>dobře</v>
      </c>
    </row>
    <row r="148" spans="1:4" ht="16" x14ac:dyDescent="0.2">
      <c r="A148" s="39" t="s">
        <v>325</v>
      </c>
      <c r="B148" s="39" t="s">
        <v>321</v>
      </c>
      <c r="C148" s="40">
        <f t="shared" ca="1" si="4"/>
        <v>1</v>
      </c>
      <c r="D148" s="30" t="str">
        <f t="shared" ca="1" si="5"/>
        <v>výborně</v>
      </c>
    </row>
    <row r="149" spans="1:4" ht="16" x14ac:dyDescent="0.2">
      <c r="A149" s="39" t="s">
        <v>326</v>
      </c>
      <c r="B149" s="39" t="s">
        <v>327</v>
      </c>
      <c r="C149" s="40">
        <f t="shared" ca="1" si="4"/>
        <v>1</v>
      </c>
      <c r="D149" s="30" t="str">
        <f t="shared" ca="1" si="5"/>
        <v>výborně</v>
      </c>
    </row>
    <row r="150" spans="1:4" ht="16" x14ac:dyDescent="0.2">
      <c r="A150" s="39" t="s">
        <v>328</v>
      </c>
      <c r="B150" s="39" t="s">
        <v>120</v>
      </c>
      <c r="C150" s="40">
        <f t="shared" ca="1" si="4"/>
        <v>4</v>
      </c>
      <c r="D150" s="30" t="str">
        <f t="shared" ca="1" si="5"/>
        <v>nevyhovující</v>
      </c>
    </row>
    <row r="151" spans="1:4" ht="16" x14ac:dyDescent="0.2">
      <c r="A151" s="39" t="s">
        <v>329</v>
      </c>
      <c r="B151" s="39" t="s">
        <v>182</v>
      </c>
      <c r="C151" s="40">
        <f t="shared" ca="1" si="4"/>
        <v>2</v>
      </c>
      <c r="D151" s="30" t="str">
        <f t="shared" ca="1" si="5"/>
        <v>velmi dobře</v>
      </c>
    </row>
    <row r="152" spans="1:4" ht="16" x14ac:dyDescent="0.2">
      <c r="A152" s="39" t="s">
        <v>330</v>
      </c>
      <c r="B152" s="39" t="s">
        <v>132</v>
      </c>
      <c r="C152" s="40">
        <f t="shared" ca="1" si="4"/>
        <v>4</v>
      </c>
      <c r="D152" s="30" t="str">
        <f t="shared" ca="1" si="5"/>
        <v>nevyhovující</v>
      </c>
    </row>
    <row r="153" spans="1:4" ht="16" x14ac:dyDescent="0.2">
      <c r="A153" s="39" t="s">
        <v>330</v>
      </c>
      <c r="B153" s="39" t="s">
        <v>155</v>
      </c>
      <c r="C153" s="40">
        <f t="shared" ca="1" si="4"/>
        <v>4</v>
      </c>
      <c r="D153" s="30" t="str">
        <f t="shared" ca="1" si="5"/>
        <v>nevyhovující</v>
      </c>
    </row>
    <row r="154" spans="1:4" ht="16" x14ac:dyDescent="0.2">
      <c r="A154" s="39" t="s">
        <v>331</v>
      </c>
      <c r="B154" s="39" t="s">
        <v>332</v>
      </c>
      <c r="C154" s="40">
        <f t="shared" ca="1" si="4"/>
        <v>2</v>
      </c>
      <c r="D154" s="30" t="str">
        <f t="shared" ca="1" si="5"/>
        <v>velmi dobře</v>
      </c>
    </row>
    <row r="155" spans="1:4" ht="16" x14ac:dyDescent="0.2">
      <c r="A155" s="39" t="s">
        <v>333</v>
      </c>
      <c r="B155" s="39" t="s">
        <v>161</v>
      </c>
      <c r="C155" s="40">
        <f t="shared" ca="1" si="4"/>
        <v>4</v>
      </c>
      <c r="D155" s="30" t="str">
        <f t="shared" ca="1" si="5"/>
        <v>nevyhovující</v>
      </c>
    </row>
    <row r="156" spans="1:4" ht="16" x14ac:dyDescent="0.2">
      <c r="A156" s="39" t="s">
        <v>334</v>
      </c>
      <c r="B156" s="39" t="s">
        <v>335</v>
      </c>
      <c r="C156" s="40">
        <f t="shared" ca="1" si="4"/>
        <v>3</v>
      </c>
      <c r="D156" s="30" t="str">
        <f t="shared" ca="1" si="5"/>
        <v>dobře</v>
      </c>
    </row>
    <row r="157" spans="1:4" ht="16" x14ac:dyDescent="0.2">
      <c r="A157" s="39" t="s">
        <v>336</v>
      </c>
      <c r="B157" s="39" t="s">
        <v>337</v>
      </c>
      <c r="C157" s="40">
        <f t="shared" ca="1" si="4"/>
        <v>2</v>
      </c>
      <c r="D157" s="30" t="str">
        <f t="shared" ca="1" si="5"/>
        <v>velmi dobře</v>
      </c>
    </row>
    <row r="158" spans="1:4" ht="16" x14ac:dyDescent="0.2">
      <c r="A158" s="39" t="s">
        <v>338</v>
      </c>
      <c r="B158" s="39" t="s">
        <v>339</v>
      </c>
      <c r="C158" s="40">
        <f t="shared" ca="1" si="4"/>
        <v>2</v>
      </c>
      <c r="D158" s="30" t="str">
        <f t="shared" ca="1" si="5"/>
        <v>velmi dobře</v>
      </c>
    </row>
    <row r="159" spans="1:4" ht="16" x14ac:dyDescent="0.2">
      <c r="A159" s="39" t="s">
        <v>340</v>
      </c>
      <c r="B159" s="39" t="s">
        <v>193</v>
      </c>
      <c r="C159" s="40">
        <f t="shared" ca="1" si="4"/>
        <v>4</v>
      </c>
      <c r="D159" s="30" t="str">
        <f t="shared" ca="1" si="5"/>
        <v>nevyhovující</v>
      </c>
    </row>
    <row r="160" spans="1:4" ht="16" x14ac:dyDescent="0.2">
      <c r="A160" s="39" t="s">
        <v>341</v>
      </c>
      <c r="B160" s="39" t="s">
        <v>129</v>
      </c>
      <c r="C160" s="40">
        <f t="shared" ca="1" si="4"/>
        <v>2</v>
      </c>
      <c r="D160" s="30" t="str">
        <f t="shared" ca="1" si="5"/>
        <v>velmi dobře</v>
      </c>
    </row>
    <row r="161" spans="1:4" ht="16" x14ac:dyDescent="0.2">
      <c r="A161" s="39" t="s">
        <v>342</v>
      </c>
      <c r="B161" s="39" t="s">
        <v>343</v>
      </c>
      <c r="C161" s="40">
        <f t="shared" ca="1" si="4"/>
        <v>2</v>
      </c>
      <c r="D161" s="30" t="str">
        <f t="shared" ca="1" si="5"/>
        <v>velmi dobře</v>
      </c>
    </row>
    <row r="162" spans="1:4" ht="16" x14ac:dyDescent="0.2">
      <c r="A162" s="39" t="s">
        <v>344</v>
      </c>
      <c r="B162" s="39" t="s">
        <v>196</v>
      </c>
      <c r="C162" s="40">
        <f t="shared" ca="1" si="4"/>
        <v>2</v>
      </c>
      <c r="D162" s="30" t="str">
        <f t="shared" ca="1" si="5"/>
        <v>velmi dobře</v>
      </c>
    </row>
    <row r="163" spans="1:4" ht="16" x14ac:dyDescent="0.2">
      <c r="A163" s="39" t="s">
        <v>345</v>
      </c>
      <c r="B163" s="39" t="s">
        <v>154</v>
      </c>
      <c r="C163" s="40">
        <f t="shared" ca="1" si="4"/>
        <v>3</v>
      </c>
      <c r="D163" s="30" t="str">
        <f t="shared" ca="1" si="5"/>
        <v>dobře</v>
      </c>
    </row>
    <row r="164" spans="1:4" ht="16" x14ac:dyDescent="0.2">
      <c r="A164" s="39" t="s">
        <v>346</v>
      </c>
      <c r="B164" s="39" t="s">
        <v>188</v>
      </c>
      <c r="C164" s="40">
        <f t="shared" ca="1" si="4"/>
        <v>1</v>
      </c>
      <c r="D164" s="30" t="str">
        <f t="shared" ca="1" si="5"/>
        <v>výborně</v>
      </c>
    </row>
    <row r="165" spans="1:4" ht="16" x14ac:dyDescent="0.2">
      <c r="A165" s="39" t="s">
        <v>347</v>
      </c>
      <c r="B165" s="39" t="s">
        <v>221</v>
      </c>
      <c r="C165" s="40">
        <f t="shared" ca="1" si="4"/>
        <v>2</v>
      </c>
      <c r="D165" s="30" t="str">
        <f t="shared" ca="1" si="5"/>
        <v>velmi dobře</v>
      </c>
    </row>
    <row r="166" spans="1:4" ht="16" x14ac:dyDescent="0.2">
      <c r="A166" s="39" t="s">
        <v>347</v>
      </c>
      <c r="B166" s="39" t="s">
        <v>182</v>
      </c>
      <c r="C166" s="40">
        <f t="shared" ca="1" si="4"/>
        <v>1</v>
      </c>
      <c r="D166" s="30" t="str">
        <f t="shared" ca="1" si="5"/>
        <v>výborně</v>
      </c>
    </row>
    <row r="167" spans="1:4" ht="16" x14ac:dyDescent="0.2">
      <c r="A167" s="39" t="s">
        <v>348</v>
      </c>
      <c r="B167" s="39" t="s">
        <v>216</v>
      </c>
      <c r="C167" s="40">
        <f t="shared" ca="1" si="4"/>
        <v>4</v>
      </c>
      <c r="D167" s="30" t="str">
        <f t="shared" ca="1" si="5"/>
        <v>nevyhovující</v>
      </c>
    </row>
    <row r="168" spans="1:4" ht="16" x14ac:dyDescent="0.2">
      <c r="A168" s="39" t="s">
        <v>349</v>
      </c>
      <c r="B168" s="39" t="s">
        <v>199</v>
      </c>
      <c r="C168" s="40">
        <f t="shared" ca="1" si="4"/>
        <v>4</v>
      </c>
      <c r="D168" s="30" t="str">
        <f t="shared" ca="1" si="5"/>
        <v>nevyhovující</v>
      </c>
    </row>
    <row r="169" spans="1:4" ht="16" x14ac:dyDescent="0.2">
      <c r="A169" s="39" t="s">
        <v>350</v>
      </c>
      <c r="B169" s="39" t="s">
        <v>2</v>
      </c>
      <c r="C169" s="40">
        <f t="shared" ca="1" si="4"/>
        <v>4</v>
      </c>
      <c r="D169" s="30" t="str">
        <f t="shared" ca="1" si="5"/>
        <v>nevyhovující</v>
      </c>
    </row>
    <row r="170" spans="1:4" ht="16" x14ac:dyDescent="0.2">
      <c r="A170" s="39" t="s">
        <v>350</v>
      </c>
      <c r="B170" s="39" t="s">
        <v>287</v>
      </c>
      <c r="C170" s="40">
        <f t="shared" ca="1" si="4"/>
        <v>1</v>
      </c>
      <c r="D170" s="30" t="str">
        <f t="shared" ca="1" si="5"/>
        <v>výborně</v>
      </c>
    </row>
    <row r="171" spans="1:4" ht="16" x14ac:dyDescent="0.2">
      <c r="A171" s="39" t="s">
        <v>351</v>
      </c>
      <c r="B171" s="39" t="s">
        <v>332</v>
      </c>
      <c r="C171" s="40">
        <f t="shared" ca="1" si="4"/>
        <v>3</v>
      </c>
      <c r="D171" s="30" t="str">
        <f t="shared" ca="1" si="5"/>
        <v>dobře</v>
      </c>
    </row>
    <row r="172" spans="1:4" ht="16" x14ac:dyDescent="0.2">
      <c r="A172" s="39" t="s">
        <v>351</v>
      </c>
      <c r="B172" s="39" t="s">
        <v>152</v>
      </c>
      <c r="C172" s="40">
        <f t="shared" ca="1" si="4"/>
        <v>1</v>
      </c>
      <c r="D172" s="30" t="str">
        <f t="shared" ca="1" si="5"/>
        <v>výborně</v>
      </c>
    </row>
    <row r="173" spans="1:4" ht="16" x14ac:dyDescent="0.2">
      <c r="A173" s="39" t="s">
        <v>352</v>
      </c>
      <c r="B173" s="39" t="s">
        <v>287</v>
      </c>
      <c r="C173" s="40">
        <f t="shared" ca="1" si="4"/>
        <v>2</v>
      </c>
      <c r="D173" s="30" t="str">
        <f t="shared" ca="1" si="5"/>
        <v>velmi dobře</v>
      </c>
    </row>
    <row r="174" spans="1:4" ht="16" x14ac:dyDescent="0.2">
      <c r="A174" s="39" t="s">
        <v>353</v>
      </c>
      <c r="B174" s="39" t="s">
        <v>193</v>
      </c>
      <c r="C174" s="40">
        <f t="shared" ca="1" si="4"/>
        <v>3</v>
      </c>
      <c r="D174" s="30" t="str">
        <f t="shared" ca="1" si="5"/>
        <v>dobře</v>
      </c>
    </row>
    <row r="175" spans="1:4" ht="16" x14ac:dyDescent="0.2">
      <c r="A175" s="39" t="s">
        <v>354</v>
      </c>
      <c r="B175" s="39" t="s">
        <v>2</v>
      </c>
      <c r="C175" s="40">
        <f t="shared" ca="1" si="4"/>
        <v>1</v>
      </c>
      <c r="D175" s="30" t="str">
        <f t="shared" ca="1" si="5"/>
        <v>výborně</v>
      </c>
    </row>
    <row r="176" spans="1:4" ht="16" x14ac:dyDescent="0.2">
      <c r="A176" s="39" t="s">
        <v>354</v>
      </c>
      <c r="B176" s="39" t="s">
        <v>196</v>
      </c>
      <c r="C176" s="40">
        <f t="shared" ca="1" si="4"/>
        <v>2</v>
      </c>
      <c r="D176" s="30" t="str">
        <f t="shared" ca="1" si="5"/>
        <v>velmi dobře</v>
      </c>
    </row>
    <row r="177" spans="1:4" ht="16" x14ac:dyDescent="0.2">
      <c r="A177" s="39" t="s">
        <v>355</v>
      </c>
      <c r="B177" s="39" t="s">
        <v>134</v>
      </c>
      <c r="C177" s="40">
        <f t="shared" ca="1" si="4"/>
        <v>4</v>
      </c>
      <c r="D177" s="30" t="str">
        <f t="shared" ca="1" si="5"/>
        <v>nevyhovující</v>
      </c>
    </row>
    <row r="178" spans="1:4" ht="16" x14ac:dyDescent="0.2">
      <c r="A178" s="39" t="s">
        <v>356</v>
      </c>
      <c r="B178" s="39" t="s">
        <v>155</v>
      </c>
      <c r="C178" s="40">
        <f t="shared" ca="1" si="4"/>
        <v>1</v>
      </c>
      <c r="D178" s="30" t="str">
        <f t="shared" ca="1" si="5"/>
        <v>výborně</v>
      </c>
    </row>
    <row r="179" spans="1:4" ht="16" x14ac:dyDescent="0.2">
      <c r="A179" s="39" t="s">
        <v>357</v>
      </c>
      <c r="B179" s="39" t="s">
        <v>138</v>
      </c>
      <c r="C179" s="40">
        <f t="shared" ca="1" si="4"/>
        <v>3</v>
      </c>
      <c r="D179" s="30" t="str">
        <f t="shared" ca="1" si="5"/>
        <v>dobře</v>
      </c>
    </row>
    <row r="180" spans="1:4" ht="16" x14ac:dyDescent="0.2">
      <c r="A180" s="39" t="s">
        <v>357</v>
      </c>
      <c r="B180" s="39" t="s">
        <v>138</v>
      </c>
      <c r="C180" s="40">
        <f t="shared" ca="1" si="4"/>
        <v>1</v>
      </c>
      <c r="D180" s="30" t="str">
        <f t="shared" ca="1" si="5"/>
        <v>výborně</v>
      </c>
    </row>
    <row r="181" spans="1:4" ht="16" x14ac:dyDescent="0.2">
      <c r="A181" s="39" t="s">
        <v>357</v>
      </c>
      <c r="B181" s="39" t="s">
        <v>182</v>
      </c>
      <c r="C181" s="40">
        <f t="shared" ca="1" si="4"/>
        <v>3</v>
      </c>
      <c r="D181" s="30" t="str">
        <f t="shared" ca="1" si="5"/>
        <v>dobře</v>
      </c>
    </row>
    <row r="182" spans="1:4" ht="16" x14ac:dyDescent="0.2">
      <c r="A182" s="39" t="s">
        <v>358</v>
      </c>
      <c r="B182" s="39" t="s">
        <v>359</v>
      </c>
      <c r="C182" s="40">
        <f t="shared" ca="1" si="4"/>
        <v>1</v>
      </c>
      <c r="D182" s="30" t="str">
        <f t="shared" ca="1" si="5"/>
        <v>výborně</v>
      </c>
    </row>
    <row r="183" spans="1:4" ht="16" x14ac:dyDescent="0.2">
      <c r="A183" s="39" t="s">
        <v>360</v>
      </c>
      <c r="B183" s="39" t="s">
        <v>361</v>
      </c>
      <c r="C183" s="40">
        <f t="shared" ca="1" si="4"/>
        <v>4</v>
      </c>
      <c r="D183" s="30" t="str">
        <f t="shared" ca="1" si="5"/>
        <v>nevyhovující</v>
      </c>
    </row>
    <row r="184" spans="1:4" ht="16" x14ac:dyDescent="0.2">
      <c r="A184" s="39" t="s">
        <v>362</v>
      </c>
      <c r="B184" s="39" t="s">
        <v>235</v>
      </c>
      <c r="C184" s="40">
        <f t="shared" ca="1" si="4"/>
        <v>4</v>
      </c>
      <c r="D184" s="30" t="str">
        <f t="shared" ca="1" si="5"/>
        <v>nevyhovující</v>
      </c>
    </row>
    <row r="185" spans="1:4" ht="16" x14ac:dyDescent="0.2">
      <c r="A185" s="39" t="s">
        <v>363</v>
      </c>
      <c r="B185" s="39" t="s">
        <v>364</v>
      </c>
      <c r="C185" s="40">
        <f t="shared" ca="1" si="4"/>
        <v>2</v>
      </c>
      <c r="D185" s="30" t="str">
        <f t="shared" ca="1" si="5"/>
        <v>velmi dobře</v>
      </c>
    </row>
    <row r="186" spans="1:4" ht="16" x14ac:dyDescent="0.2">
      <c r="A186" s="39" t="s">
        <v>365</v>
      </c>
      <c r="B186" s="39" t="s">
        <v>219</v>
      </c>
      <c r="C186" s="40">
        <f t="shared" ca="1" si="4"/>
        <v>4</v>
      </c>
      <c r="D186" s="30" t="str">
        <f t="shared" ca="1" si="5"/>
        <v>nevyhovující</v>
      </c>
    </row>
    <row r="187" spans="1:4" ht="16" x14ac:dyDescent="0.2">
      <c r="A187" s="39" t="s">
        <v>366</v>
      </c>
      <c r="B187" s="39" t="s">
        <v>134</v>
      </c>
      <c r="C187" s="40">
        <f t="shared" ca="1" si="4"/>
        <v>1</v>
      </c>
      <c r="D187" s="30" t="str">
        <f t="shared" ca="1" si="5"/>
        <v>výborně</v>
      </c>
    </row>
    <row r="188" spans="1:4" ht="16" x14ac:dyDescent="0.2">
      <c r="A188" s="39" t="s">
        <v>367</v>
      </c>
      <c r="B188" s="39" t="s">
        <v>15</v>
      </c>
      <c r="C188" s="40">
        <f t="shared" ca="1" si="4"/>
        <v>2</v>
      </c>
      <c r="D188" s="30" t="str">
        <f t="shared" ca="1" si="5"/>
        <v>velmi dobře</v>
      </c>
    </row>
    <row r="189" spans="1:4" ht="16" x14ac:dyDescent="0.2">
      <c r="A189" s="39" t="s">
        <v>368</v>
      </c>
      <c r="B189" s="39" t="s">
        <v>120</v>
      </c>
      <c r="C189" s="40">
        <f t="shared" ca="1" si="4"/>
        <v>4</v>
      </c>
      <c r="D189" s="30" t="str">
        <f t="shared" ca="1" si="5"/>
        <v>nevyhovující</v>
      </c>
    </row>
    <row r="190" spans="1:4" ht="16" x14ac:dyDescent="0.2">
      <c r="A190" s="39" t="s">
        <v>369</v>
      </c>
      <c r="B190" s="39" t="s">
        <v>149</v>
      </c>
      <c r="C190" s="40">
        <f t="shared" ca="1" si="4"/>
        <v>3</v>
      </c>
      <c r="D190" s="30" t="str">
        <f t="shared" ca="1" si="5"/>
        <v>dobře</v>
      </c>
    </row>
    <row r="191" spans="1:4" ht="16" x14ac:dyDescent="0.2">
      <c r="A191" s="39" t="s">
        <v>370</v>
      </c>
      <c r="B191" s="39" t="s">
        <v>152</v>
      </c>
      <c r="C191" s="40">
        <f t="shared" ca="1" si="4"/>
        <v>2</v>
      </c>
      <c r="D191" s="30" t="str">
        <f t="shared" ca="1" si="5"/>
        <v>velmi dobře</v>
      </c>
    </row>
    <row r="192" spans="1:4" ht="16" x14ac:dyDescent="0.2">
      <c r="A192" s="39" t="s">
        <v>371</v>
      </c>
      <c r="B192" s="39" t="s">
        <v>209</v>
      </c>
      <c r="C192" s="40">
        <f t="shared" ca="1" si="4"/>
        <v>3</v>
      </c>
      <c r="D192" s="30" t="str">
        <f t="shared" ca="1" si="5"/>
        <v>dobře</v>
      </c>
    </row>
    <row r="193" spans="1:4" ht="16" x14ac:dyDescent="0.2">
      <c r="A193" s="39" t="s">
        <v>372</v>
      </c>
      <c r="B193" s="39" t="s">
        <v>287</v>
      </c>
      <c r="C193" s="40">
        <f t="shared" ca="1" si="4"/>
        <v>1</v>
      </c>
      <c r="D193" s="30" t="str">
        <f t="shared" ca="1" si="5"/>
        <v>výborně</v>
      </c>
    </row>
    <row r="194" spans="1:4" ht="16" x14ac:dyDescent="0.2">
      <c r="A194" s="39" t="s">
        <v>372</v>
      </c>
      <c r="B194" s="39" t="s">
        <v>287</v>
      </c>
      <c r="C194" s="40">
        <f t="shared" ref="C194:C257" ca="1" si="6">CEILING(RAND()*4,1)</f>
        <v>4</v>
      </c>
      <c r="D194" s="30" t="str">
        <f t="shared" ref="D194:D257" ca="1" si="7">IF(C194=1,$H$3,IF(C194=2,$H$4,IF(C194=3,$H$5,IF(C194=4,$H$6))))</f>
        <v>nevyhovující</v>
      </c>
    </row>
    <row r="195" spans="1:4" ht="16" x14ac:dyDescent="0.2">
      <c r="A195" s="39" t="s">
        <v>373</v>
      </c>
      <c r="B195" s="39" t="s">
        <v>168</v>
      </c>
      <c r="C195" s="40">
        <f t="shared" ca="1" si="6"/>
        <v>1</v>
      </c>
      <c r="D195" s="30" t="str">
        <f t="shared" ca="1" si="7"/>
        <v>výborně</v>
      </c>
    </row>
    <row r="196" spans="1:4" ht="16" x14ac:dyDescent="0.2">
      <c r="A196" s="39" t="s">
        <v>374</v>
      </c>
      <c r="B196" s="39" t="s">
        <v>327</v>
      </c>
      <c r="C196" s="40">
        <f t="shared" ca="1" si="6"/>
        <v>3</v>
      </c>
      <c r="D196" s="30" t="str">
        <f t="shared" ca="1" si="7"/>
        <v>dobře</v>
      </c>
    </row>
    <row r="197" spans="1:4" ht="16" x14ac:dyDescent="0.2">
      <c r="A197" s="39" t="s">
        <v>375</v>
      </c>
      <c r="B197" s="39" t="s">
        <v>2</v>
      </c>
      <c r="C197" s="40">
        <f t="shared" ca="1" si="6"/>
        <v>2</v>
      </c>
      <c r="D197" s="30" t="str">
        <f t="shared" ca="1" si="7"/>
        <v>velmi dobře</v>
      </c>
    </row>
    <row r="198" spans="1:4" ht="16" x14ac:dyDescent="0.2">
      <c r="A198" s="39" t="s">
        <v>376</v>
      </c>
      <c r="B198" s="39" t="s">
        <v>238</v>
      </c>
      <c r="C198" s="40">
        <f t="shared" ca="1" si="6"/>
        <v>3</v>
      </c>
      <c r="D198" s="30" t="str">
        <f t="shared" ca="1" si="7"/>
        <v>dobře</v>
      </c>
    </row>
    <row r="199" spans="1:4" ht="16" x14ac:dyDescent="0.2">
      <c r="A199" s="39" t="s">
        <v>376</v>
      </c>
      <c r="B199" s="39" t="s">
        <v>238</v>
      </c>
      <c r="C199" s="40">
        <f t="shared" ca="1" si="6"/>
        <v>3</v>
      </c>
      <c r="D199" s="30" t="str">
        <f t="shared" ca="1" si="7"/>
        <v>dobře</v>
      </c>
    </row>
    <row r="200" spans="1:4" ht="16" x14ac:dyDescent="0.2">
      <c r="A200" s="39" t="s">
        <v>377</v>
      </c>
      <c r="B200" s="39" t="s">
        <v>216</v>
      </c>
      <c r="C200" s="40">
        <f t="shared" ca="1" si="6"/>
        <v>2</v>
      </c>
      <c r="D200" s="30" t="str">
        <f t="shared" ca="1" si="7"/>
        <v>velmi dobře</v>
      </c>
    </row>
    <row r="201" spans="1:4" ht="16" x14ac:dyDescent="0.2">
      <c r="A201" s="39" t="s">
        <v>378</v>
      </c>
      <c r="B201" s="39" t="s">
        <v>126</v>
      </c>
      <c r="C201" s="40">
        <f t="shared" ca="1" si="6"/>
        <v>4</v>
      </c>
      <c r="D201" s="30" t="str">
        <f t="shared" ca="1" si="7"/>
        <v>nevyhovující</v>
      </c>
    </row>
    <row r="202" spans="1:4" ht="16" x14ac:dyDescent="0.2">
      <c r="A202" s="39" t="s">
        <v>379</v>
      </c>
      <c r="B202" s="39" t="s">
        <v>120</v>
      </c>
      <c r="C202" s="40">
        <f t="shared" ca="1" si="6"/>
        <v>4</v>
      </c>
      <c r="D202" s="30" t="str">
        <f t="shared" ca="1" si="7"/>
        <v>nevyhovující</v>
      </c>
    </row>
    <row r="203" spans="1:4" ht="16" x14ac:dyDescent="0.2">
      <c r="A203" s="39" t="s">
        <v>380</v>
      </c>
      <c r="B203" s="39" t="s">
        <v>2</v>
      </c>
      <c r="C203" s="40">
        <f t="shared" ca="1" si="6"/>
        <v>4</v>
      </c>
      <c r="D203" s="30" t="str">
        <f t="shared" ca="1" si="7"/>
        <v>nevyhovující</v>
      </c>
    </row>
    <row r="204" spans="1:4" ht="16" x14ac:dyDescent="0.2">
      <c r="A204" s="39" t="s">
        <v>381</v>
      </c>
      <c r="B204" s="39" t="s">
        <v>120</v>
      </c>
      <c r="C204" s="40">
        <f t="shared" ca="1" si="6"/>
        <v>2</v>
      </c>
      <c r="D204" s="30" t="str">
        <f t="shared" ca="1" si="7"/>
        <v>velmi dobře</v>
      </c>
    </row>
    <row r="205" spans="1:4" ht="16" x14ac:dyDescent="0.2">
      <c r="A205" s="39" t="s">
        <v>382</v>
      </c>
      <c r="B205" s="39" t="s">
        <v>262</v>
      </c>
      <c r="C205" s="40">
        <f t="shared" ca="1" si="6"/>
        <v>1</v>
      </c>
      <c r="D205" s="30" t="str">
        <f t="shared" ca="1" si="7"/>
        <v>výborně</v>
      </c>
    </row>
    <row r="206" spans="1:4" ht="16" x14ac:dyDescent="0.2">
      <c r="A206" s="39" t="s">
        <v>383</v>
      </c>
      <c r="B206" s="39" t="s">
        <v>132</v>
      </c>
      <c r="C206" s="40">
        <f t="shared" ca="1" si="6"/>
        <v>1</v>
      </c>
      <c r="D206" s="30" t="str">
        <f t="shared" ca="1" si="7"/>
        <v>výborně</v>
      </c>
    </row>
    <row r="207" spans="1:4" ht="16" x14ac:dyDescent="0.2">
      <c r="A207" s="39" t="s">
        <v>384</v>
      </c>
      <c r="B207" s="39" t="s">
        <v>134</v>
      </c>
      <c r="C207" s="40">
        <f t="shared" ca="1" si="6"/>
        <v>2</v>
      </c>
      <c r="D207" s="30" t="str">
        <f t="shared" ca="1" si="7"/>
        <v>velmi dobře</v>
      </c>
    </row>
    <row r="208" spans="1:4" ht="16" x14ac:dyDescent="0.2">
      <c r="A208" s="39" t="s">
        <v>385</v>
      </c>
      <c r="B208" s="39" t="s">
        <v>193</v>
      </c>
      <c r="C208" s="40">
        <f t="shared" ca="1" si="6"/>
        <v>1</v>
      </c>
      <c r="D208" s="30" t="str">
        <f t="shared" ca="1" si="7"/>
        <v>výborně</v>
      </c>
    </row>
    <row r="209" spans="1:4" ht="16" x14ac:dyDescent="0.2">
      <c r="A209" s="39" t="s">
        <v>174</v>
      </c>
      <c r="B209" s="39" t="s">
        <v>386</v>
      </c>
      <c r="C209" s="40">
        <f t="shared" ca="1" si="6"/>
        <v>2</v>
      </c>
      <c r="D209" s="30" t="str">
        <f t="shared" ca="1" si="7"/>
        <v>velmi dobře</v>
      </c>
    </row>
    <row r="210" spans="1:4" ht="16" x14ac:dyDescent="0.2">
      <c r="A210" s="39" t="s">
        <v>387</v>
      </c>
      <c r="B210" s="39" t="s">
        <v>287</v>
      </c>
      <c r="C210" s="40">
        <f t="shared" ca="1" si="6"/>
        <v>1</v>
      </c>
      <c r="D210" s="30" t="str">
        <f t="shared" ca="1" si="7"/>
        <v>výborně</v>
      </c>
    </row>
    <row r="211" spans="1:4" ht="16" x14ac:dyDescent="0.2">
      <c r="A211" s="39" t="s">
        <v>388</v>
      </c>
      <c r="B211" s="39" t="s">
        <v>145</v>
      </c>
      <c r="C211" s="40">
        <f t="shared" ca="1" si="6"/>
        <v>4</v>
      </c>
      <c r="D211" s="30" t="str">
        <f t="shared" ca="1" si="7"/>
        <v>nevyhovující</v>
      </c>
    </row>
    <row r="212" spans="1:4" ht="16" x14ac:dyDescent="0.2">
      <c r="A212" s="39" t="s">
        <v>389</v>
      </c>
      <c r="B212" s="39" t="s">
        <v>147</v>
      </c>
      <c r="C212" s="40">
        <f t="shared" ca="1" si="6"/>
        <v>1</v>
      </c>
      <c r="D212" s="30" t="str">
        <f t="shared" ca="1" si="7"/>
        <v>výborně</v>
      </c>
    </row>
    <row r="213" spans="1:4" ht="16" x14ac:dyDescent="0.2">
      <c r="A213" s="39" t="s">
        <v>390</v>
      </c>
      <c r="B213" s="39" t="s">
        <v>188</v>
      </c>
      <c r="C213" s="40">
        <f t="shared" ca="1" si="6"/>
        <v>2</v>
      </c>
      <c r="D213" s="30" t="str">
        <f t="shared" ca="1" si="7"/>
        <v>velmi dobře</v>
      </c>
    </row>
    <row r="214" spans="1:4" ht="16" x14ac:dyDescent="0.2">
      <c r="A214" s="39" t="s">
        <v>391</v>
      </c>
      <c r="B214" s="39" t="s">
        <v>305</v>
      </c>
      <c r="C214" s="40">
        <f t="shared" ca="1" si="6"/>
        <v>1</v>
      </c>
      <c r="D214" s="30" t="str">
        <f t="shared" ca="1" si="7"/>
        <v>výborně</v>
      </c>
    </row>
    <row r="215" spans="1:4" ht="16" x14ac:dyDescent="0.2">
      <c r="A215" s="39" t="s">
        <v>392</v>
      </c>
      <c r="B215" s="39" t="s">
        <v>393</v>
      </c>
      <c r="C215" s="40">
        <f t="shared" ca="1" si="6"/>
        <v>2</v>
      </c>
      <c r="D215" s="30" t="str">
        <f t="shared" ca="1" si="7"/>
        <v>velmi dobře</v>
      </c>
    </row>
    <row r="216" spans="1:4" ht="16" x14ac:dyDescent="0.2">
      <c r="A216" s="39" t="s">
        <v>394</v>
      </c>
      <c r="B216" s="39" t="s">
        <v>395</v>
      </c>
      <c r="C216" s="40">
        <f t="shared" ca="1" si="6"/>
        <v>3</v>
      </c>
      <c r="D216" s="30" t="str">
        <f t="shared" ca="1" si="7"/>
        <v>dobře</v>
      </c>
    </row>
    <row r="217" spans="1:4" ht="16" x14ac:dyDescent="0.2">
      <c r="A217" s="39" t="s">
        <v>396</v>
      </c>
      <c r="B217" s="39" t="s">
        <v>155</v>
      </c>
      <c r="C217" s="40">
        <f t="shared" ca="1" si="6"/>
        <v>3</v>
      </c>
      <c r="D217" s="30" t="str">
        <f t="shared" ca="1" si="7"/>
        <v>dobře</v>
      </c>
    </row>
    <row r="218" spans="1:4" ht="16" x14ac:dyDescent="0.2">
      <c r="A218" s="39" t="s">
        <v>397</v>
      </c>
      <c r="B218" s="39" t="s">
        <v>166</v>
      </c>
      <c r="C218" s="40">
        <f t="shared" ca="1" si="6"/>
        <v>1</v>
      </c>
      <c r="D218" s="30" t="str">
        <f t="shared" ca="1" si="7"/>
        <v>výborně</v>
      </c>
    </row>
    <row r="219" spans="1:4" ht="16" x14ac:dyDescent="0.2">
      <c r="A219" s="39" t="s">
        <v>398</v>
      </c>
      <c r="B219" s="39" t="s">
        <v>132</v>
      </c>
      <c r="C219" s="40">
        <f t="shared" ca="1" si="6"/>
        <v>2</v>
      </c>
      <c r="D219" s="30" t="str">
        <f t="shared" ca="1" si="7"/>
        <v>velmi dobře</v>
      </c>
    </row>
    <row r="220" spans="1:4" ht="16" x14ac:dyDescent="0.2">
      <c r="A220" s="39" t="s">
        <v>399</v>
      </c>
      <c r="B220" s="39" t="s">
        <v>400</v>
      </c>
      <c r="C220" s="40">
        <f t="shared" ca="1" si="6"/>
        <v>3</v>
      </c>
      <c r="D220" s="30" t="str">
        <f t="shared" ca="1" si="7"/>
        <v>dobře</v>
      </c>
    </row>
    <row r="221" spans="1:4" ht="16" x14ac:dyDescent="0.2">
      <c r="A221" s="39" t="s">
        <v>401</v>
      </c>
      <c r="B221" s="39" t="s">
        <v>155</v>
      </c>
      <c r="C221" s="40">
        <f t="shared" ca="1" si="6"/>
        <v>3</v>
      </c>
      <c r="D221" s="30" t="str">
        <f t="shared" ca="1" si="7"/>
        <v>dobře</v>
      </c>
    </row>
    <row r="222" spans="1:4" ht="16" x14ac:dyDescent="0.2">
      <c r="A222" s="39" t="s">
        <v>402</v>
      </c>
      <c r="B222" s="39" t="s">
        <v>129</v>
      </c>
      <c r="C222" s="40">
        <f t="shared" ca="1" si="6"/>
        <v>4</v>
      </c>
      <c r="D222" s="30" t="str">
        <f t="shared" ca="1" si="7"/>
        <v>nevyhovující</v>
      </c>
    </row>
    <row r="223" spans="1:4" ht="16" x14ac:dyDescent="0.2">
      <c r="A223" s="39" t="s">
        <v>403</v>
      </c>
      <c r="B223" s="39" t="s">
        <v>274</v>
      </c>
      <c r="C223" s="40">
        <f t="shared" ca="1" si="6"/>
        <v>4</v>
      </c>
      <c r="D223" s="30" t="str">
        <f t="shared" ca="1" si="7"/>
        <v>nevyhovující</v>
      </c>
    </row>
    <row r="224" spans="1:4" ht="16" x14ac:dyDescent="0.2">
      <c r="A224" s="39" t="s">
        <v>403</v>
      </c>
      <c r="B224" s="39" t="s">
        <v>193</v>
      </c>
      <c r="C224" s="40">
        <f t="shared" ca="1" si="6"/>
        <v>1</v>
      </c>
      <c r="D224" s="30" t="str">
        <f t="shared" ca="1" si="7"/>
        <v>výborně</v>
      </c>
    </row>
    <row r="225" spans="1:4" ht="16" x14ac:dyDescent="0.2">
      <c r="A225" s="39" t="s">
        <v>404</v>
      </c>
      <c r="B225" s="39" t="s">
        <v>2</v>
      </c>
      <c r="C225" s="40">
        <f t="shared" ca="1" si="6"/>
        <v>1</v>
      </c>
      <c r="D225" s="30" t="str">
        <f t="shared" ca="1" si="7"/>
        <v>výborně</v>
      </c>
    </row>
    <row r="226" spans="1:4" ht="16" x14ac:dyDescent="0.2">
      <c r="A226" s="39" t="s">
        <v>405</v>
      </c>
      <c r="B226" s="39" t="s">
        <v>182</v>
      </c>
      <c r="C226" s="40">
        <f t="shared" ca="1" si="6"/>
        <v>3</v>
      </c>
      <c r="D226" s="30" t="str">
        <f t="shared" ca="1" si="7"/>
        <v>dobře</v>
      </c>
    </row>
    <row r="227" spans="1:4" ht="16" x14ac:dyDescent="0.2">
      <c r="A227" s="39" t="s">
        <v>406</v>
      </c>
      <c r="B227" s="39" t="s">
        <v>407</v>
      </c>
      <c r="C227" s="40">
        <f t="shared" ca="1" si="6"/>
        <v>4</v>
      </c>
      <c r="D227" s="30" t="str">
        <f t="shared" ca="1" si="7"/>
        <v>nevyhovující</v>
      </c>
    </row>
    <row r="228" spans="1:4" ht="16" x14ac:dyDescent="0.2">
      <c r="A228" s="39" t="s">
        <v>408</v>
      </c>
      <c r="B228" s="39" t="s">
        <v>168</v>
      </c>
      <c r="C228" s="40">
        <f t="shared" ca="1" si="6"/>
        <v>3</v>
      </c>
      <c r="D228" s="30" t="str">
        <f t="shared" ca="1" si="7"/>
        <v>dobře</v>
      </c>
    </row>
    <row r="229" spans="1:4" ht="16" x14ac:dyDescent="0.2">
      <c r="A229" s="39" t="s">
        <v>409</v>
      </c>
      <c r="B229" s="39" t="s">
        <v>155</v>
      </c>
      <c r="C229" s="40">
        <f t="shared" ca="1" si="6"/>
        <v>2</v>
      </c>
      <c r="D229" s="30" t="str">
        <f t="shared" ca="1" si="7"/>
        <v>velmi dobře</v>
      </c>
    </row>
    <row r="230" spans="1:4" ht="16" x14ac:dyDescent="0.2">
      <c r="A230" s="39" t="s">
        <v>410</v>
      </c>
      <c r="B230" s="39" t="s">
        <v>155</v>
      </c>
      <c r="C230" s="40">
        <f t="shared" ca="1" si="6"/>
        <v>3</v>
      </c>
      <c r="D230" s="30" t="str">
        <f t="shared" ca="1" si="7"/>
        <v>dobře</v>
      </c>
    </row>
    <row r="231" spans="1:4" ht="16" x14ac:dyDescent="0.2">
      <c r="A231" s="39" t="s">
        <v>411</v>
      </c>
      <c r="B231" s="39" t="s">
        <v>182</v>
      </c>
      <c r="C231" s="40">
        <f t="shared" ca="1" si="6"/>
        <v>1</v>
      </c>
      <c r="D231" s="30" t="str">
        <f t="shared" ca="1" si="7"/>
        <v>výborně</v>
      </c>
    </row>
    <row r="232" spans="1:4" ht="16" x14ac:dyDescent="0.2">
      <c r="A232" s="39" t="s">
        <v>412</v>
      </c>
      <c r="B232" s="39" t="s">
        <v>212</v>
      </c>
      <c r="C232" s="40">
        <f t="shared" ca="1" si="6"/>
        <v>3</v>
      </c>
      <c r="D232" s="30" t="str">
        <f t="shared" ca="1" si="7"/>
        <v>dobře</v>
      </c>
    </row>
    <row r="233" spans="1:4" ht="16" x14ac:dyDescent="0.2">
      <c r="A233" s="39" t="s">
        <v>413</v>
      </c>
      <c r="B233" s="39" t="s">
        <v>132</v>
      </c>
      <c r="C233" s="40">
        <f t="shared" ca="1" si="6"/>
        <v>1</v>
      </c>
      <c r="D233" s="30" t="str">
        <f t="shared" ca="1" si="7"/>
        <v>výborně</v>
      </c>
    </row>
    <row r="234" spans="1:4" ht="16" x14ac:dyDescent="0.2">
      <c r="A234" s="39" t="s">
        <v>414</v>
      </c>
      <c r="B234" s="39" t="s">
        <v>196</v>
      </c>
      <c r="C234" s="40">
        <f t="shared" ca="1" si="6"/>
        <v>3</v>
      </c>
      <c r="D234" s="30" t="str">
        <f t="shared" ca="1" si="7"/>
        <v>dobře</v>
      </c>
    </row>
    <row r="235" spans="1:4" ht="16" x14ac:dyDescent="0.2">
      <c r="A235" s="39" t="s">
        <v>415</v>
      </c>
      <c r="B235" s="39" t="s">
        <v>143</v>
      </c>
      <c r="C235" s="40">
        <f t="shared" ca="1" si="6"/>
        <v>3</v>
      </c>
      <c r="D235" s="30" t="str">
        <f t="shared" ca="1" si="7"/>
        <v>dobře</v>
      </c>
    </row>
    <row r="236" spans="1:4" ht="16" x14ac:dyDescent="0.2">
      <c r="A236" s="39" t="s">
        <v>416</v>
      </c>
      <c r="B236" s="39" t="s">
        <v>199</v>
      </c>
      <c r="C236" s="40">
        <f t="shared" ca="1" si="6"/>
        <v>1</v>
      </c>
      <c r="D236" s="30" t="str">
        <f t="shared" ca="1" si="7"/>
        <v>výborně</v>
      </c>
    </row>
    <row r="237" spans="1:4" ht="16" x14ac:dyDescent="0.2">
      <c r="A237" s="39" t="s">
        <v>416</v>
      </c>
      <c r="B237" s="39" t="s">
        <v>134</v>
      </c>
      <c r="C237" s="40">
        <f t="shared" ca="1" si="6"/>
        <v>1</v>
      </c>
      <c r="D237" s="30" t="str">
        <f t="shared" ca="1" si="7"/>
        <v>výborně</v>
      </c>
    </row>
    <row r="238" spans="1:4" ht="16" x14ac:dyDescent="0.2">
      <c r="A238" s="39" t="s">
        <v>417</v>
      </c>
      <c r="B238" s="39" t="s">
        <v>120</v>
      </c>
      <c r="C238" s="40">
        <f t="shared" ca="1" si="6"/>
        <v>1</v>
      </c>
      <c r="D238" s="30" t="str">
        <f t="shared" ca="1" si="7"/>
        <v>výborně</v>
      </c>
    </row>
    <row r="239" spans="1:4" ht="16" x14ac:dyDescent="0.2">
      <c r="A239" s="39" t="s">
        <v>418</v>
      </c>
      <c r="B239" s="39" t="s">
        <v>158</v>
      </c>
      <c r="C239" s="40">
        <f t="shared" ca="1" si="6"/>
        <v>1</v>
      </c>
      <c r="D239" s="30" t="str">
        <f t="shared" ca="1" si="7"/>
        <v>výborně</v>
      </c>
    </row>
    <row r="240" spans="1:4" ht="16" x14ac:dyDescent="0.2">
      <c r="A240" s="39" t="s">
        <v>419</v>
      </c>
      <c r="B240" s="39" t="s">
        <v>238</v>
      </c>
      <c r="C240" s="40">
        <f t="shared" ca="1" si="6"/>
        <v>2</v>
      </c>
      <c r="D240" s="30" t="str">
        <f t="shared" ca="1" si="7"/>
        <v>velmi dobře</v>
      </c>
    </row>
    <row r="241" spans="1:4" ht="16" x14ac:dyDescent="0.2">
      <c r="A241" s="39" t="s">
        <v>420</v>
      </c>
      <c r="B241" s="39" t="s">
        <v>421</v>
      </c>
      <c r="C241" s="40">
        <f t="shared" ca="1" si="6"/>
        <v>4</v>
      </c>
      <c r="D241" s="30" t="str">
        <f t="shared" ca="1" si="7"/>
        <v>nevyhovující</v>
      </c>
    </row>
    <row r="242" spans="1:4" ht="16" x14ac:dyDescent="0.2">
      <c r="A242" s="39" t="s">
        <v>422</v>
      </c>
      <c r="B242" s="39" t="s">
        <v>132</v>
      </c>
      <c r="C242" s="40">
        <f t="shared" ca="1" si="6"/>
        <v>4</v>
      </c>
      <c r="D242" s="30" t="str">
        <f t="shared" ca="1" si="7"/>
        <v>nevyhovující</v>
      </c>
    </row>
    <row r="243" spans="1:4" ht="16" x14ac:dyDescent="0.2">
      <c r="A243" s="39" t="s">
        <v>423</v>
      </c>
      <c r="B243" s="39" t="s">
        <v>168</v>
      </c>
      <c r="C243" s="40">
        <f t="shared" ca="1" si="6"/>
        <v>1</v>
      </c>
      <c r="D243" s="30" t="str">
        <f t="shared" ca="1" si="7"/>
        <v>výborně</v>
      </c>
    </row>
    <row r="244" spans="1:4" ht="16" x14ac:dyDescent="0.2">
      <c r="A244" s="39" t="s">
        <v>423</v>
      </c>
      <c r="B244" s="39" t="s">
        <v>361</v>
      </c>
      <c r="C244" s="40">
        <f t="shared" ca="1" si="6"/>
        <v>1</v>
      </c>
      <c r="D244" s="30" t="str">
        <f t="shared" ca="1" si="7"/>
        <v>výborně</v>
      </c>
    </row>
    <row r="245" spans="1:4" ht="16" x14ac:dyDescent="0.2">
      <c r="A245" s="39" t="s">
        <v>424</v>
      </c>
      <c r="B245" s="39" t="s">
        <v>425</v>
      </c>
      <c r="C245" s="40">
        <f t="shared" ca="1" si="6"/>
        <v>1</v>
      </c>
      <c r="D245" s="30" t="str">
        <f t="shared" ca="1" si="7"/>
        <v>výborně</v>
      </c>
    </row>
    <row r="246" spans="1:4" ht="16" x14ac:dyDescent="0.2">
      <c r="A246" s="39" t="s">
        <v>426</v>
      </c>
      <c r="B246" s="39" t="s">
        <v>248</v>
      </c>
      <c r="C246" s="40">
        <f t="shared" ca="1" si="6"/>
        <v>1</v>
      </c>
      <c r="D246" s="30" t="str">
        <f t="shared" ca="1" si="7"/>
        <v>výborně</v>
      </c>
    </row>
    <row r="247" spans="1:4" ht="16" x14ac:dyDescent="0.2">
      <c r="A247" s="39" t="s">
        <v>427</v>
      </c>
      <c r="B247" s="39" t="s">
        <v>168</v>
      </c>
      <c r="C247" s="40">
        <f t="shared" ca="1" si="6"/>
        <v>2</v>
      </c>
      <c r="D247" s="30" t="str">
        <f t="shared" ca="1" si="7"/>
        <v>velmi dobře</v>
      </c>
    </row>
    <row r="248" spans="1:4" ht="16" x14ac:dyDescent="0.2">
      <c r="A248" s="39" t="s">
        <v>428</v>
      </c>
      <c r="B248" s="39" t="s">
        <v>161</v>
      </c>
      <c r="C248" s="40">
        <f t="shared" ca="1" si="6"/>
        <v>1</v>
      </c>
      <c r="D248" s="30" t="str">
        <f t="shared" ca="1" si="7"/>
        <v>výborně</v>
      </c>
    </row>
    <row r="249" spans="1:4" ht="16" x14ac:dyDescent="0.2">
      <c r="A249" s="39" t="s">
        <v>429</v>
      </c>
      <c r="B249" s="39" t="s">
        <v>393</v>
      </c>
      <c r="C249" s="40">
        <f t="shared" ca="1" si="6"/>
        <v>3</v>
      </c>
      <c r="D249" s="30" t="str">
        <f t="shared" ca="1" si="7"/>
        <v>dobře</v>
      </c>
    </row>
    <row r="250" spans="1:4" ht="16" x14ac:dyDescent="0.2">
      <c r="A250" s="39" t="s">
        <v>430</v>
      </c>
      <c r="B250" s="39" t="s">
        <v>287</v>
      </c>
      <c r="C250" s="40">
        <f t="shared" ca="1" si="6"/>
        <v>4</v>
      </c>
      <c r="D250" s="30" t="str">
        <f t="shared" ca="1" si="7"/>
        <v>nevyhovující</v>
      </c>
    </row>
    <row r="251" spans="1:4" ht="16" x14ac:dyDescent="0.2">
      <c r="A251" s="39" t="s">
        <v>431</v>
      </c>
      <c r="B251" s="39" t="s">
        <v>155</v>
      </c>
      <c r="C251" s="40">
        <f t="shared" ca="1" si="6"/>
        <v>3</v>
      </c>
      <c r="D251" s="30" t="str">
        <f t="shared" ca="1" si="7"/>
        <v>dobře</v>
      </c>
    </row>
    <row r="252" spans="1:4" ht="16" x14ac:dyDescent="0.2">
      <c r="A252" s="39" t="s">
        <v>140</v>
      </c>
      <c r="B252" s="39" t="s">
        <v>432</v>
      </c>
      <c r="C252" s="40">
        <f t="shared" ca="1" si="6"/>
        <v>3</v>
      </c>
      <c r="D252" s="30" t="str">
        <f t="shared" ca="1" si="7"/>
        <v>dobře</v>
      </c>
    </row>
    <row r="253" spans="1:4" ht="16" x14ac:dyDescent="0.2">
      <c r="A253" s="39" t="s">
        <v>433</v>
      </c>
      <c r="B253" s="39" t="s">
        <v>421</v>
      </c>
      <c r="C253" s="40">
        <f t="shared" ca="1" si="6"/>
        <v>3</v>
      </c>
      <c r="D253" s="30" t="str">
        <f t="shared" ca="1" si="7"/>
        <v>dobře</v>
      </c>
    </row>
    <row r="254" spans="1:4" ht="16" x14ac:dyDescent="0.2">
      <c r="A254" s="39" t="s">
        <v>434</v>
      </c>
      <c r="B254" s="39" t="s">
        <v>182</v>
      </c>
      <c r="C254" s="40">
        <f t="shared" ca="1" si="6"/>
        <v>4</v>
      </c>
      <c r="D254" s="30" t="str">
        <f t="shared" ca="1" si="7"/>
        <v>nevyhovující</v>
      </c>
    </row>
    <row r="255" spans="1:4" ht="16" x14ac:dyDescent="0.2">
      <c r="A255" s="39" t="s">
        <v>435</v>
      </c>
      <c r="B255" s="39" t="s">
        <v>161</v>
      </c>
      <c r="C255" s="40">
        <f t="shared" ca="1" si="6"/>
        <v>2</v>
      </c>
      <c r="D255" s="30" t="str">
        <f t="shared" ca="1" si="7"/>
        <v>velmi dobře</v>
      </c>
    </row>
    <row r="256" spans="1:4" ht="16" x14ac:dyDescent="0.2">
      <c r="A256" s="39" t="s">
        <v>436</v>
      </c>
      <c r="B256" s="39" t="s">
        <v>437</v>
      </c>
      <c r="C256" s="40">
        <f t="shared" ca="1" si="6"/>
        <v>4</v>
      </c>
      <c r="D256" s="30" t="str">
        <f t="shared" ca="1" si="7"/>
        <v>nevyhovující</v>
      </c>
    </row>
    <row r="257" spans="1:4" ht="16" x14ac:dyDescent="0.2">
      <c r="A257" s="39" t="s">
        <v>438</v>
      </c>
      <c r="B257" s="39" t="s">
        <v>182</v>
      </c>
      <c r="C257" s="40">
        <f t="shared" ca="1" si="6"/>
        <v>1</v>
      </c>
      <c r="D257" s="30" t="str">
        <f t="shared" ca="1" si="7"/>
        <v>výborně</v>
      </c>
    </row>
    <row r="258" spans="1:4" ht="16" x14ac:dyDescent="0.2">
      <c r="A258" s="39" t="s">
        <v>439</v>
      </c>
      <c r="B258" s="39" t="s">
        <v>440</v>
      </c>
      <c r="C258" s="40">
        <f t="shared" ref="C258:C321" ca="1" si="8">CEILING(RAND()*4,1)</f>
        <v>3</v>
      </c>
      <c r="D258" s="30" t="str">
        <f t="shared" ref="D258:D321" ca="1" si="9">IF(C258=1,$H$3,IF(C258=2,$H$4,IF(C258=3,$H$5,IF(C258=4,$H$6))))</f>
        <v>dobře</v>
      </c>
    </row>
    <row r="259" spans="1:4" ht="16" x14ac:dyDescent="0.2">
      <c r="A259" s="39" t="s">
        <v>441</v>
      </c>
      <c r="B259" s="39" t="s">
        <v>132</v>
      </c>
      <c r="C259" s="40">
        <f t="shared" ca="1" si="8"/>
        <v>4</v>
      </c>
      <c r="D259" s="30" t="str">
        <f t="shared" ca="1" si="9"/>
        <v>nevyhovující</v>
      </c>
    </row>
    <row r="260" spans="1:4" ht="16" x14ac:dyDescent="0.2">
      <c r="A260" s="39" t="s">
        <v>442</v>
      </c>
      <c r="B260" s="39" t="s">
        <v>2</v>
      </c>
      <c r="C260" s="40">
        <f t="shared" ca="1" si="8"/>
        <v>1</v>
      </c>
      <c r="D260" s="30" t="str">
        <f t="shared" ca="1" si="9"/>
        <v>výborně</v>
      </c>
    </row>
    <row r="261" spans="1:4" ht="16" x14ac:dyDescent="0.2">
      <c r="A261" s="39" t="s">
        <v>443</v>
      </c>
      <c r="B261" s="39" t="s">
        <v>444</v>
      </c>
      <c r="C261" s="40">
        <f t="shared" ca="1" si="8"/>
        <v>2</v>
      </c>
      <c r="D261" s="30" t="str">
        <f t="shared" ca="1" si="9"/>
        <v>velmi dobře</v>
      </c>
    </row>
    <row r="262" spans="1:4" ht="16" x14ac:dyDescent="0.2">
      <c r="A262" s="39" t="s">
        <v>445</v>
      </c>
      <c r="B262" s="39" t="s">
        <v>2</v>
      </c>
      <c r="C262" s="40">
        <f t="shared" ca="1" si="8"/>
        <v>1</v>
      </c>
      <c r="D262" s="30" t="str">
        <f t="shared" ca="1" si="9"/>
        <v>výborně</v>
      </c>
    </row>
    <row r="263" spans="1:4" ht="16" x14ac:dyDescent="0.2">
      <c r="A263" s="39" t="s">
        <v>446</v>
      </c>
      <c r="B263" s="39" t="s">
        <v>155</v>
      </c>
      <c r="C263" s="40">
        <f t="shared" ca="1" si="8"/>
        <v>1</v>
      </c>
      <c r="D263" s="30" t="str">
        <f t="shared" ca="1" si="9"/>
        <v>výborně</v>
      </c>
    </row>
    <row r="264" spans="1:4" ht="16" x14ac:dyDescent="0.2">
      <c r="A264" s="39" t="s">
        <v>447</v>
      </c>
      <c r="B264" s="39" t="s">
        <v>155</v>
      </c>
      <c r="C264" s="40">
        <f t="shared" ca="1" si="8"/>
        <v>4</v>
      </c>
      <c r="D264" s="30" t="str">
        <f t="shared" ca="1" si="9"/>
        <v>nevyhovující</v>
      </c>
    </row>
    <row r="265" spans="1:4" ht="16" x14ac:dyDescent="0.2">
      <c r="A265" s="39" t="s">
        <v>448</v>
      </c>
      <c r="B265" s="39" t="s">
        <v>291</v>
      </c>
      <c r="C265" s="40">
        <f t="shared" ca="1" si="8"/>
        <v>1</v>
      </c>
      <c r="D265" s="30" t="str">
        <f t="shared" ca="1" si="9"/>
        <v>výborně</v>
      </c>
    </row>
    <row r="266" spans="1:4" ht="16" x14ac:dyDescent="0.2">
      <c r="A266" s="39" t="s">
        <v>449</v>
      </c>
      <c r="B266" s="39" t="s">
        <v>143</v>
      </c>
      <c r="C266" s="40">
        <f t="shared" ca="1" si="8"/>
        <v>1</v>
      </c>
      <c r="D266" s="30" t="str">
        <f t="shared" ca="1" si="9"/>
        <v>výborně</v>
      </c>
    </row>
    <row r="267" spans="1:4" ht="16" x14ac:dyDescent="0.2">
      <c r="A267" s="39" t="s">
        <v>450</v>
      </c>
      <c r="B267" s="39" t="s">
        <v>245</v>
      </c>
      <c r="C267" s="40">
        <f t="shared" ca="1" si="8"/>
        <v>3</v>
      </c>
      <c r="D267" s="30" t="str">
        <f t="shared" ca="1" si="9"/>
        <v>dobře</v>
      </c>
    </row>
    <row r="268" spans="1:4" ht="16" x14ac:dyDescent="0.2">
      <c r="A268" s="39" t="s">
        <v>451</v>
      </c>
      <c r="B268" s="39" t="s">
        <v>168</v>
      </c>
      <c r="C268" s="40">
        <f t="shared" ca="1" si="8"/>
        <v>2</v>
      </c>
      <c r="D268" s="30" t="str">
        <f t="shared" ca="1" si="9"/>
        <v>velmi dobře</v>
      </c>
    </row>
    <row r="269" spans="1:4" ht="16" x14ac:dyDescent="0.2">
      <c r="A269" s="39" t="s">
        <v>452</v>
      </c>
      <c r="B269" s="39" t="s">
        <v>134</v>
      </c>
      <c r="C269" s="40">
        <f t="shared" ca="1" si="8"/>
        <v>2</v>
      </c>
      <c r="D269" s="30" t="str">
        <f t="shared" ca="1" si="9"/>
        <v>velmi dobře</v>
      </c>
    </row>
    <row r="270" spans="1:4" ht="16" x14ac:dyDescent="0.2">
      <c r="A270" s="39" t="s">
        <v>453</v>
      </c>
      <c r="B270" s="39" t="s">
        <v>207</v>
      </c>
      <c r="C270" s="40">
        <f t="shared" ca="1" si="8"/>
        <v>1</v>
      </c>
      <c r="D270" s="30" t="str">
        <f t="shared" ca="1" si="9"/>
        <v>výborně</v>
      </c>
    </row>
    <row r="271" spans="1:4" ht="16" x14ac:dyDescent="0.2">
      <c r="A271" s="39" t="s">
        <v>454</v>
      </c>
      <c r="B271" s="39" t="s">
        <v>361</v>
      </c>
      <c r="C271" s="40">
        <f t="shared" ca="1" si="8"/>
        <v>2</v>
      </c>
      <c r="D271" s="30" t="str">
        <f t="shared" ca="1" si="9"/>
        <v>velmi dobře</v>
      </c>
    </row>
    <row r="272" spans="1:4" ht="16" x14ac:dyDescent="0.2">
      <c r="A272" s="39" t="s">
        <v>455</v>
      </c>
      <c r="B272" s="39" t="s">
        <v>126</v>
      </c>
      <c r="C272" s="40">
        <f t="shared" ca="1" si="8"/>
        <v>3</v>
      </c>
      <c r="D272" s="30" t="str">
        <f t="shared" ca="1" si="9"/>
        <v>dobře</v>
      </c>
    </row>
    <row r="273" spans="1:4" ht="16" x14ac:dyDescent="0.2">
      <c r="A273" s="39" t="s">
        <v>455</v>
      </c>
      <c r="B273" s="39" t="s">
        <v>361</v>
      </c>
      <c r="C273" s="40">
        <f t="shared" ca="1" si="8"/>
        <v>4</v>
      </c>
      <c r="D273" s="30" t="str">
        <f t="shared" ca="1" si="9"/>
        <v>nevyhovující</v>
      </c>
    </row>
    <row r="274" spans="1:4" ht="16" x14ac:dyDescent="0.2">
      <c r="A274" s="39" t="s">
        <v>456</v>
      </c>
      <c r="B274" s="39" t="s">
        <v>120</v>
      </c>
      <c r="C274" s="40">
        <f t="shared" ca="1" si="8"/>
        <v>3</v>
      </c>
      <c r="D274" s="30" t="str">
        <f t="shared" ca="1" si="9"/>
        <v>dobře</v>
      </c>
    </row>
    <row r="275" spans="1:4" ht="16" x14ac:dyDescent="0.2">
      <c r="A275" s="39" t="s">
        <v>457</v>
      </c>
      <c r="B275" s="39" t="s">
        <v>155</v>
      </c>
      <c r="C275" s="40">
        <f t="shared" ca="1" si="8"/>
        <v>2</v>
      </c>
      <c r="D275" s="30" t="str">
        <f t="shared" ca="1" si="9"/>
        <v>velmi dobře</v>
      </c>
    </row>
    <row r="276" spans="1:4" ht="16" x14ac:dyDescent="0.2">
      <c r="A276" s="39" t="s">
        <v>458</v>
      </c>
      <c r="B276" s="39" t="s">
        <v>149</v>
      </c>
      <c r="C276" s="40">
        <f t="shared" ca="1" si="8"/>
        <v>2</v>
      </c>
      <c r="D276" s="30" t="str">
        <f t="shared" ca="1" si="9"/>
        <v>velmi dobře</v>
      </c>
    </row>
    <row r="277" spans="1:4" ht="16" x14ac:dyDescent="0.2">
      <c r="A277" s="39" t="s">
        <v>459</v>
      </c>
      <c r="B277" s="39" t="s">
        <v>278</v>
      </c>
      <c r="C277" s="40">
        <f t="shared" ca="1" si="8"/>
        <v>1</v>
      </c>
      <c r="D277" s="30" t="str">
        <f t="shared" ca="1" si="9"/>
        <v>výborně</v>
      </c>
    </row>
    <row r="278" spans="1:4" ht="16" x14ac:dyDescent="0.2">
      <c r="A278" s="39" t="s">
        <v>460</v>
      </c>
      <c r="B278" s="39" t="s">
        <v>155</v>
      </c>
      <c r="C278" s="40">
        <f t="shared" ca="1" si="8"/>
        <v>3</v>
      </c>
      <c r="D278" s="30" t="str">
        <f t="shared" ca="1" si="9"/>
        <v>dobře</v>
      </c>
    </row>
    <row r="279" spans="1:4" ht="16" x14ac:dyDescent="0.2">
      <c r="A279" s="39" t="s">
        <v>461</v>
      </c>
      <c r="B279" s="39" t="s">
        <v>232</v>
      </c>
      <c r="C279" s="40">
        <f t="shared" ca="1" si="8"/>
        <v>2</v>
      </c>
      <c r="D279" s="30" t="str">
        <f t="shared" ca="1" si="9"/>
        <v>velmi dobře</v>
      </c>
    </row>
    <row r="280" spans="1:4" ht="16" x14ac:dyDescent="0.2">
      <c r="A280" s="39" t="s">
        <v>462</v>
      </c>
      <c r="B280" s="39" t="s">
        <v>386</v>
      </c>
      <c r="C280" s="40">
        <f t="shared" ca="1" si="8"/>
        <v>1</v>
      </c>
      <c r="D280" s="30" t="str">
        <f t="shared" ca="1" si="9"/>
        <v>výborně</v>
      </c>
    </row>
    <row r="281" spans="1:4" ht="16" x14ac:dyDescent="0.2">
      <c r="A281" s="39" t="s">
        <v>463</v>
      </c>
      <c r="B281" s="39" t="s">
        <v>145</v>
      </c>
      <c r="C281" s="40">
        <f t="shared" ca="1" si="8"/>
        <v>3</v>
      </c>
      <c r="D281" s="30" t="str">
        <f t="shared" ca="1" si="9"/>
        <v>dobře</v>
      </c>
    </row>
    <row r="282" spans="1:4" ht="16" x14ac:dyDescent="0.2">
      <c r="A282" s="39" t="s">
        <v>464</v>
      </c>
      <c r="B282" s="39" t="s">
        <v>199</v>
      </c>
      <c r="C282" s="40">
        <f t="shared" ca="1" si="8"/>
        <v>3</v>
      </c>
      <c r="D282" s="30" t="str">
        <f t="shared" ca="1" si="9"/>
        <v>dobře</v>
      </c>
    </row>
    <row r="283" spans="1:4" ht="16" x14ac:dyDescent="0.2">
      <c r="A283" s="39" t="s">
        <v>465</v>
      </c>
      <c r="B283" s="39" t="s">
        <v>284</v>
      </c>
      <c r="C283" s="40">
        <f t="shared" ca="1" si="8"/>
        <v>2</v>
      </c>
      <c r="D283" s="30" t="str">
        <f t="shared" ca="1" si="9"/>
        <v>velmi dobře</v>
      </c>
    </row>
    <row r="284" spans="1:4" ht="16" x14ac:dyDescent="0.2">
      <c r="A284" s="39" t="s">
        <v>466</v>
      </c>
      <c r="B284" s="39" t="s">
        <v>168</v>
      </c>
      <c r="C284" s="40">
        <f t="shared" ca="1" si="8"/>
        <v>2</v>
      </c>
      <c r="D284" s="30" t="str">
        <f t="shared" ca="1" si="9"/>
        <v>velmi dobře</v>
      </c>
    </row>
    <row r="285" spans="1:4" ht="16" x14ac:dyDescent="0.2">
      <c r="A285" s="39" t="s">
        <v>467</v>
      </c>
      <c r="B285" s="39" t="s">
        <v>252</v>
      </c>
      <c r="C285" s="40">
        <f t="shared" ca="1" si="8"/>
        <v>4</v>
      </c>
      <c r="D285" s="30" t="str">
        <f t="shared" ca="1" si="9"/>
        <v>nevyhovující</v>
      </c>
    </row>
    <row r="286" spans="1:4" ht="16" x14ac:dyDescent="0.2">
      <c r="A286" s="39" t="s">
        <v>468</v>
      </c>
      <c r="B286" s="39" t="s">
        <v>469</v>
      </c>
      <c r="C286" s="40">
        <f t="shared" ca="1" si="8"/>
        <v>1</v>
      </c>
      <c r="D286" s="30" t="str">
        <f t="shared" ca="1" si="9"/>
        <v>výborně</v>
      </c>
    </row>
    <row r="287" spans="1:4" ht="16" x14ac:dyDescent="0.2">
      <c r="A287" s="39" t="s">
        <v>470</v>
      </c>
      <c r="B287" s="39" t="s">
        <v>471</v>
      </c>
      <c r="C287" s="40">
        <f t="shared" ca="1" si="8"/>
        <v>3</v>
      </c>
      <c r="D287" s="30" t="str">
        <f t="shared" ca="1" si="9"/>
        <v>dobře</v>
      </c>
    </row>
    <row r="288" spans="1:4" ht="16" x14ac:dyDescent="0.2">
      <c r="A288" s="39" t="s">
        <v>472</v>
      </c>
      <c r="B288" s="39" t="s">
        <v>140</v>
      </c>
      <c r="C288" s="40">
        <f t="shared" ca="1" si="8"/>
        <v>2</v>
      </c>
      <c r="D288" s="30" t="str">
        <f t="shared" ca="1" si="9"/>
        <v>velmi dobře</v>
      </c>
    </row>
    <row r="289" spans="1:4" ht="16" x14ac:dyDescent="0.2">
      <c r="A289" s="39" t="s">
        <v>473</v>
      </c>
      <c r="B289" s="39" t="s">
        <v>158</v>
      </c>
      <c r="C289" s="40">
        <f t="shared" ca="1" si="8"/>
        <v>4</v>
      </c>
      <c r="D289" s="30" t="str">
        <f t="shared" ca="1" si="9"/>
        <v>nevyhovující</v>
      </c>
    </row>
    <row r="290" spans="1:4" ht="16" x14ac:dyDescent="0.2">
      <c r="A290" s="39" t="s">
        <v>474</v>
      </c>
      <c r="B290" s="39" t="s">
        <v>282</v>
      </c>
      <c r="C290" s="40">
        <f t="shared" ca="1" si="8"/>
        <v>2</v>
      </c>
      <c r="D290" s="30" t="str">
        <f t="shared" ca="1" si="9"/>
        <v>velmi dobře</v>
      </c>
    </row>
    <row r="291" spans="1:4" ht="16" x14ac:dyDescent="0.2">
      <c r="A291" s="39" t="s">
        <v>475</v>
      </c>
      <c r="B291" s="39" t="s">
        <v>301</v>
      </c>
      <c r="C291" s="40">
        <f t="shared" ca="1" si="8"/>
        <v>2</v>
      </c>
      <c r="D291" s="30" t="str">
        <f t="shared" ca="1" si="9"/>
        <v>velmi dobře</v>
      </c>
    </row>
    <row r="292" spans="1:4" ht="16" x14ac:dyDescent="0.2">
      <c r="A292" s="39" t="s">
        <v>476</v>
      </c>
      <c r="B292" s="39" t="s">
        <v>126</v>
      </c>
      <c r="C292" s="40">
        <f t="shared" ca="1" si="8"/>
        <v>3</v>
      </c>
      <c r="D292" s="30" t="str">
        <f t="shared" ca="1" si="9"/>
        <v>dobře</v>
      </c>
    </row>
    <row r="293" spans="1:4" ht="16" x14ac:dyDescent="0.2">
      <c r="A293" s="39" t="s">
        <v>477</v>
      </c>
      <c r="B293" s="39" t="s">
        <v>140</v>
      </c>
      <c r="C293" s="40">
        <f t="shared" ca="1" si="8"/>
        <v>1</v>
      </c>
      <c r="D293" s="30" t="str">
        <f t="shared" ca="1" si="9"/>
        <v>výborně</v>
      </c>
    </row>
    <row r="294" spans="1:4" ht="16" x14ac:dyDescent="0.2">
      <c r="A294" s="39" t="s">
        <v>478</v>
      </c>
      <c r="B294" s="39" t="s">
        <v>479</v>
      </c>
      <c r="C294" s="40">
        <f t="shared" ca="1" si="8"/>
        <v>2</v>
      </c>
      <c r="D294" s="30" t="str">
        <f t="shared" ca="1" si="9"/>
        <v>velmi dobře</v>
      </c>
    </row>
    <row r="295" spans="1:4" ht="16" x14ac:dyDescent="0.2">
      <c r="A295" s="39" t="s">
        <v>480</v>
      </c>
      <c r="B295" s="39" t="s">
        <v>138</v>
      </c>
      <c r="C295" s="40">
        <f t="shared" ca="1" si="8"/>
        <v>2</v>
      </c>
      <c r="D295" s="30" t="str">
        <f t="shared" ca="1" si="9"/>
        <v>velmi dobře</v>
      </c>
    </row>
    <row r="296" spans="1:4" ht="16" x14ac:dyDescent="0.2">
      <c r="A296" s="39" t="s">
        <v>481</v>
      </c>
      <c r="B296" s="39" t="s">
        <v>145</v>
      </c>
      <c r="C296" s="40">
        <f t="shared" ca="1" si="8"/>
        <v>4</v>
      </c>
      <c r="D296" s="30" t="str">
        <f t="shared" ca="1" si="9"/>
        <v>nevyhovující</v>
      </c>
    </row>
    <row r="297" spans="1:4" ht="16" x14ac:dyDescent="0.2">
      <c r="A297" s="39" t="s">
        <v>482</v>
      </c>
      <c r="B297" s="39" t="s">
        <v>168</v>
      </c>
      <c r="C297" s="40">
        <f t="shared" ca="1" si="8"/>
        <v>3</v>
      </c>
      <c r="D297" s="30" t="str">
        <f t="shared" ca="1" si="9"/>
        <v>dobře</v>
      </c>
    </row>
    <row r="298" spans="1:4" ht="16" x14ac:dyDescent="0.2">
      <c r="A298" s="39" t="s">
        <v>483</v>
      </c>
      <c r="B298" s="39" t="s">
        <v>284</v>
      </c>
      <c r="C298" s="40">
        <f t="shared" ca="1" si="8"/>
        <v>2</v>
      </c>
      <c r="D298" s="30" t="str">
        <f t="shared" ca="1" si="9"/>
        <v>velmi dobře</v>
      </c>
    </row>
    <row r="299" spans="1:4" ht="16" x14ac:dyDescent="0.2">
      <c r="A299" s="39" t="s">
        <v>483</v>
      </c>
      <c r="B299" s="39" t="s">
        <v>149</v>
      </c>
      <c r="C299" s="40">
        <f t="shared" ca="1" si="8"/>
        <v>4</v>
      </c>
      <c r="D299" s="30" t="str">
        <f t="shared" ca="1" si="9"/>
        <v>nevyhovující</v>
      </c>
    </row>
    <row r="300" spans="1:4" ht="16" x14ac:dyDescent="0.2">
      <c r="A300" s="39" t="s">
        <v>484</v>
      </c>
      <c r="B300" s="39" t="s">
        <v>174</v>
      </c>
      <c r="C300" s="40">
        <f t="shared" ca="1" si="8"/>
        <v>1</v>
      </c>
      <c r="D300" s="30" t="str">
        <f t="shared" ca="1" si="9"/>
        <v>výborně</v>
      </c>
    </row>
    <row r="301" spans="1:4" ht="16" x14ac:dyDescent="0.2">
      <c r="A301" s="39" t="s">
        <v>485</v>
      </c>
      <c r="B301" s="39" t="s">
        <v>287</v>
      </c>
      <c r="C301" s="40">
        <f t="shared" ca="1" si="8"/>
        <v>3</v>
      </c>
      <c r="D301" s="30" t="str">
        <f t="shared" ca="1" si="9"/>
        <v>dobře</v>
      </c>
    </row>
    <row r="302" spans="1:4" ht="16" x14ac:dyDescent="0.2">
      <c r="A302" s="39" t="s">
        <v>486</v>
      </c>
      <c r="B302" s="39" t="s">
        <v>199</v>
      </c>
      <c r="C302" s="40">
        <f t="shared" ca="1" si="8"/>
        <v>1</v>
      </c>
      <c r="D302" s="30" t="str">
        <f t="shared" ca="1" si="9"/>
        <v>výborně</v>
      </c>
    </row>
    <row r="303" spans="1:4" ht="16" x14ac:dyDescent="0.2">
      <c r="A303" s="39" t="s">
        <v>487</v>
      </c>
      <c r="B303" s="39" t="s">
        <v>15</v>
      </c>
      <c r="C303" s="40">
        <f t="shared" ca="1" si="8"/>
        <v>3</v>
      </c>
      <c r="D303" s="30" t="str">
        <f t="shared" ca="1" si="9"/>
        <v>dobře</v>
      </c>
    </row>
    <row r="304" spans="1:4" ht="16" x14ac:dyDescent="0.2">
      <c r="A304" s="39" t="s">
        <v>488</v>
      </c>
      <c r="B304" s="39" t="s">
        <v>149</v>
      </c>
      <c r="C304" s="40">
        <f t="shared" ca="1" si="8"/>
        <v>2</v>
      </c>
      <c r="D304" s="30" t="str">
        <f t="shared" ca="1" si="9"/>
        <v>velmi dobře</v>
      </c>
    </row>
    <row r="305" spans="1:4" ht="16" x14ac:dyDescent="0.2">
      <c r="A305" s="39" t="s">
        <v>489</v>
      </c>
      <c r="B305" s="39" t="s">
        <v>168</v>
      </c>
      <c r="C305" s="40">
        <f t="shared" ca="1" si="8"/>
        <v>3</v>
      </c>
      <c r="D305" s="30" t="str">
        <f t="shared" ca="1" si="9"/>
        <v>dobře</v>
      </c>
    </row>
    <row r="306" spans="1:4" ht="16" x14ac:dyDescent="0.2">
      <c r="A306" s="39" t="s">
        <v>490</v>
      </c>
      <c r="B306" s="39" t="s">
        <v>287</v>
      </c>
      <c r="C306" s="40">
        <f t="shared" ca="1" si="8"/>
        <v>3</v>
      </c>
      <c r="D306" s="30" t="str">
        <f t="shared" ca="1" si="9"/>
        <v>dobře</v>
      </c>
    </row>
    <row r="307" spans="1:4" ht="16" x14ac:dyDescent="0.2">
      <c r="A307" s="39" t="s">
        <v>491</v>
      </c>
      <c r="B307" s="39" t="s">
        <v>479</v>
      </c>
      <c r="C307" s="40">
        <f t="shared" ca="1" si="8"/>
        <v>3</v>
      </c>
      <c r="D307" s="30" t="str">
        <f t="shared" ca="1" si="9"/>
        <v>dobře</v>
      </c>
    </row>
    <row r="308" spans="1:4" ht="16" x14ac:dyDescent="0.2">
      <c r="A308" s="39" t="s">
        <v>492</v>
      </c>
      <c r="B308" s="39" t="s">
        <v>493</v>
      </c>
      <c r="C308" s="40">
        <f t="shared" ca="1" si="8"/>
        <v>4</v>
      </c>
      <c r="D308" s="30" t="str">
        <f t="shared" ca="1" si="9"/>
        <v>nevyhovující</v>
      </c>
    </row>
    <row r="309" spans="1:4" ht="16" x14ac:dyDescent="0.2">
      <c r="A309" s="39" t="s">
        <v>494</v>
      </c>
      <c r="B309" s="39" t="s">
        <v>400</v>
      </c>
      <c r="C309" s="40">
        <f t="shared" ca="1" si="8"/>
        <v>1</v>
      </c>
      <c r="D309" s="30" t="str">
        <f t="shared" ca="1" si="9"/>
        <v>výborně</v>
      </c>
    </row>
    <row r="310" spans="1:4" ht="16" x14ac:dyDescent="0.2">
      <c r="A310" s="39" t="s">
        <v>495</v>
      </c>
      <c r="B310" s="39" t="s">
        <v>2</v>
      </c>
      <c r="C310" s="40">
        <f t="shared" ca="1" si="8"/>
        <v>1</v>
      </c>
      <c r="D310" s="30" t="str">
        <f t="shared" ca="1" si="9"/>
        <v>výborně</v>
      </c>
    </row>
    <row r="311" spans="1:4" ht="16" x14ac:dyDescent="0.2">
      <c r="A311" s="39" t="s">
        <v>496</v>
      </c>
      <c r="B311" s="39" t="s">
        <v>407</v>
      </c>
      <c r="C311" s="40">
        <f t="shared" ca="1" si="8"/>
        <v>4</v>
      </c>
      <c r="D311" s="30" t="str">
        <f t="shared" ca="1" si="9"/>
        <v>nevyhovující</v>
      </c>
    </row>
    <row r="312" spans="1:4" ht="16" x14ac:dyDescent="0.2">
      <c r="A312" s="39" t="s">
        <v>497</v>
      </c>
      <c r="B312" s="39" t="s">
        <v>149</v>
      </c>
      <c r="C312" s="40">
        <f t="shared" ca="1" si="8"/>
        <v>3</v>
      </c>
      <c r="D312" s="30" t="str">
        <f t="shared" ca="1" si="9"/>
        <v>dobře</v>
      </c>
    </row>
    <row r="313" spans="1:4" ht="16" x14ac:dyDescent="0.2">
      <c r="A313" s="39" t="s">
        <v>498</v>
      </c>
      <c r="B313" s="39" t="s">
        <v>188</v>
      </c>
      <c r="C313" s="40">
        <f t="shared" ca="1" si="8"/>
        <v>2</v>
      </c>
      <c r="D313" s="30" t="str">
        <f t="shared" ca="1" si="9"/>
        <v>velmi dobře</v>
      </c>
    </row>
    <row r="314" spans="1:4" ht="16" x14ac:dyDescent="0.2">
      <c r="A314" s="39" t="s">
        <v>499</v>
      </c>
      <c r="B314" s="39" t="s">
        <v>147</v>
      </c>
      <c r="C314" s="40">
        <f t="shared" ca="1" si="8"/>
        <v>3</v>
      </c>
      <c r="D314" s="30" t="str">
        <f t="shared" ca="1" si="9"/>
        <v>dobře</v>
      </c>
    </row>
    <row r="315" spans="1:4" ht="16" x14ac:dyDescent="0.2">
      <c r="A315" s="39" t="s">
        <v>500</v>
      </c>
      <c r="B315" s="39" t="s">
        <v>501</v>
      </c>
      <c r="C315" s="40">
        <f t="shared" ca="1" si="8"/>
        <v>1</v>
      </c>
      <c r="D315" s="30" t="str">
        <f t="shared" ca="1" si="9"/>
        <v>výborně</v>
      </c>
    </row>
    <row r="316" spans="1:4" ht="16" x14ac:dyDescent="0.2">
      <c r="A316" s="39" t="s">
        <v>502</v>
      </c>
      <c r="B316" s="39" t="s">
        <v>170</v>
      </c>
      <c r="C316" s="40">
        <f t="shared" ca="1" si="8"/>
        <v>1</v>
      </c>
      <c r="D316" s="30" t="str">
        <f t="shared" ca="1" si="9"/>
        <v>výborně</v>
      </c>
    </row>
    <row r="317" spans="1:4" ht="16" x14ac:dyDescent="0.2">
      <c r="A317" s="39" t="s">
        <v>503</v>
      </c>
      <c r="B317" s="39" t="s">
        <v>132</v>
      </c>
      <c r="C317" s="40">
        <f t="shared" ca="1" si="8"/>
        <v>2</v>
      </c>
      <c r="D317" s="30" t="str">
        <f t="shared" ca="1" si="9"/>
        <v>velmi dobře</v>
      </c>
    </row>
    <row r="318" spans="1:4" ht="16" x14ac:dyDescent="0.2">
      <c r="A318" s="39" t="s">
        <v>504</v>
      </c>
      <c r="B318" s="39" t="s">
        <v>129</v>
      </c>
      <c r="C318" s="40">
        <f t="shared" ca="1" si="8"/>
        <v>3</v>
      </c>
      <c r="D318" s="30" t="str">
        <f t="shared" ca="1" si="9"/>
        <v>dobře</v>
      </c>
    </row>
    <row r="319" spans="1:4" ht="16" x14ac:dyDescent="0.2">
      <c r="A319" s="39" t="s">
        <v>505</v>
      </c>
      <c r="B319" s="39" t="s">
        <v>506</v>
      </c>
      <c r="C319" s="40">
        <f t="shared" ca="1" si="8"/>
        <v>3</v>
      </c>
      <c r="D319" s="30" t="str">
        <f t="shared" ca="1" si="9"/>
        <v>dobře</v>
      </c>
    </row>
    <row r="320" spans="1:4" ht="16" x14ac:dyDescent="0.2">
      <c r="A320" s="39" t="s">
        <v>507</v>
      </c>
      <c r="B320" s="39" t="s">
        <v>149</v>
      </c>
      <c r="C320" s="40">
        <f t="shared" ca="1" si="8"/>
        <v>2</v>
      </c>
      <c r="D320" s="30" t="str">
        <f t="shared" ca="1" si="9"/>
        <v>velmi dobře</v>
      </c>
    </row>
    <row r="321" spans="1:4" ht="16" x14ac:dyDescent="0.2">
      <c r="A321" s="39" t="s">
        <v>508</v>
      </c>
      <c r="B321" s="39" t="s">
        <v>509</v>
      </c>
      <c r="C321" s="40">
        <f t="shared" ca="1" si="8"/>
        <v>3</v>
      </c>
      <c r="D321" s="30" t="str">
        <f t="shared" ca="1" si="9"/>
        <v>dobře</v>
      </c>
    </row>
    <row r="322" spans="1:4" ht="16" x14ac:dyDescent="0.2">
      <c r="A322" s="39" t="s">
        <v>510</v>
      </c>
      <c r="B322" s="39" t="s">
        <v>174</v>
      </c>
      <c r="C322" s="40">
        <f t="shared" ref="C322:C385" ca="1" si="10">CEILING(RAND()*4,1)</f>
        <v>1</v>
      </c>
      <c r="D322" s="30" t="str">
        <f t="shared" ref="D322:D385" ca="1" si="11">IF(C322=1,$H$3,IF(C322=2,$H$4,IF(C322=3,$H$5,IF(C322=4,$H$6))))</f>
        <v>výborně</v>
      </c>
    </row>
    <row r="323" spans="1:4" ht="16" x14ac:dyDescent="0.2">
      <c r="A323" s="39" t="s">
        <v>511</v>
      </c>
      <c r="B323" s="39" t="s">
        <v>174</v>
      </c>
      <c r="C323" s="40">
        <f t="shared" ca="1" si="10"/>
        <v>1</v>
      </c>
      <c r="D323" s="30" t="str">
        <f t="shared" ca="1" si="11"/>
        <v>výborně</v>
      </c>
    </row>
    <row r="324" spans="1:4" ht="16" x14ac:dyDescent="0.2">
      <c r="A324" s="39" t="s">
        <v>512</v>
      </c>
      <c r="B324" s="39" t="s">
        <v>339</v>
      </c>
      <c r="C324" s="40">
        <f t="shared" ca="1" si="10"/>
        <v>3</v>
      </c>
      <c r="D324" s="30" t="str">
        <f t="shared" ca="1" si="11"/>
        <v>dobře</v>
      </c>
    </row>
    <row r="325" spans="1:4" ht="16" x14ac:dyDescent="0.2">
      <c r="A325" s="39" t="s">
        <v>513</v>
      </c>
      <c r="B325" s="39" t="s">
        <v>182</v>
      </c>
      <c r="C325" s="40">
        <f t="shared" ca="1" si="10"/>
        <v>4</v>
      </c>
      <c r="D325" s="30" t="str">
        <f t="shared" ca="1" si="11"/>
        <v>nevyhovující</v>
      </c>
    </row>
    <row r="326" spans="1:4" ht="16" x14ac:dyDescent="0.2">
      <c r="A326" s="39" t="s">
        <v>514</v>
      </c>
      <c r="B326" s="39" t="s">
        <v>179</v>
      </c>
      <c r="C326" s="40">
        <f t="shared" ca="1" si="10"/>
        <v>2</v>
      </c>
      <c r="D326" s="30" t="str">
        <f t="shared" ca="1" si="11"/>
        <v>velmi dobře</v>
      </c>
    </row>
    <row r="327" spans="1:4" ht="16" x14ac:dyDescent="0.2">
      <c r="A327" s="39" t="s">
        <v>515</v>
      </c>
      <c r="B327" s="39" t="s">
        <v>516</v>
      </c>
      <c r="C327" s="40">
        <f t="shared" ca="1" si="10"/>
        <v>3</v>
      </c>
      <c r="D327" s="30" t="str">
        <f t="shared" ca="1" si="11"/>
        <v>dobře</v>
      </c>
    </row>
    <row r="328" spans="1:4" ht="16" x14ac:dyDescent="0.2">
      <c r="A328" s="39" t="s">
        <v>517</v>
      </c>
      <c r="B328" s="39" t="s">
        <v>155</v>
      </c>
      <c r="C328" s="40">
        <f t="shared" ca="1" si="10"/>
        <v>4</v>
      </c>
      <c r="D328" s="30" t="str">
        <f t="shared" ca="1" si="11"/>
        <v>nevyhovující</v>
      </c>
    </row>
    <row r="329" spans="1:4" ht="16" x14ac:dyDescent="0.2">
      <c r="A329" s="39" t="s">
        <v>518</v>
      </c>
      <c r="B329" s="39" t="s">
        <v>232</v>
      </c>
      <c r="C329" s="40">
        <f t="shared" ca="1" si="10"/>
        <v>4</v>
      </c>
      <c r="D329" s="30" t="str">
        <f t="shared" ca="1" si="11"/>
        <v>nevyhovující</v>
      </c>
    </row>
    <row r="330" spans="1:4" ht="16" x14ac:dyDescent="0.2">
      <c r="A330" s="39" t="s">
        <v>519</v>
      </c>
      <c r="B330" s="39" t="s">
        <v>520</v>
      </c>
      <c r="C330" s="40">
        <f t="shared" ca="1" si="10"/>
        <v>4</v>
      </c>
      <c r="D330" s="30" t="str">
        <f t="shared" ca="1" si="11"/>
        <v>nevyhovující</v>
      </c>
    </row>
    <row r="331" spans="1:4" ht="16" x14ac:dyDescent="0.2">
      <c r="A331" s="39" t="s">
        <v>521</v>
      </c>
      <c r="B331" s="39" t="s">
        <v>522</v>
      </c>
      <c r="C331" s="40">
        <f t="shared" ca="1" si="10"/>
        <v>3</v>
      </c>
      <c r="D331" s="30" t="str">
        <f t="shared" ca="1" si="11"/>
        <v>dobře</v>
      </c>
    </row>
    <row r="332" spans="1:4" ht="16" x14ac:dyDescent="0.2">
      <c r="A332" s="39" t="s">
        <v>523</v>
      </c>
      <c r="B332" s="39" t="s">
        <v>332</v>
      </c>
      <c r="C332" s="40">
        <f t="shared" ca="1" si="10"/>
        <v>2</v>
      </c>
      <c r="D332" s="30" t="str">
        <f t="shared" ca="1" si="11"/>
        <v>velmi dobře</v>
      </c>
    </row>
    <row r="333" spans="1:4" ht="16" x14ac:dyDescent="0.2">
      <c r="A333" s="39" t="s">
        <v>524</v>
      </c>
      <c r="B333" s="39" t="s">
        <v>525</v>
      </c>
      <c r="C333" s="40">
        <f t="shared" ca="1" si="10"/>
        <v>2</v>
      </c>
      <c r="D333" s="30" t="str">
        <f t="shared" ca="1" si="11"/>
        <v>velmi dobře</v>
      </c>
    </row>
    <row r="334" spans="1:4" ht="16" x14ac:dyDescent="0.2">
      <c r="A334" s="39" t="s">
        <v>526</v>
      </c>
      <c r="B334" s="39" t="s">
        <v>170</v>
      </c>
      <c r="C334" s="40">
        <f t="shared" ca="1" si="10"/>
        <v>3</v>
      </c>
      <c r="D334" s="30" t="str">
        <f t="shared" ca="1" si="11"/>
        <v>dobře</v>
      </c>
    </row>
    <row r="335" spans="1:4" ht="16" x14ac:dyDescent="0.2">
      <c r="A335" s="39" t="s">
        <v>527</v>
      </c>
      <c r="B335" s="39" t="s">
        <v>154</v>
      </c>
      <c r="C335" s="40">
        <f t="shared" ca="1" si="10"/>
        <v>3</v>
      </c>
      <c r="D335" s="30" t="str">
        <f t="shared" ca="1" si="11"/>
        <v>dobře</v>
      </c>
    </row>
    <row r="336" spans="1:4" ht="16" x14ac:dyDescent="0.2">
      <c r="A336" s="39" t="s">
        <v>528</v>
      </c>
      <c r="B336" s="39" t="s">
        <v>152</v>
      </c>
      <c r="C336" s="40">
        <f t="shared" ca="1" si="10"/>
        <v>1</v>
      </c>
      <c r="D336" s="30" t="str">
        <f t="shared" ca="1" si="11"/>
        <v>výborně</v>
      </c>
    </row>
    <row r="337" spans="1:4" ht="16" x14ac:dyDescent="0.2">
      <c r="A337" s="39" t="s">
        <v>529</v>
      </c>
      <c r="B337" s="39" t="s">
        <v>212</v>
      </c>
      <c r="C337" s="40">
        <f t="shared" ca="1" si="10"/>
        <v>4</v>
      </c>
      <c r="D337" s="30" t="str">
        <f t="shared" ca="1" si="11"/>
        <v>nevyhovující</v>
      </c>
    </row>
    <row r="338" spans="1:4" ht="16" x14ac:dyDescent="0.2">
      <c r="A338" s="39" t="s">
        <v>530</v>
      </c>
      <c r="B338" s="39" t="s">
        <v>147</v>
      </c>
      <c r="C338" s="40">
        <f t="shared" ca="1" si="10"/>
        <v>4</v>
      </c>
      <c r="D338" s="30" t="str">
        <f t="shared" ca="1" si="11"/>
        <v>nevyhovující</v>
      </c>
    </row>
    <row r="339" spans="1:4" ht="16" x14ac:dyDescent="0.2">
      <c r="A339" s="39" t="s">
        <v>531</v>
      </c>
      <c r="B339" s="39" t="s">
        <v>126</v>
      </c>
      <c r="C339" s="40">
        <f t="shared" ca="1" si="10"/>
        <v>4</v>
      </c>
      <c r="D339" s="30" t="str">
        <f t="shared" ca="1" si="11"/>
        <v>nevyhovující</v>
      </c>
    </row>
    <row r="340" spans="1:4" ht="16" x14ac:dyDescent="0.2">
      <c r="A340" s="39" t="s">
        <v>532</v>
      </c>
      <c r="B340" s="39" t="s">
        <v>2</v>
      </c>
      <c r="C340" s="40">
        <f t="shared" ca="1" si="10"/>
        <v>4</v>
      </c>
      <c r="D340" s="30" t="str">
        <f t="shared" ca="1" si="11"/>
        <v>nevyhovující</v>
      </c>
    </row>
    <row r="341" spans="1:4" ht="16" x14ac:dyDescent="0.2">
      <c r="A341" s="39" t="s">
        <v>533</v>
      </c>
      <c r="B341" s="39" t="s">
        <v>168</v>
      </c>
      <c r="C341" s="40">
        <f t="shared" ca="1" si="10"/>
        <v>3</v>
      </c>
      <c r="D341" s="30" t="str">
        <f t="shared" ca="1" si="11"/>
        <v>dobře</v>
      </c>
    </row>
    <row r="342" spans="1:4" ht="16" x14ac:dyDescent="0.2">
      <c r="A342" s="39" t="s">
        <v>534</v>
      </c>
      <c r="B342" s="39" t="s">
        <v>364</v>
      </c>
      <c r="C342" s="40">
        <f t="shared" ca="1" si="10"/>
        <v>4</v>
      </c>
      <c r="D342" s="30" t="str">
        <f t="shared" ca="1" si="11"/>
        <v>nevyhovující</v>
      </c>
    </row>
    <row r="343" spans="1:4" ht="16" x14ac:dyDescent="0.2">
      <c r="A343" s="39" t="s">
        <v>535</v>
      </c>
      <c r="B343" s="39" t="s">
        <v>516</v>
      </c>
      <c r="C343" s="40">
        <f t="shared" ca="1" si="10"/>
        <v>3</v>
      </c>
      <c r="D343" s="30" t="str">
        <f t="shared" ca="1" si="11"/>
        <v>dobře</v>
      </c>
    </row>
    <row r="344" spans="1:4" ht="16" x14ac:dyDescent="0.2">
      <c r="A344" s="39" t="s">
        <v>536</v>
      </c>
      <c r="B344" s="39" t="s">
        <v>537</v>
      </c>
      <c r="C344" s="40">
        <f t="shared" ca="1" si="10"/>
        <v>2</v>
      </c>
      <c r="D344" s="30" t="str">
        <f t="shared" ca="1" si="11"/>
        <v>velmi dobře</v>
      </c>
    </row>
    <row r="345" spans="1:4" ht="16" x14ac:dyDescent="0.2">
      <c r="A345" s="39" t="s">
        <v>538</v>
      </c>
      <c r="B345" s="39" t="s">
        <v>539</v>
      </c>
      <c r="C345" s="40">
        <f t="shared" ca="1" si="10"/>
        <v>1</v>
      </c>
      <c r="D345" s="30" t="str">
        <f t="shared" ca="1" si="11"/>
        <v>výborně</v>
      </c>
    </row>
    <row r="346" spans="1:4" ht="16" x14ac:dyDescent="0.2">
      <c r="A346" s="39" t="s">
        <v>540</v>
      </c>
      <c r="B346" s="39" t="s">
        <v>152</v>
      </c>
      <c r="C346" s="40">
        <f t="shared" ca="1" si="10"/>
        <v>3</v>
      </c>
      <c r="D346" s="30" t="str">
        <f t="shared" ca="1" si="11"/>
        <v>dobře</v>
      </c>
    </row>
    <row r="347" spans="1:4" ht="16" x14ac:dyDescent="0.2">
      <c r="A347" s="39" t="s">
        <v>541</v>
      </c>
      <c r="B347" s="39" t="s">
        <v>262</v>
      </c>
      <c r="C347" s="40">
        <f t="shared" ca="1" si="10"/>
        <v>4</v>
      </c>
      <c r="D347" s="30" t="str">
        <f t="shared" ca="1" si="11"/>
        <v>nevyhovující</v>
      </c>
    </row>
    <row r="348" spans="1:4" ht="16" x14ac:dyDescent="0.2">
      <c r="A348" s="39" t="s">
        <v>542</v>
      </c>
      <c r="B348" s="39" t="s">
        <v>182</v>
      </c>
      <c r="C348" s="40">
        <f t="shared" ca="1" si="10"/>
        <v>1</v>
      </c>
      <c r="D348" s="30" t="str">
        <f t="shared" ca="1" si="11"/>
        <v>výborně</v>
      </c>
    </row>
    <row r="349" spans="1:4" ht="16" x14ac:dyDescent="0.2">
      <c r="A349" s="39" t="s">
        <v>543</v>
      </c>
      <c r="B349" s="39" t="s">
        <v>471</v>
      </c>
      <c r="C349" s="40">
        <f t="shared" ca="1" si="10"/>
        <v>1</v>
      </c>
      <c r="D349" s="30" t="str">
        <f t="shared" ca="1" si="11"/>
        <v>výborně</v>
      </c>
    </row>
    <row r="350" spans="1:4" ht="16" x14ac:dyDescent="0.2">
      <c r="A350" s="39" t="s">
        <v>544</v>
      </c>
      <c r="B350" s="39" t="s">
        <v>545</v>
      </c>
      <c r="C350" s="40">
        <f t="shared" ca="1" si="10"/>
        <v>2</v>
      </c>
      <c r="D350" s="30" t="str">
        <f t="shared" ca="1" si="11"/>
        <v>velmi dobře</v>
      </c>
    </row>
    <row r="351" spans="1:4" ht="16" x14ac:dyDescent="0.2">
      <c r="A351" s="39" t="s">
        <v>546</v>
      </c>
      <c r="B351" s="39" t="s">
        <v>207</v>
      </c>
      <c r="C351" s="40">
        <f t="shared" ca="1" si="10"/>
        <v>4</v>
      </c>
      <c r="D351" s="30" t="str">
        <f t="shared" ca="1" si="11"/>
        <v>nevyhovující</v>
      </c>
    </row>
    <row r="352" spans="1:4" ht="16" x14ac:dyDescent="0.2">
      <c r="A352" s="39" t="s">
        <v>547</v>
      </c>
      <c r="B352" s="39" t="s">
        <v>129</v>
      </c>
      <c r="C352" s="40">
        <f t="shared" ca="1" si="10"/>
        <v>3</v>
      </c>
      <c r="D352" s="30" t="str">
        <f t="shared" ca="1" si="11"/>
        <v>dobře</v>
      </c>
    </row>
    <row r="353" spans="1:4" ht="16" x14ac:dyDescent="0.2">
      <c r="A353" s="39" t="s">
        <v>548</v>
      </c>
      <c r="B353" s="39" t="s">
        <v>549</v>
      </c>
      <c r="C353" s="40">
        <f t="shared" ca="1" si="10"/>
        <v>3</v>
      </c>
      <c r="D353" s="30" t="str">
        <f t="shared" ca="1" si="11"/>
        <v>dobře</v>
      </c>
    </row>
    <row r="354" spans="1:4" ht="16" x14ac:dyDescent="0.2">
      <c r="A354" s="39" t="s">
        <v>550</v>
      </c>
      <c r="B354" s="39" t="s">
        <v>154</v>
      </c>
      <c r="C354" s="40">
        <f t="shared" ca="1" si="10"/>
        <v>3</v>
      </c>
      <c r="D354" s="30" t="str">
        <f t="shared" ca="1" si="11"/>
        <v>dobře</v>
      </c>
    </row>
    <row r="355" spans="1:4" ht="16" x14ac:dyDescent="0.2">
      <c r="A355" s="39" t="s">
        <v>551</v>
      </c>
      <c r="B355" s="39" t="s">
        <v>2</v>
      </c>
      <c r="C355" s="40">
        <f t="shared" ca="1" si="10"/>
        <v>4</v>
      </c>
      <c r="D355" s="30" t="str">
        <f t="shared" ca="1" si="11"/>
        <v>nevyhovující</v>
      </c>
    </row>
    <row r="356" spans="1:4" ht="16" x14ac:dyDescent="0.2">
      <c r="A356" s="39" t="s">
        <v>552</v>
      </c>
      <c r="B356" s="39" t="s">
        <v>553</v>
      </c>
      <c r="C356" s="40">
        <f t="shared" ca="1" si="10"/>
        <v>3</v>
      </c>
      <c r="D356" s="30" t="str">
        <f t="shared" ca="1" si="11"/>
        <v>dobře</v>
      </c>
    </row>
    <row r="357" spans="1:4" ht="16" x14ac:dyDescent="0.2">
      <c r="A357" s="39" t="s">
        <v>554</v>
      </c>
      <c r="B357" s="39" t="s">
        <v>555</v>
      </c>
      <c r="C357" s="40">
        <f t="shared" ca="1" si="10"/>
        <v>4</v>
      </c>
      <c r="D357" s="30" t="str">
        <f t="shared" ca="1" si="11"/>
        <v>nevyhovující</v>
      </c>
    </row>
    <row r="358" spans="1:4" ht="16" x14ac:dyDescent="0.2">
      <c r="A358" s="39" t="s">
        <v>556</v>
      </c>
      <c r="B358" s="39" t="s">
        <v>557</v>
      </c>
      <c r="C358" s="40">
        <f t="shared" ca="1" si="10"/>
        <v>4</v>
      </c>
      <c r="D358" s="30" t="str">
        <f t="shared" ca="1" si="11"/>
        <v>nevyhovující</v>
      </c>
    </row>
    <row r="359" spans="1:4" ht="16" x14ac:dyDescent="0.2">
      <c r="A359" s="39" t="s">
        <v>558</v>
      </c>
      <c r="B359" s="39" t="s">
        <v>143</v>
      </c>
      <c r="C359" s="40">
        <f t="shared" ca="1" si="10"/>
        <v>4</v>
      </c>
      <c r="D359" s="30" t="str">
        <f t="shared" ca="1" si="11"/>
        <v>nevyhovující</v>
      </c>
    </row>
    <row r="360" spans="1:4" ht="16" x14ac:dyDescent="0.2">
      <c r="A360" s="39" t="s">
        <v>559</v>
      </c>
      <c r="B360" s="39" t="s">
        <v>216</v>
      </c>
      <c r="C360" s="40">
        <f t="shared" ca="1" si="10"/>
        <v>2</v>
      </c>
      <c r="D360" s="30" t="str">
        <f t="shared" ca="1" si="11"/>
        <v>velmi dobře</v>
      </c>
    </row>
    <row r="361" spans="1:4" ht="16" x14ac:dyDescent="0.2">
      <c r="A361" s="39" t="s">
        <v>559</v>
      </c>
      <c r="B361" s="39" t="s">
        <v>182</v>
      </c>
      <c r="C361" s="40">
        <f t="shared" ca="1" si="10"/>
        <v>4</v>
      </c>
      <c r="D361" s="30" t="str">
        <f t="shared" ca="1" si="11"/>
        <v>nevyhovující</v>
      </c>
    </row>
    <row r="362" spans="1:4" ht="16" x14ac:dyDescent="0.2">
      <c r="A362" s="39" t="s">
        <v>560</v>
      </c>
      <c r="B362" s="39" t="s">
        <v>561</v>
      </c>
      <c r="C362" s="40">
        <f t="shared" ca="1" si="10"/>
        <v>3</v>
      </c>
      <c r="D362" s="30" t="str">
        <f t="shared" ca="1" si="11"/>
        <v>dobře</v>
      </c>
    </row>
    <row r="363" spans="1:4" ht="16" x14ac:dyDescent="0.2">
      <c r="A363" s="39" t="s">
        <v>562</v>
      </c>
      <c r="B363" s="39" t="s">
        <v>227</v>
      </c>
      <c r="C363" s="40">
        <f t="shared" ca="1" si="10"/>
        <v>2</v>
      </c>
      <c r="D363" s="30" t="str">
        <f t="shared" ca="1" si="11"/>
        <v>velmi dobře</v>
      </c>
    </row>
    <row r="364" spans="1:4" ht="16" x14ac:dyDescent="0.2">
      <c r="A364" s="39" t="s">
        <v>563</v>
      </c>
      <c r="B364" s="39" t="s">
        <v>212</v>
      </c>
      <c r="C364" s="40">
        <f t="shared" ca="1" si="10"/>
        <v>4</v>
      </c>
      <c r="D364" s="30" t="str">
        <f t="shared" ca="1" si="11"/>
        <v>nevyhovující</v>
      </c>
    </row>
    <row r="365" spans="1:4" ht="16" x14ac:dyDescent="0.2">
      <c r="A365" s="39" t="s">
        <v>564</v>
      </c>
      <c r="B365" s="39" t="s">
        <v>361</v>
      </c>
      <c r="C365" s="40">
        <f t="shared" ca="1" si="10"/>
        <v>3</v>
      </c>
      <c r="D365" s="30" t="str">
        <f t="shared" ca="1" si="11"/>
        <v>dobře</v>
      </c>
    </row>
    <row r="366" spans="1:4" ht="16" x14ac:dyDescent="0.2">
      <c r="A366" s="39" t="s">
        <v>565</v>
      </c>
      <c r="B366" s="39" t="s">
        <v>140</v>
      </c>
      <c r="C366" s="40">
        <f t="shared" ca="1" si="10"/>
        <v>2</v>
      </c>
      <c r="D366" s="30" t="str">
        <f t="shared" ca="1" si="11"/>
        <v>velmi dobře</v>
      </c>
    </row>
    <row r="367" spans="1:4" ht="16" x14ac:dyDescent="0.2">
      <c r="A367" s="39" t="s">
        <v>566</v>
      </c>
      <c r="B367" s="39" t="s">
        <v>214</v>
      </c>
      <c r="C367" s="40">
        <f t="shared" ca="1" si="10"/>
        <v>1</v>
      </c>
      <c r="D367" s="30" t="str">
        <f t="shared" ca="1" si="11"/>
        <v>výborně</v>
      </c>
    </row>
    <row r="368" spans="1:4" ht="16" x14ac:dyDescent="0.2">
      <c r="A368" s="39" t="s">
        <v>567</v>
      </c>
      <c r="B368" s="39" t="s">
        <v>136</v>
      </c>
      <c r="C368" s="40">
        <f t="shared" ca="1" si="10"/>
        <v>3</v>
      </c>
      <c r="D368" s="30" t="str">
        <f t="shared" ca="1" si="11"/>
        <v>dobře</v>
      </c>
    </row>
    <row r="369" spans="1:4" ht="16" x14ac:dyDescent="0.2">
      <c r="A369" s="39" t="s">
        <v>568</v>
      </c>
      <c r="B369" s="39" t="s">
        <v>569</v>
      </c>
      <c r="C369" s="40">
        <f t="shared" ca="1" si="10"/>
        <v>1</v>
      </c>
      <c r="D369" s="30" t="str">
        <f t="shared" ca="1" si="11"/>
        <v>výborně</v>
      </c>
    </row>
    <row r="370" spans="1:4" ht="16" x14ac:dyDescent="0.2">
      <c r="A370" s="39" t="s">
        <v>570</v>
      </c>
      <c r="B370" s="39" t="s">
        <v>212</v>
      </c>
      <c r="C370" s="40">
        <f t="shared" ca="1" si="10"/>
        <v>4</v>
      </c>
      <c r="D370" s="30" t="str">
        <f t="shared" ca="1" si="11"/>
        <v>nevyhovující</v>
      </c>
    </row>
    <row r="371" spans="1:4" ht="16" x14ac:dyDescent="0.2">
      <c r="A371" s="39" t="s">
        <v>571</v>
      </c>
      <c r="B371" s="39" t="s">
        <v>444</v>
      </c>
      <c r="C371" s="40">
        <f t="shared" ca="1" si="10"/>
        <v>3</v>
      </c>
      <c r="D371" s="30" t="str">
        <f t="shared" ca="1" si="11"/>
        <v>dobře</v>
      </c>
    </row>
    <row r="372" spans="1:4" ht="16" x14ac:dyDescent="0.2">
      <c r="A372" s="39" t="s">
        <v>572</v>
      </c>
      <c r="B372" s="39" t="s">
        <v>188</v>
      </c>
      <c r="C372" s="40">
        <f t="shared" ca="1" si="10"/>
        <v>2</v>
      </c>
      <c r="D372" s="30" t="str">
        <f t="shared" ca="1" si="11"/>
        <v>velmi dobře</v>
      </c>
    </row>
    <row r="373" spans="1:4" ht="16" x14ac:dyDescent="0.2">
      <c r="A373" s="39" t="s">
        <v>573</v>
      </c>
      <c r="B373" s="39" t="s">
        <v>471</v>
      </c>
      <c r="C373" s="40">
        <f t="shared" ca="1" si="10"/>
        <v>4</v>
      </c>
      <c r="D373" s="30" t="str">
        <f t="shared" ca="1" si="11"/>
        <v>nevyhovující</v>
      </c>
    </row>
    <row r="374" spans="1:4" ht="16" x14ac:dyDescent="0.2">
      <c r="A374" s="39" t="s">
        <v>574</v>
      </c>
      <c r="B374" s="39" t="s">
        <v>323</v>
      </c>
      <c r="C374" s="40">
        <f t="shared" ca="1" si="10"/>
        <v>1</v>
      </c>
      <c r="D374" s="30" t="str">
        <f t="shared" ca="1" si="11"/>
        <v>výborně</v>
      </c>
    </row>
    <row r="375" spans="1:4" ht="16" x14ac:dyDescent="0.2">
      <c r="A375" s="39" t="s">
        <v>575</v>
      </c>
      <c r="B375" s="39" t="s">
        <v>343</v>
      </c>
      <c r="C375" s="40">
        <f t="shared" ca="1" si="10"/>
        <v>4</v>
      </c>
      <c r="D375" s="30" t="str">
        <f t="shared" ca="1" si="11"/>
        <v>nevyhovující</v>
      </c>
    </row>
    <row r="376" spans="1:4" ht="16" x14ac:dyDescent="0.2">
      <c r="A376" s="39" t="s">
        <v>576</v>
      </c>
      <c r="B376" s="39" t="s">
        <v>155</v>
      </c>
      <c r="C376" s="40">
        <f t="shared" ca="1" si="10"/>
        <v>3</v>
      </c>
      <c r="D376" s="30" t="str">
        <f t="shared" ca="1" si="11"/>
        <v>dobře</v>
      </c>
    </row>
    <row r="377" spans="1:4" ht="16" x14ac:dyDescent="0.2">
      <c r="A377" s="39" t="s">
        <v>577</v>
      </c>
      <c r="B377" s="39" t="s">
        <v>469</v>
      </c>
      <c r="C377" s="40">
        <f t="shared" ca="1" si="10"/>
        <v>1</v>
      </c>
      <c r="D377" s="30" t="str">
        <f t="shared" ca="1" si="11"/>
        <v>výborně</v>
      </c>
    </row>
    <row r="378" spans="1:4" ht="16" x14ac:dyDescent="0.2">
      <c r="A378" s="39" t="s">
        <v>578</v>
      </c>
      <c r="B378" s="39" t="s">
        <v>393</v>
      </c>
      <c r="C378" s="40">
        <f t="shared" ca="1" si="10"/>
        <v>3</v>
      </c>
      <c r="D378" s="30" t="str">
        <f t="shared" ca="1" si="11"/>
        <v>dobře</v>
      </c>
    </row>
    <row r="379" spans="1:4" ht="16" x14ac:dyDescent="0.2">
      <c r="A379" s="39" t="s">
        <v>578</v>
      </c>
      <c r="B379" s="39" t="s">
        <v>149</v>
      </c>
      <c r="C379" s="40">
        <f t="shared" ca="1" si="10"/>
        <v>4</v>
      </c>
      <c r="D379" s="30" t="str">
        <f t="shared" ca="1" si="11"/>
        <v>nevyhovující</v>
      </c>
    </row>
    <row r="380" spans="1:4" ht="16" x14ac:dyDescent="0.2">
      <c r="A380" s="39" t="s">
        <v>579</v>
      </c>
      <c r="B380" s="39" t="s">
        <v>140</v>
      </c>
      <c r="C380" s="40">
        <f t="shared" ca="1" si="10"/>
        <v>3</v>
      </c>
      <c r="D380" s="30" t="str">
        <f t="shared" ca="1" si="11"/>
        <v>dobře</v>
      </c>
    </row>
    <row r="381" spans="1:4" ht="16" x14ac:dyDescent="0.2">
      <c r="A381" s="39" t="s">
        <v>580</v>
      </c>
      <c r="B381" s="39" t="s">
        <v>155</v>
      </c>
      <c r="C381" s="40">
        <f t="shared" ca="1" si="10"/>
        <v>4</v>
      </c>
      <c r="D381" s="30" t="str">
        <f t="shared" ca="1" si="11"/>
        <v>nevyhovující</v>
      </c>
    </row>
    <row r="382" spans="1:4" ht="16" x14ac:dyDescent="0.2">
      <c r="A382" s="39" t="s">
        <v>581</v>
      </c>
      <c r="B382" s="39" t="s">
        <v>168</v>
      </c>
      <c r="C382" s="40">
        <f t="shared" ca="1" si="10"/>
        <v>4</v>
      </c>
      <c r="D382" s="30" t="str">
        <f t="shared" ca="1" si="11"/>
        <v>nevyhovující</v>
      </c>
    </row>
    <row r="383" spans="1:4" ht="16" x14ac:dyDescent="0.2">
      <c r="A383" s="39" t="s">
        <v>582</v>
      </c>
      <c r="B383" s="39" t="s">
        <v>232</v>
      </c>
      <c r="C383" s="40">
        <f t="shared" ca="1" si="10"/>
        <v>3</v>
      </c>
      <c r="D383" s="30" t="str">
        <f t="shared" ca="1" si="11"/>
        <v>dobře</v>
      </c>
    </row>
    <row r="384" spans="1:4" ht="16" x14ac:dyDescent="0.2">
      <c r="A384" s="39" t="s">
        <v>583</v>
      </c>
      <c r="B384" s="39" t="s">
        <v>287</v>
      </c>
      <c r="C384" s="40">
        <f t="shared" ca="1" si="10"/>
        <v>2</v>
      </c>
      <c r="D384" s="30" t="str">
        <f t="shared" ca="1" si="11"/>
        <v>velmi dobře</v>
      </c>
    </row>
    <row r="385" spans="1:4" ht="16" x14ac:dyDescent="0.2">
      <c r="A385" s="39" t="s">
        <v>583</v>
      </c>
      <c r="B385" s="39" t="s">
        <v>584</v>
      </c>
      <c r="C385" s="40">
        <f t="shared" ca="1" si="10"/>
        <v>1</v>
      </c>
      <c r="D385" s="30" t="str">
        <f t="shared" ca="1" si="11"/>
        <v>výborně</v>
      </c>
    </row>
  </sheetData>
  <sheetProtection password="C79A" sheet="1" formatCells="0"/>
  <mergeCells count="1">
    <mergeCell ref="G2:H2"/>
  </mergeCells>
  <conditionalFormatting sqref="D1:D385">
    <cfRule type="containsText" dxfId="2" priority="1" stopIfTrue="1" operator="containsText" text="nevyhovující">
      <formula>NOT(ISERROR(SEARCH("nevyhovující",D1)))</formula>
    </cfRule>
  </conditionalFormatting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EB4D-0B66-3F48-A186-3D2BABB17177}">
  <sheetPr>
    <tabColor rgb="FFFF0000"/>
  </sheetPr>
  <dimension ref="A1:BZ122"/>
  <sheetViews>
    <sheetView workbookViewId="0">
      <selection activeCell="D3" sqref="D3"/>
    </sheetView>
  </sheetViews>
  <sheetFormatPr baseColWidth="10" defaultColWidth="8.83203125" defaultRowHeight="13" x14ac:dyDescent="0.15"/>
  <cols>
    <col min="1" max="2" width="8.83203125" customWidth="1"/>
    <col min="3" max="3" width="7.5" customWidth="1"/>
    <col min="4" max="4" width="15" customWidth="1"/>
    <col min="5" max="5" width="11.5" customWidth="1"/>
    <col min="6" max="6" width="18.5" customWidth="1"/>
    <col min="7" max="78" width="2.83203125" customWidth="1"/>
  </cols>
  <sheetData>
    <row r="1" spans="1:78" ht="15" x14ac:dyDescent="0.2">
      <c r="A1" s="26" t="s">
        <v>52</v>
      </c>
      <c r="B1" s="26" t="s">
        <v>53</v>
      </c>
      <c r="C1" s="26" t="s">
        <v>54</v>
      </c>
      <c r="D1" s="27" t="s">
        <v>55</v>
      </c>
      <c r="E1" s="26" t="s">
        <v>56</v>
      </c>
      <c r="F1" s="26" t="s">
        <v>57</v>
      </c>
      <c r="G1" s="26">
        <v>1</v>
      </c>
      <c r="H1" s="26">
        <v>2</v>
      </c>
      <c r="I1" s="26">
        <v>3</v>
      </c>
      <c r="J1" s="26">
        <v>4</v>
      </c>
      <c r="K1" s="26">
        <v>5</v>
      </c>
      <c r="L1" s="26">
        <v>6</v>
      </c>
      <c r="M1" s="26">
        <v>7</v>
      </c>
      <c r="N1" s="26">
        <v>8</v>
      </c>
      <c r="O1" s="26">
        <v>9</v>
      </c>
      <c r="P1" s="26">
        <v>10</v>
      </c>
      <c r="Q1" s="26">
        <v>11</v>
      </c>
      <c r="R1" s="26">
        <v>12</v>
      </c>
      <c r="S1" s="26">
        <v>13</v>
      </c>
      <c r="T1" s="26">
        <v>14</v>
      </c>
      <c r="U1" s="26">
        <v>15</v>
      </c>
      <c r="V1" s="26">
        <v>16</v>
      </c>
      <c r="W1" s="26">
        <v>17</v>
      </c>
      <c r="X1" s="26">
        <v>18</v>
      </c>
      <c r="Y1" s="26">
        <v>19</v>
      </c>
      <c r="Z1" s="26">
        <v>20</v>
      </c>
      <c r="AA1" s="26">
        <v>21</v>
      </c>
      <c r="AB1" s="26">
        <v>22</v>
      </c>
      <c r="AC1" s="26">
        <v>23</v>
      </c>
      <c r="AD1" s="26">
        <v>24</v>
      </c>
      <c r="AE1" s="26">
        <v>25</v>
      </c>
      <c r="AF1" s="26">
        <v>26</v>
      </c>
      <c r="AG1" s="26">
        <v>27</v>
      </c>
      <c r="AH1" s="26">
        <v>28</v>
      </c>
      <c r="AI1" s="26">
        <v>29</v>
      </c>
      <c r="AJ1" s="26">
        <v>30</v>
      </c>
      <c r="AK1" s="26">
        <v>31</v>
      </c>
      <c r="AL1" s="26">
        <v>32</v>
      </c>
      <c r="AM1" s="26">
        <v>33</v>
      </c>
      <c r="AN1" s="26">
        <v>34</v>
      </c>
      <c r="AO1" s="26">
        <v>35</v>
      </c>
      <c r="AP1" s="26">
        <v>36</v>
      </c>
      <c r="AQ1" s="26">
        <v>37</v>
      </c>
      <c r="AR1" s="26">
        <v>38</v>
      </c>
      <c r="AS1" s="26">
        <v>39</v>
      </c>
      <c r="AT1" s="26">
        <v>40</v>
      </c>
      <c r="AU1" s="26">
        <v>41</v>
      </c>
      <c r="AV1" s="26">
        <v>42</v>
      </c>
      <c r="AW1" s="26">
        <v>43</v>
      </c>
      <c r="AX1" s="26">
        <v>44</v>
      </c>
      <c r="AY1" s="26">
        <v>45</v>
      </c>
      <c r="AZ1" s="26">
        <v>46</v>
      </c>
      <c r="BA1" s="26">
        <v>47</v>
      </c>
      <c r="BB1" s="26">
        <v>48</v>
      </c>
      <c r="BC1" s="26">
        <v>49</v>
      </c>
      <c r="BD1" s="26">
        <v>50</v>
      </c>
      <c r="BE1" s="26">
        <v>51</v>
      </c>
      <c r="BF1" s="26">
        <v>52</v>
      </c>
      <c r="BG1" s="26">
        <v>53</v>
      </c>
      <c r="BH1" s="26">
        <v>54</v>
      </c>
      <c r="BI1" s="26">
        <v>55</v>
      </c>
      <c r="BJ1" s="26">
        <v>56</v>
      </c>
      <c r="BK1" s="26">
        <v>57</v>
      </c>
      <c r="BL1" s="26">
        <v>58</v>
      </c>
      <c r="BM1" s="26">
        <v>59</v>
      </c>
      <c r="BN1" s="26">
        <v>60</v>
      </c>
      <c r="BO1" s="26">
        <v>61</v>
      </c>
      <c r="BP1" s="26">
        <v>62</v>
      </c>
      <c r="BQ1" s="26">
        <v>63</v>
      </c>
      <c r="BR1" s="26">
        <v>64</v>
      </c>
      <c r="BS1" s="26">
        <v>65</v>
      </c>
      <c r="BT1" s="26">
        <v>66</v>
      </c>
      <c r="BU1" s="26">
        <v>67</v>
      </c>
      <c r="BV1" s="26">
        <v>68</v>
      </c>
      <c r="BW1" s="26">
        <v>69</v>
      </c>
      <c r="BX1" s="26">
        <v>70</v>
      </c>
      <c r="BY1" s="26">
        <v>71</v>
      </c>
      <c r="BZ1" s="26">
        <v>72</v>
      </c>
    </row>
    <row r="2" spans="1:78" x14ac:dyDescent="0.15">
      <c r="A2">
        <v>10524</v>
      </c>
      <c r="B2" t="s">
        <v>58</v>
      </c>
      <c r="C2">
        <v>1</v>
      </c>
      <c r="D2" s="28" t="str">
        <f>IF(OR(AND(F2="Standardní",E2&gt;=53),AND(F2="Ztížené",E2&gt;=62)),"ano","ne")</f>
        <v>ano</v>
      </c>
      <c r="E2">
        <f>SUM(G2:BZ2)</f>
        <v>58</v>
      </c>
      <c r="F2" t="s">
        <v>59</v>
      </c>
      <c r="G2">
        <v>1</v>
      </c>
      <c r="H2">
        <v>1</v>
      </c>
      <c r="I2">
        <v>1</v>
      </c>
      <c r="J2">
        <v>1</v>
      </c>
      <c r="L2">
        <v>1</v>
      </c>
      <c r="M2">
        <v>1</v>
      </c>
      <c r="N2">
        <v>1</v>
      </c>
      <c r="O2">
        <v>1</v>
      </c>
      <c r="Q2">
        <v>1</v>
      </c>
      <c r="R2">
        <v>1</v>
      </c>
      <c r="S2">
        <v>1</v>
      </c>
      <c r="T2">
        <v>1</v>
      </c>
      <c r="U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D2">
        <v>1</v>
      </c>
      <c r="AF2">
        <v>1</v>
      </c>
      <c r="AG2">
        <v>1</v>
      </c>
      <c r="AH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V2">
        <v>1</v>
      </c>
      <c r="AW2">
        <v>1</v>
      </c>
      <c r="AX2">
        <v>1</v>
      </c>
      <c r="AY2">
        <v>1</v>
      </c>
      <c r="BA2">
        <v>1</v>
      </c>
      <c r="BB2">
        <v>1</v>
      </c>
      <c r="BC2">
        <v>1</v>
      </c>
      <c r="BD2">
        <v>1</v>
      </c>
      <c r="BE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N2">
        <v>1</v>
      </c>
      <c r="BP2">
        <v>1</v>
      </c>
      <c r="BQ2">
        <v>1</v>
      </c>
      <c r="BR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</row>
    <row r="3" spans="1:78" x14ac:dyDescent="0.15">
      <c r="A3">
        <v>10524</v>
      </c>
      <c r="B3" t="s">
        <v>58</v>
      </c>
      <c r="C3">
        <v>2</v>
      </c>
      <c r="D3" s="28" t="str">
        <f t="shared" ref="D3:D66" si="0">IF(OR(AND(F3="Standardní",E3&gt;=53),AND(F3="Ztížené",E3&gt;=62)),"ano","ne")</f>
        <v>ne</v>
      </c>
      <c r="E3">
        <f t="shared" ref="E3:E66" si="1">SUM(G3:BZ3)</f>
        <v>48</v>
      </c>
      <c r="F3" t="s">
        <v>59</v>
      </c>
      <c r="G3">
        <v>2</v>
      </c>
      <c r="H3">
        <v>2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Q3">
        <v>2</v>
      </c>
      <c r="AR3">
        <v>2</v>
      </c>
      <c r="AS3">
        <v>1</v>
      </c>
      <c r="AT3">
        <v>1</v>
      </c>
      <c r="AU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L3">
        <v>1</v>
      </c>
      <c r="BM3">
        <v>1</v>
      </c>
      <c r="BN3">
        <v>1</v>
      </c>
    </row>
    <row r="4" spans="1:78" x14ac:dyDescent="0.15">
      <c r="A4">
        <v>10524</v>
      </c>
      <c r="B4" t="s">
        <v>58</v>
      </c>
      <c r="C4">
        <v>3</v>
      </c>
      <c r="D4" s="28" t="str">
        <f t="shared" si="0"/>
        <v>ano</v>
      </c>
      <c r="E4">
        <f t="shared" si="1"/>
        <v>64</v>
      </c>
      <c r="F4" t="s">
        <v>59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78" x14ac:dyDescent="0.15">
      <c r="A5">
        <v>10524</v>
      </c>
      <c r="B5" t="s">
        <v>58</v>
      </c>
      <c r="C5">
        <v>4</v>
      </c>
      <c r="D5" s="28" t="str">
        <f t="shared" si="0"/>
        <v>ano</v>
      </c>
      <c r="E5">
        <f t="shared" si="1"/>
        <v>58</v>
      </c>
      <c r="F5" t="s">
        <v>59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8" x14ac:dyDescent="0.15">
      <c r="A6">
        <v>10524</v>
      </c>
      <c r="B6" t="s">
        <v>58</v>
      </c>
      <c r="C6">
        <v>5</v>
      </c>
      <c r="D6" s="28" t="str">
        <f t="shared" si="0"/>
        <v>ano</v>
      </c>
      <c r="E6">
        <f t="shared" si="1"/>
        <v>60</v>
      </c>
      <c r="F6" t="s">
        <v>59</v>
      </c>
      <c r="G6">
        <v>2</v>
      </c>
      <c r="H6">
        <v>1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Q6">
        <v>2</v>
      </c>
      <c r="AR6">
        <v>1</v>
      </c>
      <c r="AS6">
        <v>2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</row>
    <row r="7" spans="1:78" x14ac:dyDescent="0.15">
      <c r="A7">
        <v>10524</v>
      </c>
      <c r="B7" t="s">
        <v>58</v>
      </c>
      <c r="C7">
        <v>6</v>
      </c>
      <c r="D7" s="28" t="str">
        <f t="shared" si="0"/>
        <v>ano</v>
      </c>
      <c r="E7">
        <f t="shared" si="1"/>
        <v>64</v>
      </c>
      <c r="F7" t="s">
        <v>59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</row>
    <row r="8" spans="1:78" x14ac:dyDescent="0.15">
      <c r="A8">
        <v>10524</v>
      </c>
      <c r="B8" t="s">
        <v>58</v>
      </c>
      <c r="C8">
        <v>7</v>
      </c>
      <c r="D8" s="28" t="str">
        <f t="shared" si="0"/>
        <v>ne</v>
      </c>
      <c r="E8">
        <f t="shared" si="1"/>
        <v>56</v>
      </c>
      <c r="F8" t="s">
        <v>60</v>
      </c>
      <c r="G8">
        <v>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Q8">
        <v>2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</row>
    <row r="9" spans="1:78" x14ac:dyDescent="0.15">
      <c r="A9">
        <v>10524</v>
      </c>
      <c r="B9" t="s">
        <v>61</v>
      </c>
      <c r="C9">
        <v>1</v>
      </c>
      <c r="D9" s="28" t="str">
        <f t="shared" si="0"/>
        <v>ano</v>
      </c>
      <c r="E9">
        <f t="shared" si="1"/>
        <v>68</v>
      </c>
      <c r="F9" t="s">
        <v>60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</row>
    <row r="10" spans="1:78" x14ac:dyDescent="0.15">
      <c r="A10">
        <v>10524</v>
      </c>
      <c r="B10" t="s">
        <v>61</v>
      </c>
      <c r="C10">
        <v>2</v>
      </c>
      <c r="D10" s="28" t="str">
        <f t="shared" si="0"/>
        <v>ano</v>
      </c>
      <c r="E10">
        <f t="shared" si="1"/>
        <v>58</v>
      </c>
      <c r="F10" t="s">
        <v>59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1</v>
      </c>
      <c r="T10">
        <v>1</v>
      </c>
      <c r="U10">
        <v>1</v>
      </c>
      <c r="V10">
        <v>1</v>
      </c>
      <c r="W10">
        <v>2</v>
      </c>
      <c r="X10">
        <v>1</v>
      </c>
      <c r="Y10">
        <v>1</v>
      </c>
      <c r="Z10">
        <v>1</v>
      </c>
      <c r="AA10">
        <v>1</v>
      </c>
      <c r="AB10">
        <v>2</v>
      </c>
      <c r="AC10">
        <v>1</v>
      </c>
      <c r="AD10">
        <v>1</v>
      </c>
      <c r="AQ10">
        <v>2</v>
      </c>
      <c r="AR10">
        <v>2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2</v>
      </c>
      <c r="BC10">
        <v>1</v>
      </c>
      <c r="BD10">
        <v>1</v>
      </c>
      <c r="BE10">
        <v>1</v>
      </c>
      <c r="BF10">
        <v>1</v>
      </c>
      <c r="BG10">
        <v>2</v>
      </c>
      <c r="BH10">
        <v>1</v>
      </c>
      <c r="BI10">
        <v>1</v>
      </c>
      <c r="BJ10">
        <v>1</v>
      </c>
      <c r="BK10">
        <v>1</v>
      </c>
      <c r="BL10">
        <v>2</v>
      </c>
      <c r="BM10">
        <v>1</v>
      </c>
      <c r="BN10">
        <v>1</v>
      </c>
    </row>
    <row r="11" spans="1:78" x14ac:dyDescent="0.15">
      <c r="A11">
        <v>10524</v>
      </c>
      <c r="B11" t="s">
        <v>61</v>
      </c>
      <c r="C11">
        <v>3</v>
      </c>
      <c r="D11" s="28" t="str">
        <f t="shared" si="0"/>
        <v>ne</v>
      </c>
      <c r="E11">
        <f t="shared" si="1"/>
        <v>50</v>
      </c>
      <c r="F11" t="s">
        <v>59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N11">
        <v>1</v>
      </c>
      <c r="P11">
        <v>1</v>
      </c>
      <c r="Q11">
        <v>1</v>
      </c>
      <c r="R11">
        <v>1</v>
      </c>
      <c r="S11">
        <v>1</v>
      </c>
      <c r="T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E11">
        <v>1</v>
      </c>
      <c r="AF11">
        <v>1</v>
      </c>
      <c r="AG11">
        <v>1</v>
      </c>
      <c r="AJ11">
        <v>1</v>
      </c>
      <c r="AK11">
        <v>1</v>
      </c>
      <c r="AL11">
        <v>1</v>
      </c>
      <c r="AQ11">
        <v>1</v>
      </c>
      <c r="AR11">
        <v>1</v>
      </c>
      <c r="AS11">
        <v>1</v>
      </c>
      <c r="AU11">
        <v>1</v>
      </c>
      <c r="AV11">
        <v>1</v>
      </c>
      <c r="AW11">
        <v>1</v>
      </c>
      <c r="AX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O11">
        <v>1</v>
      </c>
      <c r="BP11">
        <v>1</v>
      </c>
      <c r="BQ11">
        <v>1</v>
      </c>
      <c r="BT11">
        <v>1</v>
      </c>
      <c r="BU11">
        <v>1</v>
      </c>
      <c r="BV11">
        <v>1</v>
      </c>
    </row>
    <row r="12" spans="1:78" x14ac:dyDescent="0.15">
      <c r="A12">
        <v>10524</v>
      </c>
      <c r="B12" t="s">
        <v>61</v>
      </c>
      <c r="C12">
        <v>4</v>
      </c>
      <c r="D12" s="28" t="str">
        <f t="shared" si="0"/>
        <v>ano</v>
      </c>
      <c r="E12">
        <f t="shared" si="1"/>
        <v>64</v>
      </c>
      <c r="F12" t="s">
        <v>59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8" x14ac:dyDescent="0.15">
      <c r="A13">
        <v>10524</v>
      </c>
      <c r="B13" t="s">
        <v>61</v>
      </c>
      <c r="C13">
        <v>5</v>
      </c>
      <c r="D13" s="28" t="str">
        <f t="shared" si="0"/>
        <v>ano</v>
      </c>
      <c r="E13">
        <f t="shared" si="1"/>
        <v>62</v>
      </c>
      <c r="F13" t="s">
        <v>59</v>
      </c>
      <c r="G13">
        <v>4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Q13">
        <v>4</v>
      </c>
      <c r="AR13">
        <v>1</v>
      </c>
      <c r="AS13">
        <v>2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</row>
    <row r="14" spans="1:78" x14ac:dyDescent="0.15">
      <c r="A14">
        <v>10524</v>
      </c>
      <c r="B14" t="s">
        <v>61</v>
      </c>
      <c r="C14">
        <v>6</v>
      </c>
      <c r="D14" s="28" t="str">
        <f t="shared" si="0"/>
        <v>ano</v>
      </c>
      <c r="E14">
        <f t="shared" si="1"/>
        <v>64</v>
      </c>
      <c r="F14" t="s">
        <v>59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8" x14ac:dyDescent="0.15">
      <c r="A15">
        <v>10524</v>
      </c>
      <c r="B15" t="s">
        <v>61</v>
      </c>
      <c r="C15">
        <v>7</v>
      </c>
      <c r="D15" s="28" t="str">
        <f t="shared" si="0"/>
        <v>ano</v>
      </c>
      <c r="E15">
        <f t="shared" si="1"/>
        <v>60</v>
      </c>
      <c r="F15" t="s">
        <v>59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</row>
    <row r="16" spans="1:78" x14ac:dyDescent="0.15">
      <c r="A16">
        <v>10524</v>
      </c>
      <c r="B16" t="s">
        <v>62</v>
      </c>
      <c r="C16">
        <v>1</v>
      </c>
      <c r="D16" s="28" t="str">
        <f t="shared" si="0"/>
        <v>ano</v>
      </c>
      <c r="E16">
        <f t="shared" si="1"/>
        <v>70</v>
      </c>
      <c r="F16" t="s">
        <v>59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</row>
    <row r="17" spans="1:78" x14ac:dyDescent="0.15">
      <c r="A17">
        <v>10524</v>
      </c>
      <c r="B17" t="s">
        <v>62</v>
      </c>
      <c r="C17">
        <v>2</v>
      </c>
      <c r="D17" s="28" t="str">
        <f t="shared" si="0"/>
        <v>ano</v>
      </c>
      <c r="E17">
        <f t="shared" si="1"/>
        <v>60</v>
      </c>
      <c r="F17" t="s">
        <v>59</v>
      </c>
      <c r="G17">
        <v>2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2</v>
      </c>
      <c r="Y17">
        <v>1</v>
      </c>
      <c r="Z17">
        <v>1</v>
      </c>
      <c r="AA17">
        <v>1</v>
      </c>
      <c r="AB17">
        <v>2</v>
      </c>
      <c r="AC17">
        <v>2</v>
      </c>
      <c r="AD17">
        <v>1</v>
      </c>
      <c r="AQ17">
        <v>2</v>
      </c>
      <c r="AR17">
        <v>2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2</v>
      </c>
      <c r="BF17">
        <v>1</v>
      </c>
      <c r="BG17">
        <v>1</v>
      </c>
      <c r="BH17">
        <v>2</v>
      </c>
      <c r="BI17">
        <v>1</v>
      </c>
      <c r="BJ17">
        <v>1</v>
      </c>
      <c r="BK17">
        <v>1</v>
      </c>
      <c r="BL17">
        <v>2</v>
      </c>
      <c r="BM17">
        <v>2</v>
      </c>
      <c r="BN17">
        <v>1</v>
      </c>
    </row>
    <row r="18" spans="1:78" x14ac:dyDescent="0.15">
      <c r="A18">
        <v>10524</v>
      </c>
      <c r="B18" t="s">
        <v>62</v>
      </c>
      <c r="C18">
        <v>3</v>
      </c>
      <c r="D18" s="28" t="str">
        <f t="shared" si="0"/>
        <v>ne</v>
      </c>
      <c r="E18">
        <f t="shared" si="1"/>
        <v>50</v>
      </c>
      <c r="F18" t="s">
        <v>59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R18">
        <v>1</v>
      </c>
      <c r="S18">
        <v>1</v>
      </c>
      <c r="T18">
        <v>1</v>
      </c>
      <c r="U18">
        <v>1</v>
      </c>
      <c r="V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E18">
        <v>1</v>
      </c>
      <c r="AG18">
        <v>1</v>
      </c>
      <c r="AH18">
        <v>1</v>
      </c>
      <c r="AI18">
        <v>1</v>
      </c>
      <c r="AL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O18">
        <v>1</v>
      </c>
      <c r="BQ18">
        <v>1</v>
      </c>
      <c r="BR18">
        <v>1</v>
      </c>
      <c r="BS18">
        <v>1</v>
      </c>
      <c r="BV18">
        <v>1</v>
      </c>
    </row>
    <row r="19" spans="1:78" x14ac:dyDescent="0.15">
      <c r="A19">
        <v>10524</v>
      </c>
      <c r="B19" t="s">
        <v>62</v>
      </c>
      <c r="C19">
        <v>4</v>
      </c>
      <c r="D19" s="28" t="str">
        <f t="shared" si="0"/>
        <v>ano</v>
      </c>
      <c r="E19">
        <f t="shared" si="1"/>
        <v>56</v>
      </c>
      <c r="F19" t="s">
        <v>59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U19">
        <v>1</v>
      </c>
      <c r="V19">
        <v>1</v>
      </c>
      <c r="W19">
        <v>1</v>
      </c>
      <c r="X19">
        <v>1</v>
      </c>
      <c r="Y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H19">
        <v>1</v>
      </c>
      <c r="AJ19">
        <v>1</v>
      </c>
      <c r="AK19">
        <v>1</v>
      </c>
      <c r="AL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R19">
        <v>1</v>
      </c>
      <c r="BT19">
        <v>1</v>
      </c>
      <c r="BU19">
        <v>1</v>
      </c>
      <c r="BV19">
        <v>1</v>
      </c>
    </row>
    <row r="20" spans="1:78" x14ac:dyDescent="0.15">
      <c r="A20">
        <v>10524</v>
      </c>
      <c r="B20" t="s">
        <v>62</v>
      </c>
      <c r="C20">
        <v>5</v>
      </c>
      <c r="D20" s="28" t="str">
        <f t="shared" si="0"/>
        <v>ne</v>
      </c>
      <c r="E20">
        <f t="shared" si="1"/>
        <v>50</v>
      </c>
      <c r="F20" t="s">
        <v>59</v>
      </c>
      <c r="G20">
        <v>1</v>
      </c>
      <c r="H20">
        <v>1</v>
      </c>
      <c r="I20">
        <v>2</v>
      </c>
      <c r="J20">
        <v>1</v>
      </c>
      <c r="K20">
        <v>1</v>
      </c>
      <c r="L20">
        <v>1</v>
      </c>
      <c r="M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E20">
        <v>1</v>
      </c>
      <c r="AF20">
        <v>1</v>
      </c>
      <c r="AG20">
        <v>1</v>
      </c>
      <c r="AH20">
        <v>1</v>
      </c>
      <c r="AQ20">
        <v>1</v>
      </c>
      <c r="AR20">
        <v>1</v>
      </c>
      <c r="AS20">
        <v>2</v>
      </c>
      <c r="AT20">
        <v>1</v>
      </c>
      <c r="AU20">
        <v>1</v>
      </c>
      <c r="AV20">
        <v>1</v>
      </c>
      <c r="AW20">
        <v>1</v>
      </c>
      <c r="AX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M20">
        <v>1</v>
      </c>
      <c r="BO20">
        <v>1</v>
      </c>
      <c r="BP20">
        <v>1</v>
      </c>
      <c r="BQ20">
        <v>1</v>
      </c>
      <c r="BR20">
        <v>1</v>
      </c>
    </row>
    <row r="21" spans="1:78" x14ac:dyDescent="0.15">
      <c r="A21">
        <v>10524</v>
      </c>
      <c r="B21" t="s">
        <v>62</v>
      </c>
      <c r="C21">
        <v>6</v>
      </c>
      <c r="D21" s="28" t="str">
        <f t="shared" si="0"/>
        <v>ano</v>
      </c>
      <c r="E21">
        <f t="shared" si="1"/>
        <v>64</v>
      </c>
      <c r="F21" t="s">
        <v>59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</row>
    <row r="22" spans="1:78" x14ac:dyDescent="0.15">
      <c r="A22">
        <v>10524</v>
      </c>
      <c r="B22" t="s">
        <v>62</v>
      </c>
      <c r="C22">
        <v>7</v>
      </c>
      <c r="D22" s="28" t="str">
        <f t="shared" si="0"/>
        <v>ano</v>
      </c>
      <c r="E22">
        <f t="shared" si="1"/>
        <v>56</v>
      </c>
      <c r="F22" t="s">
        <v>59</v>
      </c>
      <c r="G22">
        <v>3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R22">
        <v>1</v>
      </c>
      <c r="S22">
        <v>1</v>
      </c>
      <c r="T22">
        <v>1</v>
      </c>
      <c r="U22">
        <v>1</v>
      </c>
      <c r="V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E22">
        <v>1</v>
      </c>
      <c r="AG22">
        <v>1</v>
      </c>
      <c r="AH22">
        <v>1</v>
      </c>
      <c r="AI22">
        <v>1</v>
      </c>
      <c r="AJ22">
        <v>1</v>
      </c>
      <c r="AQ22">
        <v>3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O22">
        <v>1</v>
      </c>
      <c r="BQ22">
        <v>1</v>
      </c>
      <c r="BR22">
        <v>1</v>
      </c>
      <c r="BS22">
        <v>1</v>
      </c>
      <c r="BT22">
        <v>1</v>
      </c>
    </row>
    <row r="23" spans="1:78" x14ac:dyDescent="0.15">
      <c r="A23">
        <v>10524</v>
      </c>
      <c r="B23" t="s">
        <v>63</v>
      </c>
      <c r="C23">
        <v>2</v>
      </c>
      <c r="D23" s="28" t="str">
        <f t="shared" si="0"/>
        <v>ne</v>
      </c>
      <c r="E23">
        <f t="shared" si="1"/>
        <v>58</v>
      </c>
      <c r="F23" t="s">
        <v>60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R23">
        <v>0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  <c r="AB23">
        <v>2</v>
      </c>
      <c r="AC23">
        <v>1</v>
      </c>
      <c r="AD23">
        <v>1</v>
      </c>
      <c r="AQ23">
        <v>2</v>
      </c>
      <c r="AR23">
        <v>2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</v>
      </c>
      <c r="BB23">
        <v>0</v>
      </c>
      <c r="BC23">
        <v>1</v>
      </c>
      <c r="BD23">
        <v>1</v>
      </c>
      <c r="BE23">
        <v>2</v>
      </c>
      <c r="BF23">
        <v>1</v>
      </c>
      <c r="BG23">
        <v>1</v>
      </c>
      <c r="BH23">
        <v>1</v>
      </c>
      <c r="BI23">
        <v>1</v>
      </c>
      <c r="BJ23">
        <v>2</v>
      </c>
      <c r="BK23">
        <v>1</v>
      </c>
      <c r="BL23">
        <v>2</v>
      </c>
      <c r="BM23">
        <v>1</v>
      </c>
      <c r="BN23">
        <v>1</v>
      </c>
    </row>
    <row r="24" spans="1:78" x14ac:dyDescent="0.15">
      <c r="A24">
        <v>10524</v>
      </c>
      <c r="B24" t="s">
        <v>63</v>
      </c>
      <c r="C24">
        <v>4</v>
      </c>
      <c r="D24" s="28" t="str">
        <f t="shared" si="0"/>
        <v>ano</v>
      </c>
      <c r="E24">
        <f t="shared" si="1"/>
        <v>62</v>
      </c>
      <c r="F24" t="s">
        <v>60</v>
      </c>
      <c r="G24">
        <v>1</v>
      </c>
      <c r="H24">
        <v>4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Q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</row>
    <row r="25" spans="1:78" x14ac:dyDescent="0.15">
      <c r="A25">
        <v>10524</v>
      </c>
      <c r="B25" t="s">
        <v>63</v>
      </c>
      <c r="C25">
        <v>5</v>
      </c>
      <c r="D25" s="28" t="str">
        <f t="shared" si="0"/>
        <v>ne</v>
      </c>
      <c r="E25">
        <f t="shared" si="1"/>
        <v>58</v>
      </c>
      <c r="F25" t="s">
        <v>60</v>
      </c>
      <c r="G25">
        <v>4</v>
      </c>
      <c r="H25">
        <v>1</v>
      </c>
      <c r="I25">
        <v>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>
        <v>1</v>
      </c>
      <c r="R25">
        <v>1</v>
      </c>
      <c r="S25">
        <v>1</v>
      </c>
      <c r="T25">
        <v>1</v>
      </c>
      <c r="U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Q25">
        <v>4</v>
      </c>
      <c r="AR25">
        <v>1</v>
      </c>
      <c r="AS25">
        <v>2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N25">
        <v>1</v>
      </c>
      <c r="BO25">
        <v>1</v>
      </c>
      <c r="BP25">
        <v>1</v>
      </c>
      <c r="BQ25">
        <v>1</v>
      </c>
      <c r="BR25">
        <v>1</v>
      </c>
    </row>
    <row r="26" spans="1:78" x14ac:dyDescent="0.15">
      <c r="A26">
        <v>10524</v>
      </c>
      <c r="B26" t="s">
        <v>63</v>
      </c>
      <c r="C26">
        <v>6</v>
      </c>
      <c r="D26" s="28" t="str">
        <f t="shared" si="0"/>
        <v>ano</v>
      </c>
      <c r="E26">
        <f t="shared" si="1"/>
        <v>73</v>
      </c>
      <c r="F26" t="s">
        <v>60</v>
      </c>
      <c r="G26">
        <v>1</v>
      </c>
      <c r="H26">
        <v>1</v>
      </c>
      <c r="I26">
        <v>1</v>
      </c>
      <c r="J26">
        <v>1</v>
      </c>
      <c r="K26">
        <v>4</v>
      </c>
      <c r="L26">
        <v>1</v>
      </c>
      <c r="M26">
        <v>1</v>
      </c>
      <c r="N26">
        <v>4</v>
      </c>
      <c r="O26">
        <v>4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</row>
    <row r="27" spans="1:78" x14ac:dyDescent="0.15">
      <c r="A27">
        <v>10524</v>
      </c>
      <c r="B27" t="s">
        <v>64</v>
      </c>
      <c r="C27">
        <v>1</v>
      </c>
      <c r="D27" s="28" t="str">
        <f t="shared" si="0"/>
        <v>ano</v>
      </c>
      <c r="E27">
        <f t="shared" si="1"/>
        <v>67</v>
      </c>
      <c r="F27" t="s">
        <v>60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N27">
        <v>1</v>
      </c>
      <c r="O27">
        <v>1</v>
      </c>
      <c r="P27">
        <v>4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V27">
        <v>1</v>
      </c>
      <c r="BW27">
        <v>1</v>
      </c>
      <c r="BX27">
        <v>1</v>
      </c>
      <c r="BY27">
        <v>1</v>
      </c>
      <c r="BZ27">
        <v>1</v>
      </c>
    </row>
    <row r="28" spans="1:78" x14ac:dyDescent="0.15">
      <c r="A28">
        <v>10524</v>
      </c>
      <c r="B28" t="s">
        <v>64</v>
      </c>
      <c r="C28">
        <v>2</v>
      </c>
      <c r="D28" s="28" t="str">
        <f t="shared" si="0"/>
        <v>ne</v>
      </c>
      <c r="E28">
        <f t="shared" si="1"/>
        <v>61</v>
      </c>
      <c r="F28" t="s">
        <v>60</v>
      </c>
      <c r="G28">
        <v>2</v>
      </c>
      <c r="H28">
        <v>2</v>
      </c>
      <c r="I28">
        <v>1</v>
      </c>
      <c r="J28">
        <v>1</v>
      </c>
      <c r="K28">
        <v>1</v>
      </c>
      <c r="L28">
        <v>4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1</v>
      </c>
      <c r="X28">
        <v>1</v>
      </c>
      <c r="Y28">
        <v>2</v>
      </c>
      <c r="Z28">
        <v>1</v>
      </c>
      <c r="AA28">
        <v>1</v>
      </c>
      <c r="AB28">
        <v>1</v>
      </c>
      <c r="AC28">
        <v>2</v>
      </c>
      <c r="AD28">
        <v>1</v>
      </c>
      <c r="AQ28">
        <v>2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1</v>
      </c>
      <c r="BE28">
        <v>1</v>
      </c>
      <c r="BF28">
        <v>2</v>
      </c>
      <c r="BG28">
        <v>1</v>
      </c>
      <c r="BH28">
        <v>1</v>
      </c>
      <c r="BI28">
        <v>2</v>
      </c>
      <c r="BJ28">
        <v>1</v>
      </c>
      <c r="BK28">
        <v>1</v>
      </c>
      <c r="BL28">
        <v>1</v>
      </c>
      <c r="BM28">
        <v>2</v>
      </c>
      <c r="BN28">
        <v>1</v>
      </c>
    </row>
    <row r="29" spans="1:78" x14ac:dyDescent="0.15">
      <c r="A29">
        <v>10524</v>
      </c>
      <c r="B29" t="s">
        <v>64</v>
      </c>
      <c r="C29">
        <v>3</v>
      </c>
      <c r="D29" s="28" t="str">
        <f t="shared" si="0"/>
        <v>ano</v>
      </c>
      <c r="E29">
        <f t="shared" si="1"/>
        <v>67</v>
      </c>
      <c r="F29" t="s">
        <v>60</v>
      </c>
      <c r="G29">
        <v>1</v>
      </c>
      <c r="H29">
        <v>1</v>
      </c>
      <c r="I29">
        <v>4</v>
      </c>
      <c r="J29">
        <v>1</v>
      </c>
      <c r="K29">
        <v>1</v>
      </c>
      <c r="L29">
        <v>4</v>
      </c>
      <c r="M29">
        <v>1</v>
      </c>
      <c r="N29">
        <v>1</v>
      </c>
      <c r="O29">
        <v>1</v>
      </c>
      <c r="P29">
        <v>4</v>
      </c>
      <c r="Q29">
        <v>1</v>
      </c>
      <c r="R29">
        <v>1</v>
      </c>
      <c r="S29">
        <v>1</v>
      </c>
      <c r="T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I29">
        <v>1</v>
      </c>
      <c r="AJ29">
        <v>1</v>
      </c>
      <c r="AK29">
        <v>1</v>
      </c>
      <c r="AL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O29">
        <v>1</v>
      </c>
      <c r="BP29">
        <v>1</v>
      </c>
      <c r="BQ29">
        <v>1</v>
      </c>
      <c r="BS29">
        <v>1</v>
      </c>
      <c r="BT29">
        <v>1</v>
      </c>
      <c r="BU29">
        <v>1</v>
      </c>
      <c r="BV29">
        <v>1</v>
      </c>
    </row>
    <row r="30" spans="1:78" x14ac:dyDescent="0.15">
      <c r="A30">
        <v>10524</v>
      </c>
      <c r="B30" t="s">
        <v>64</v>
      </c>
      <c r="C30">
        <v>4</v>
      </c>
      <c r="D30" s="28" t="str">
        <f t="shared" si="0"/>
        <v>ano</v>
      </c>
      <c r="E30">
        <f t="shared" si="1"/>
        <v>64</v>
      </c>
      <c r="F30" t="s">
        <v>60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</row>
    <row r="31" spans="1:78" x14ac:dyDescent="0.15">
      <c r="A31">
        <v>10524</v>
      </c>
      <c r="B31" t="s">
        <v>64</v>
      </c>
      <c r="C31">
        <v>5</v>
      </c>
      <c r="D31" s="28" t="str">
        <f t="shared" si="0"/>
        <v>ne</v>
      </c>
      <c r="E31">
        <f t="shared" si="1"/>
        <v>60</v>
      </c>
      <c r="F31" t="s">
        <v>60</v>
      </c>
      <c r="G31">
        <v>2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Q31">
        <v>2</v>
      </c>
      <c r="AR31">
        <v>1</v>
      </c>
      <c r="AS31">
        <v>2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</row>
    <row r="32" spans="1:78" x14ac:dyDescent="0.15">
      <c r="A32">
        <v>10524</v>
      </c>
      <c r="B32" t="s">
        <v>64</v>
      </c>
      <c r="C32">
        <v>6</v>
      </c>
      <c r="D32" s="28" t="str">
        <f t="shared" si="0"/>
        <v>ne</v>
      </c>
      <c r="E32">
        <f t="shared" si="1"/>
        <v>58</v>
      </c>
      <c r="F32" t="s">
        <v>60</v>
      </c>
      <c r="G32">
        <v>1</v>
      </c>
      <c r="H32">
        <v>1</v>
      </c>
      <c r="I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I32">
        <v>1</v>
      </c>
      <c r="AJ32">
        <v>1</v>
      </c>
      <c r="AK32">
        <v>1</v>
      </c>
      <c r="AL32">
        <v>1</v>
      </c>
      <c r="AQ32">
        <v>1</v>
      </c>
      <c r="AR32">
        <v>1</v>
      </c>
      <c r="AS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S32">
        <v>1</v>
      </c>
      <c r="BT32">
        <v>1</v>
      </c>
      <c r="BU32">
        <v>1</v>
      </c>
      <c r="BV32">
        <v>1</v>
      </c>
    </row>
    <row r="33" spans="1:78" x14ac:dyDescent="0.15">
      <c r="A33">
        <v>10524</v>
      </c>
      <c r="B33" t="s">
        <v>64</v>
      </c>
      <c r="C33">
        <v>7</v>
      </c>
      <c r="D33" s="28" t="str">
        <f t="shared" si="0"/>
        <v>ne</v>
      </c>
      <c r="E33">
        <f t="shared" si="1"/>
        <v>60</v>
      </c>
      <c r="F33" t="s">
        <v>60</v>
      </c>
      <c r="G33">
        <v>2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Q33">
        <v>2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</row>
    <row r="34" spans="1:78" x14ac:dyDescent="0.15">
      <c r="A34">
        <v>10524</v>
      </c>
      <c r="B34" t="s">
        <v>65</v>
      </c>
      <c r="C34">
        <v>1</v>
      </c>
      <c r="D34" s="28" t="str">
        <f t="shared" si="0"/>
        <v>ano</v>
      </c>
      <c r="E34">
        <f t="shared" si="1"/>
        <v>58</v>
      </c>
      <c r="F34" t="s">
        <v>59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Z34">
        <v>1</v>
      </c>
      <c r="AB34">
        <v>1</v>
      </c>
      <c r="AC34">
        <v>1</v>
      </c>
      <c r="AD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S34">
        <v>1</v>
      </c>
      <c r="AT34">
        <v>1</v>
      </c>
      <c r="AU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J34">
        <v>1</v>
      </c>
      <c r="BL34">
        <v>1</v>
      </c>
      <c r="BM34">
        <v>1</v>
      </c>
      <c r="BN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</row>
    <row r="35" spans="1:78" x14ac:dyDescent="0.15">
      <c r="A35">
        <v>10524</v>
      </c>
      <c r="B35" t="s">
        <v>65</v>
      </c>
      <c r="C35">
        <v>2</v>
      </c>
      <c r="D35" s="28" t="str">
        <f t="shared" si="0"/>
        <v>ano</v>
      </c>
      <c r="E35">
        <f t="shared" si="1"/>
        <v>58</v>
      </c>
      <c r="F35" t="s">
        <v>59</v>
      </c>
      <c r="G35">
        <v>1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2</v>
      </c>
      <c r="T35">
        <v>2</v>
      </c>
      <c r="U35">
        <v>1</v>
      </c>
      <c r="V35">
        <v>1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  <c r="AC35">
        <v>2</v>
      </c>
      <c r="AD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2</v>
      </c>
      <c r="BD35">
        <v>2</v>
      </c>
      <c r="BE35">
        <v>1</v>
      </c>
      <c r="BF35">
        <v>1</v>
      </c>
      <c r="BG35">
        <v>2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2</v>
      </c>
      <c r="BN35">
        <v>1</v>
      </c>
    </row>
    <row r="36" spans="1:78" x14ac:dyDescent="0.15">
      <c r="A36">
        <v>10524</v>
      </c>
      <c r="B36" t="s">
        <v>65</v>
      </c>
      <c r="C36">
        <v>3</v>
      </c>
      <c r="D36" s="28" t="str">
        <f t="shared" si="0"/>
        <v>ano</v>
      </c>
      <c r="E36">
        <f t="shared" si="1"/>
        <v>56</v>
      </c>
      <c r="F36" t="s">
        <v>59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T36">
        <v>1</v>
      </c>
      <c r="U36">
        <v>1</v>
      </c>
      <c r="V36">
        <v>1</v>
      </c>
      <c r="W36">
        <v>1</v>
      </c>
      <c r="X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G36">
        <v>1</v>
      </c>
      <c r="AI36">
        <v>1</v>
      </c>
      <c r="AJ36">
        <v>1</v>
      </c>
      <c r="AK36">
        <v>1</v>
      </c>
      <c r="AL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Q36">
        <v>1</v>
      </c>
      <c r="BS36">
        <v>1</v>
      </c>
      <c r="BT36">
        <v>1</v>
      </c>
      <c r="BU36">
        <v>1</v>
      </c>
      <c r="BV36">
        <v>1</v>
      </c>
    </row>
    <row r="37" spans="1:78" x14ac:dyDescent="0.15">
      <c r="A37">
        <v>10524</v>
      </c>
      <c r="B37" t="s">
        <v>65</v>
      </c>
      <c r="C37">
        <v>4</v>
      </c>
      <c r="D37" s="28" t="str">
        <f t="shared" si="0"/>
        <v>ne</v>
      </c>
      <c r="E37">
        <f t="shared" si="1"/>
        <v>50</v>
      </c>
      <c r="F37" t="s">
        <v>59</v>
      </c>
      <c r="G37">
        <v>1</v>
      </c>
      <c r="I37">
        <v>1</v>
      </c>
      <c r="J37">
        <v>1</v>
      </c>
      <c r="K37">
        <v>1</v>
      </c>
      <c r="L37">
        <v>1</v>
      </c>
      <c r="N37">
        <v>1</v>
      </c>
      <c r="O37">
        <v>1</v>
      </c>
      <c r="P37">
        <v>1</v>
      </c>
      <c r="Q37">
        <v>1</v>
      </c>
      <c r="R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AA37">
        <v>1</v>
      </c>
      <c r="AC37">
        <v>1</v>
      </c>
      <c r="AD37">
        <v>1</v>
      </c>
      <c r="AE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Q37">
        <v>1</v>
      </c>
      <c r="AS37">
        <v>1</v>
      </c>
      <c r="AT37">
        <v>1</v>
      </c>
      <c r="AU37">
        <v>1</v>
      </c>
      <c r="AV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K37">
        <v>1</v>
      </c>
      <c r="BM37">
        <v>1</v>
      </c>
      <c r="BN37">
        <v>1</v>
      </c>
      <c r="BO37">
        <v>1</v>
      </c>
      <c r="BR37">
        <v>1</v>
      </c>
      <c r="BS37">
        <v>1</v>
      </c>
      <c r="BT37">
        <v>1</v>
      </c>
      <c r="BU37">
        <v>1</v>
      </c>
      <c r="BV37">
        <v>1</v>
      </c>
    </row>
    <row r="38" spans="1:78" x14ac:dyDescent="0.15">
      <c r="A38">
        <v>10524</v>
      </c>
      <c r="B38" t="s">
        <v>65</v>
      </c>
      <c r="C38">
        <v>5</v>
      </c>
      <c r="D38" s="28" t="str">
        <f t="shared" si="0"/>
        <v>ano</v>
      </c>
      <c r="E38">
        <f t="shared" si="1"/>
        <v>64</v>
      </c>
      <c r="F38" t="s">
        <v>59</v>
      </c>
      <c r="G38">
        <v>4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Q38">
        <v>4</v>
      </c>
      <c r="AR38">
        <v>1</v>
      </c>
      <c r="AS38">
        <v>2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</row>
    <row r="39" spans="1:78" x14ac:dyDescent="0.15">
      <c r="A39">
        <v>10524</v>
      </c>
      <c r="B39" t="s">
        <v>65</v>
      </c>
      <c r="C39">
        <v>6</v>
      </c>
      <c r="D39" s="28" t="str">
        <f t="shared" si="0"/>
        <v>ano</v>
      </c>
      <c r="E39">
        <f t="shared" si="1"/>
        <v>56</v>
      </c>
      <c r="F39" t="s">
        <v>59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R39">
        <v>1</v>
      </c>
      <c r="S39">
        <v>1</v>
      </c>
      <c r="T39">
        <v>1</v>
      </c>
      <c r="U39">
        <v>1</v>
      </c>
      <c r="V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E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O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</row>
    <row r="40" spans="1:78" x14ac:dyDescent="0.15">
      <c r="A40">
        <v>10524</v>
      </c>
      <c r="B40" t="s">
        <v>65</v>
      </c>
      <c r="C40">
        <v>7</v>
      </c>
      <c r="D40" s="28" t="str">
        <f t="shared" si="0"/>
        <v>ne</v>
      </c>
      <c r="E40">
        <f t="shared" si="1"/>
        <v>58</v>
      </c>
      <c r="F40" t="s">
        <v>60</v>
      </c>
      <c r="G40">
        <v>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Q40">
        <v>3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</row>
    <row r="41" spans="1:78" x14ac:dyDescent="0.15">
      <c r="A41">
        <v>10524</v>
      </c>
      <c r="B41" t="s">
        <v>66</v>
      </c>
      <c r="C41">
        <v>1</v>
      </c>
      <c r="D41" s="28" t="str">
        <f t="shared" si="0"/>
        <v>ne</v>
      </c>
      <c r="E41">
        <f t="shared" si="1"/>
        <v>56</v>
      </c>
      <c r="F41" t="s">
        <v>60</v>
      </c>
      <c r="G41">
        <v>0</v>
      </c>
      <c r="H41">
        <v>1</v>
      </c>
      <c r="J41">
        <v>1</v>
      </c>
      <c r="K41">
        <v>1</v>
      </c>
      <c r="L41">
        <v>1</v>
      </c>
      <c r="M41">
        <v>1</v>
      </c>
      <c r="O41">
        <v>1</v>
      </c>
      <c r="P41">
        <v>1</v>
      </c>
      <c r="Q41">
        <v>1</v>
      </c>
      <c r="R41">
        <v>1</v>
      </c>
      <c r="S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B41">
        <v>1</v>
      </c>
      <c r="AD41">
        <v>1</v>
      </c>
      <c r="AE41">
        <v>1</v>
      </c>
      <c r="AF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T41">
        <v>1</v>
      </c>
      <c r="AU41">
        <v>1</v>
      </c>
      <c r="AV41">
        <v>1</v>
      </c>
      <c r="AW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L41">
        <v>1</v>
      </c>
      <c r="BN41">
        <v>1</v>
      </c>
      <c r="BO41">
        <v>1</v>
      </c>
      <c r="BP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</row>
    <row r="42" spans="1:78" x14ac:dyDescent="0.15">
      <c r="A42">
        <v>10524</v>
      </c>
      <c r="B42" t="s">
        <v>66</v>
      </c>
      <c r="C42">
        <v>2</v>
      </c>
      <c r="D42" s="28" t="str">
        <f t="shared" si="0"/>
        <v>ano</v>
      </c>
      <c r="E42">
        <f t="shared" si="1"/>
        <v>64</v>
      </c>
      <c r="F42" t="s">
        <v>59</v>
      </c>
      <c r="G42">
        <v>2</v>
      </c>
      <c r="H42">
        <v>2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R42">
        <v>2</v>
      </c>
      <c r="S42">
        <v>1</v>
      </c>
      <c r="T42">
        <v>2</v>
      </c>
      <c r="U42">
        <v>1</v>
      </c>
      <c r="V42">
        <v>1</v>
      </c>
      <c r="W42">
        <v>1</v>
      </c>
      <c r="X42">
        <v>1</v>
      </c>
      <c r="Y42">
        <v>2</v>
      </c>
      <c r="Z42">
        <v>2</v>
      </c>
      <c r="AA42">
        <v>1</v>
      </c>
      <c r="AB42">
        <v>1</v>
      </c>
      <c r="AC42">
        <v>2</v>
      </c>
      <c r="AD42">
        <v>1</v>
      </c>
      <c r="AQ42">
        <v>2</v>
      </c>
      <c r="AR42">
        <v>2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2</v>
      </c>
      <c r="BC42">
        <v>1</v>
      </c>
      <c r="BD42">
        <v>2</v>
      </c>
      <c r="BE42">
        <v>1</v>
      </c>
      <c r="BF42">
        <v>1</v>
      </c>
      <c r="BG42">
        <v>1</v>
      </c>
      <c r="BH42">
        <v>1</v>
      </c>
      <c r="BI42">
        <v>2</v>
      </c>
      <c r="BJ42">
        <v>2</v>
      </c>
      <c r="BK42">
        <v>1</v>
      </c>
      <c r="BL42">
        <v>1</v>
      </c>
      <c r="BM42">
        <v>2</v>
      </c>
      <c r="BN42">
        <v>1</v>
      </c>
    </row>
    <row r="43" spans="1:78" x14ac:dyDescent="0.15">
      <c r="A43">
        <v>10524</v>
      </c>
      <c r="B43" t="s">
        <v>66</v>
      </c>
      <c r="C43">
        <v>3</v>
      </c>
      <c r="D43" s="28" t="str">
        <f t="shared" si="0"/>
        <v>ano</v>
      </c>
      <c r="E43">
        <f t="shared" si="1"/>
        <v>56</v>
      </c>
      <c r="F43" t="s">
        <v>59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V43">
        <v>1</v>
      </c>
      <c r="W43">
        <v>1</v>
      </c>
      <c r="X43">
        <v>1</v>
      </c>
      <c r="Y43">
        <v>1</v>
      </c>
      <c r="Z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I43">
        <v>1</v>
      </c>
      <c r="AK43">
        <v>1</v>
      </c>
      <c r="AL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S43">
        <v>1</v>
      </c>
      <c r="BU43">
        <v>1</v>
      </c>
      <c r="BV43">
        <v>1</v>
      </c>
    </row>
    <row r="44" spans="1:78" x14ac:dyDescent="0.15">
      <c r="A44">
        <v>10524</v>
      </c>
      <c r="B44" t="s">
        <v>66</v>
      </c>
      <c r="C44">
        <v>4</v>
      </c>
      <c r="D44" s="28" t="str">
        <f t="shared" si="0"/>
        <v>ne</v>
      </c>
      <c r="E44">
        <f t="shared" si="1"/>
        <v>50</v>
      </c>
      <c r="F44" t="s">
        <v>59</v>
      </c>
      <c r="G44">
        <v>1</v>
      </c>
      <c r="H44">
        <v>1</v>
      </c>
      <c r="J44">
        <v>1</v>
      </c>
      <c r="K44">
        <v>1</v>
      </c>
      <c r="L44">
        <v>1</v>
      </c>
      <c r="M44">
        <v>1</v>
      </c>
      <c r="O44">
        <v>1</v>
      </c>
      <c r="P44">
        <v>1</v>
      </c>
      <c r="Q44">
        <v>1</v>
      </c>
      <c r="R44">
        <v>1</v>
      </c>
      <c r="S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B44">
        <v>1</v>
      </c>
      <c r="AD44">
        <v>1</v>
      </c>
      <c r="AE44">
        <v>1</v>
      </c>
      <c r="AF44">
        <v>1</v>
      </c>
      <c r="AI44">
        <v>1</v>
      </c>
      <c r="AJ44">
        <v>1</v>
      </c>
      <c r="AK44">
        <v>1</v>
      </c>
      <c r="AL44">
        <v>1</v>
      </c>
      <c r="AQ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L44">
        <v>1</v>
      </c>
      <c r="BN44">
        <v>1</v>
      </c>
      <c r="BO44">
        <v>1</v>
      </c>
      <c r="BP44">
        <v>1</v>
      </c>
      <c r="BS44">
        <v>1</v>
      </c>
      <c r="BT44">
        <v>1</v>
      </c>
      <c r="BU44">
        <v>1</v>
      </c>
      <c r="BV44">
        <v>1</v>
      </c>
    </row>
    <row r="45" spans="1:78" x14ac:dyDescent="0.15">
      <c r="A45">
        <v>10524</v>
      </c>
      <c r="B45" t="s">
        <v>66</v>
      </c>
      <c r="C45">
        <v>5</v>
      </c>
      <c r="D45" s="28" t="str">
        <f t="shared" si="0"/>
        <v>ano</v>
      </c>
      <c r="E45">
        <f t="shared" si="1"/>
        <v>62</v>
      </c>
      <c r="F45" t="s">
        <v>59</v>
      </c>
      <c r="G45">
        <v>3</v>
      </c>
      <c r="H45">
        <v>1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Q45">
        <v>3</v>
      </c>
      <c r="AR45">
        <v>1</v>
      </c>
      <c r="AS45">
        <v>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</row>
    <row r="46" spans="1:78" x14ac:dyDescent="0.15">
      <c r="A46">
        <v>10524</v>
      </c>
      <c r="B46" t="s">
        <v>66</v>
      </c>
      <c r="C46">
        <v>6</v>
      </c>
      <c r="D46" s="28" t="str">
        <f t="shared" si="0"/>
        <v>ano</v>
      </c>
      <c r="E46">
        <f t="shared" si="1"/>
        <v>56</v>
      </c>
      <c r="F46" t="s">
        <v>59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J46">
        <v>1</v>
      </c>
      <c r="AL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T46">
        <v>1</v>
      </c>
      <c r="BV46">
        <v>1</v>
      </c>
    </row>
    <row r="47" spans="1:78" x14ac:dyDescent="0.15">
      <c r="A47">
        <v>10524</v>
      </c>
      <c r="B47" t="s">
        <v>66</v>
      </c>
      <c r="C47">
        <v>7</v>
      </c>
      <c r="D47" s="28" t="str">
        <f t="shared" si="0"/>
        <v>ano</v>
      </c>
      <c r="E47">
        <f t="shared" si="1"/>
        <v>62</v>
      </c>
      <c r="F47" t="s">
        <v>59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Q47">
        <v>2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</row>
    <row r="48" spans="1:78" x14ac:dyDescent="0.15">
      <c r="A48">
        <v>10524</v>
      </c>
      <c r="B48" t="s">
        <v>67</v>
      </c>
      <c r="C48">
        <v>1</v>
      </c>
      <c r="D48" s="28" t="str">
        <f t="shared" si="0"/>
        <v>ano</v>
      </c>
      <c r="E48">
        <f t="shared" si="1"/>
        <v>64</v>
      </c>
      <c r="F48" t="s">
        <v>60</v>
      </c>
      <c r="G48">
        <v>1</v>
      </c>
      <c r="H48">
        <v>1</v>
      </c>
      <c r="J48">
        <v>1</v>
      </c>
      <c r="K48">
        <v>1</v>
      </c>
      <c r="L48">
        <v>1</v>
      </c>
      <c r="M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B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T48">
        <v>1</v>
      </c>
      <c r="AU48">
        <v>1</v>
      </c>
      <c r="AV48">
        <v>1</v>
      </c>
      <c r="AW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L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</row>
    <row r="49" spans="1:78" x14ac:dyDescent="0.15">
      <c r="A49">
        <v>10524</v>
      </c>
      <c r="B49" t="s">
        <v>67</v>
      </c>
      <c r="C49">
        <v>2</v>
      </c>
      <c r="D49" s="28" t="str">
        <f t="shared" si="0"/>
        <v>ne</v>
      </c>
      <c r="E49">
        <f t="shared" si="1"/>
        <v>60</v>
      </c>
      <c r="F49" t="s">
        <v>60</v>
      </c>
      <c r="G49">
        <v>2</v>
      </c>
      <c r="H49">
        <v>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2</v>
      </c>
      <c r="T49">
        <v>1</v>
      </c>
      <c r="U49">
        <v>2</v>
      </c>
      <c r="V49">
        <v>2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2</v>
      </c>
      <c r="AD49">
        <v>1</v>
      </c>
      <c r="AQ49">
        <v>2</v>
      </c>
      <c r="AR49">
        <v>2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1</v>
      </c>
      <c r="BE49">
        <v>2</v>
      </c>
      <c r="BF49">
        <v>2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2</v>
      </c>
      <c r="BN49">
        <v>1</v>
      </c>
    </row>
    <row r="50" spans="1:78" x14ac:dyDescent="0.15">
      <c r="A50">
        <v>10524</v>
      </c>
      <c r="B50" t="s">
        <v>67</v>
      </c>
      <c r="C50">
        <v>3</v>
      </c>
      <c r="D50" s="28" t="str">
        <f t="shared" si="0"/>
        <v>ne</v>
      </c>
      <c r="E50">
        <f t="shared" si="1"/>
        <v>60</v>
      </c>
      <c r="F50" t="s">
        <v>60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</row>
    <row r="51" spans="1:78" x14ac:dyDescent="0.15">
      <c r="A51">
        <v>10524</v>
      </c>
      <c r="B51" t="s">
        <v>67</v>
      </c>
      <c r="C51">
        <v>4</v>
      </c>
      <c r="D51" s="28" t="str">
        <f t="shared" si="0"/>
        <v>ne</v>
      </c>
      <c r="E51">
        <f t="shared" si="1"/>
        <v>58</v>
      </c>
      <c r="F51" t="s">
        <v>60</v>
      </c>
      <c r="G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Q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R51">
        <v>1</v>
      </c>
      <c r="BS51">
        <v>1</v>
      </c>
      <c r="BT51">
        <v>1</v>
      </c>
      <c r="BU51">
        <v>1</v>
      </c>
      <c r="BV51">
        <v>1</v>
      </c>
    </row>
    <row r="52" spans="1:78" x14ac:dyDescent="0.15">
      <c r="A52">
        <v>10524</v>
      </c>
      <c r="B52" t="s">
        <v>67</v>
      </c>
      <c r="C52">
        <v>5</v>
      </c>
      <c r="D52" s="28" t="str">
        <f t="shared" si="0"/>
        <v>ano</v>
      </c>
      <c r="E52">
        <f t="shared" si="1"/>
        <v>72</v>
      </c>
      <c r="F52" t="s">
        <v>60</v>
      </c>
      <c r="G52">
        <v>3</v>
      </c>
      <c r="H52">
        <v>1</v>
      </c>
      <c r="I52">
        <v>4</v>
      </c>
      <c r="J52">
        <v>1</v>
      </c>
      <c r="K52">
        <v>4</v>
      </c>
      <c r="L52">
        <v>1</v>
      </c>
      <c r="M52">
        <v>4</v>
      </c>
      <c r="N52">
        <v>4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Q52">
        <v>3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</row>
    <row r="53" spans="1:78" x14ac:dyDescent="0.15">
      <c r="A53">
        <v>10524</v>
      </c>
      <c r="B53" t="s">
        <v>67</v>
      </c>
      <c r="C53">
        <v>6</v>
      </c>
      <c r="D53" s="28" t="str">
        <f t="shared" si="0"/>
        <v>ano</v>
      </c>
      <c r="E53">
        <f t="shared" si="1"/>
        <v>70</v>
      </c>
      <c r="F53" t="s">
        <v>60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4</v>
      </c>
      <c r="O53">
        <v>1</v>
      </c>
      <c r="P53">
        <v>4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</row>
    <row r="54" spans="1:78" x14ac:dyDescent="0.15">
      <c r="A54">
        <v>10524</v>
      </c>
      <c r="B54" t="s">
        <v>67</v>
      </c>
      <c r="C54">
        <v>7</v>
      </c>
      <c r="D54" s="28" t="str">
        <f t="shared" si="0"/>
        <v>ano</v>
      </c>
      <c r="E54">
        <f t="shared" si="1"/>
        <v>63</v>
      </c>
      <c r="F54" t="s">
        <v>60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4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Q54">
        <v>2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</row>
    <row r="55" spans="1:78" x14ac:dyDescent="0.15">
      <c r="A55">
        <v>10524</v>
      </c>
      <c r="B55" t="s">
        <v>68</v>
      </c>
      <c r="C55">
        <v>1</v>
      </c>
      <c r="D55" s="28" t="str">
        <f t="shared" si="0"/>
        <v>ano</v>
      </c>
      <c r="E55">
        <f t="shared" si="1"/>
        <v>58</v>
      </c>
      <c r="F55" t="s">
        <v>59</v>
      </c>
      <c r="G55">
        <v>1</v>
      </c>
      <c r="H55">
        <v>1</v>
      </c>
      <c r="J55">
        <v>1</v>
      </c>
      <c r="K55">
        <v>1</v>
      </c>
      <c r="L55">
        <v>1</v>
      </c>
      <c r="M55">
        <v>1</v>
      </c>
      <c r="O55">
        <v>1</v>
      </c>
      <c r="P55">
        <v>1</v>
      </c>
      <c r="Q55">
        <v>1</v>
      </c>
      <c r="R55">
        <v>1</v>
      </c>
      <c r="S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B55">
        <v>1</v>
      </c>
      <c r="AD55">
        <v>1</v>
      </c>
      <c r="AE55">
        <v>1</v>
      </c>
      <c r="AF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T55">
        <v>1</v>
      </c>
      <c r="AU55">
        <v>1</v>
      </c>
      <c r="AV55">
        <v>1</v>
      </c>
      <c r="AW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L55">
        <v>1</v>
      </c>
      <c r="BN55">
        <v>1</v>
      </c>
      <c r="BO55">
        <v>1</v>
      </c>
      <c r="BP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</row>
    <row r="56" spans="1:78" x14ac:dyDescent="0.15">
      <c r="A56">
        <v>10524</v>
      </c>
      <c r="B56" t="s">
        <v>68</v>
      </c>
      <c r="C56">
        <v>2</v>
      </c>
      <c r="D56" s="28" t="str">
        <f t="shared" si="0"/>
        <v>ano</v>
      </c>
      <c r="E56">
        <f t="shared" si="1"/>
        <v>54</v>
      </c>
      <c r="F56" t="s">
        <v>59</v>
      </c>
      <c r="G56">
        <v>0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2</v>
      </c>
      <c r="T56">
        <v>1</v>
      </c>
      <c r="U56">
        <v>2</v>
      </c>
      <c r="V56">
        <v>1</v>
      </c>
      <c r="W56">
        <v>1</v>
      </c>
      <c r="X56">
        <v>2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Q56">
        <v>0</v>
      </c>
      <c r="AR56">
        <v>2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1</v>
      </c>
      <c r="BE56">
        <v>2</v>
      </c>
      <c r="BF56">
        <v>1</v>
      </c>
      <c r="BG56">
        <v>1</v>
      </c>
      <c r="BH56">
        <v>2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</row>
    <row r="57" spans="1:78" x14ac:dyDescent="0.15">
      <c r="A57">
        <v>10524</v>
      </c>
      <c r="B57" t="s">
        <v>68</v>
      </c>
      <c r="C57">
        <v>3</v>
      </c>
      <c r="D57" s="28" t="str">
        <f t="shared" si="0"/>
        <v>ne</v>
      </c>
      <c r="E57">
        <f t="shared" si="1"/>
        <v>50</v>
      </c>
      <c r="F57" t="s">
        <v>59</v>
      </c>
      <c r="G57">
        <v>1</v>
      </c>
      <c r="I57">
        <v>1</v>
      </c>
      <c r="J57">
        <v>1</v>
      </c>
      <c r="K57">
        <v>1</v>
      </c>
      <c r="L57">
        <v>1</v>
      </c>
      <c r="N57">
        <v>1</v>
      </c>
      <c r="O57">
        <v>1</v>
      </c>
      <c r="P57">
        <v>1</v>
      </c>
      <c r="Q57">
        <v>1</v>
      </c>
      <c r="R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AA57">
        <v>1</v>
      </c>
      <c r="AC57">
        <v>1</v>
      </c>
      <c r="AD57">
        <v>1</v>
      </c>
      <c r="AE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Q57">
        <v>1</v>
      </c>
      <c r="AS57">
        <v>1</v>
      </c>
      <c r="AT57">
        <v>1</v>
      </c>
      <c r="AU57">
        <v>1</v>
      </c>
      <c r="AV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K57">
        <v>1</v>
      </c>
      <c r="BM57">
        <v>1</v>
      </c>
      <c r="BN57">
        <v>1</v>
      </c>
      <c r="BO57">
        <v>1</v>
      </c>
      <c r="BR57">
        <v>1</v>
      </c>
      <c r="BS57">
        <v>1</v>
      </c>
      <c r="BT57">
        <v>1</v>
      </c>
      <c r="BU57">
        <v>1</v>
      </c>
      <c r="BV57">
        <v>1</v>
      </c>
    </row>
    <row r="58" spans="1:78" x14ac:dyDescent="0.15">
      <c r="A58">
        <v>10524</v>
      </c>
      <c r="B58" t="s">
        <v>68</v>
      </c>
      <c r="C58">
        <v>4</v>
      </c>
      <c r="D58" s="28" t="str">
        <f t="shared" si="0"/>
        <v>ne</v>
      </c>
      <c r="E58">
        <f t="shared" si="1"/>
        <v>50</v>
      </c>
      <c r="F58" t="s">
        <v>59</v>
      </c>
      <c r="G58">
        <v>1</v>
      </c>
      <c r="H58">
        <v>1</v>
      </c>
      <c r="I58">
        <v>1</v>
      </c>
      <c r="K58">
        <v>1</v>
      </c>
      <c r="L58">
        <v>1</v>
      </c>
      <c r="M58">
        <v>1</v>
      </c>
      <c r="N58">
        <v>1</v>
      </c>
      <c r="P58">
        <v>1</v>
      </c>
      <c r="Q58">
        <v>1</v>
      </c>
      <c r="R58">
        <v>1</v>
      </c>
      <c r="S58">
        <v>1</v>
      </c>
      <c r="T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C58">
        <v>1</v>
      </c>
      <c r="AE58">
        <v>1</v>
      </c>
      <c r="AF58">
        <v>1</v>
      </c>
      <c r="AG58">
        <v>1</v>
      </c>
      <c r="AJ58">
        <v>1</v>
      </c>
      <c r="AK58">
        <v>1</v>
      </c>
      <c r="AL58">
        <v>1</v>
      </c>
      <c r="AQ58">
        <v>1</v>
      </c>
      <c r="AR58">
        <v>1</v>
      </c>
      <c r="AS58">
        <v>1</v>
      </c>
      <c r="AU58">
        <v>1</v>
      </c>
      <c r="AV58">
        <v>1</v>
      </c>
      <c r="AW58">
        <v>1</v>
      </c>
      <c r="AX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M58">
        <v>1</v>
      </c>
      <c r="BO58">
        <v>1</v>
      </c>
      <c r="BP58">
        <v>1</v>
      </c>
      <c r="BQ58">
        <v>1</v>
      </c>
      <c r="BT58">
        <v>1</v>
      </c>
      <c r="BU58">
        <v>1</v>
      </c>
      <c r="BV58">
        <v>1</v>
      </c>
    </row>
    <row r="59" spans="1:78" x14ac:dyDescent="0.15">
      <c r="A59">
        <v>10524</v>
      </c>
      <c r="B59" t="s">
        <v>68</v>
      </c>
      <c r="C59">
        <v>5</v>
      </c>
      <c r="D59" s="28" t="str">
        <f t="shared" si="0"/>
        <v>ano</v>
      </c>
      <c r="E59">
        <f t="shared" si="1"/>
        <v>56</v>
      </c>
      <c r="F59" t="s">
        <v>59</v>
      </c>
      <c r="G59">
        <v>4</v>
      </c>
      <c r="H59">
        <v>1</v>
      </c>
      <c r="I59">
        <v>2</v>
      </c>
      <c r="J59">
        <v>1</v>
      </c>
      <c r="K59">
        <v>1</v>
      </c>
      <c r="L59">
        <v>1</v>
      </c>
      <c r="M59">
        <v>1</v>
      </c>
      <c r="O59">
        <v>1</v>
      </c>
      <c r="P59">
        <v>1</v>
      </c>
      <c r="Q59">
        <v>1</v>
      </c>
      <c r="R59">
        <v>1</v>
      </c>
      <c r="S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B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Q59">
        <v>4</v>
      </c>
      <c r="AR59">
        <v>1</v>
      </c>
      <c r="AS59">
        <v>2</v>
      </c>
      <c r="AT59">
        <v>1</v>
      </c>
      <c r="AU59">
        <v>1</v>
      </c>
      <c r="AV59">
        <v>1</v>
      </c>
      <c r="AW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L59">
        <v>1</v>
      </c>
      <c r="BN59">
        <v>1</v>
      </c>
      <c r="BO59">
        <v>1</v>
      </c>
      <c r="BP59">
        <v>1</v>
      </c>
      <c r="BQ59">
        <v>1</v>
      </c>
      <c r="BR59">
        <v>1</v>
      </c>
    </row>
    <row r="60" spans="1:78" x14ac:dyDescent="0.15">
      <c r="A60">
        <v>10524</v>
      </c>
      <c r="B60" t="s">
        <v>68</v>
      </c>
      <c r="C60">
        <v>6</v>
      </c>
      <c r="D60" s="28" t="str">
        <f t="shared" si="0"/>
        <v>ano</v>
      </c>
      <c r="E60">
        <f t="shared" si="1"/>
        <v>64</v>
      </c>
      <c r="F60" t="s">
        <v>59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</row>
    <row r="61" spans="1:78" x14ac:dyDescent="0.15">
      <c r="A61">
        <v>10524</v>
      </c>
      <c r="B61" t="s">
        <v>68</v>
      </c>
      <c r="C61">
        <v>7</v>
      </c>
      <c r="D61" s="28" t="str">
        <f t="shared" si="0"/>
        <v>ne</v>
      </c>
      <c r="E61">
        <f t="shared" si="1"/>
        <v>50</v>
      </c>
      <c r="F61" t="s">
        <v>59</v>
      </c>
      <c r="G61">
        <v>3</v>
      </c>
      <c r="H61">
        <v>1</v>
      </c>
      <c r="I61">
        <v>1</v>
      </c>
      <c r="K61">
        <v>1</v>
      </c>
      <c r="L61">
        <v>1</v>
      </c>
      <c r="M61">
        <v>1</v>
      </c>
      <c r="N61">
        <v>1</v>
      </c>
      <c r="P61">
        <v>1</v>
      </c>
      <c r="Q61">
        <v>1</v>
      </c>
      <c r="R61">
        <v>1</v>
      </c>
      <c r="S61">
        <v>1</v>
      </c>
      <c r="T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C61">
        <v>1</v>
      </c>
      <c r="AE61">
        <v>1</v>
      </c>
      <c r="AF61">
        <v>1</v>
      </c>
      <c r="AG61">
        <v>1</v>
      </c>
      <c r="AJ61">
        <v>1</v>
      </c>
      <c r="AQ61">
        <v>3</v>
      </c>
      <c r="AR61">
        <v>1</v>
      </c>
      <c r="AS61">
        <v>1</v>
      </c>
      <c r="AU61">
        <v>1</v>
      </c>
      <c r="AV61">
        <v>1</v>
      </c>
      <c r="AW61">
        <v>1</v>
      </c>
      <c r="AX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M61">
        <v>1</v>
      </c>
      <c r="BO61">
        <v>1</v>
      </c>
      <c r="BP61">
        <v>1</v>
      </c>
      <c r="BQ61">
        <v>1</v>
      </c>
      <c r="BT61">
        <v>1</v>
      </c>
    </row>
    <row r="62" spans="1:78" x14ac:dyDescent="0.15">
      <c r="A62">
        <v>10524</v>
      </c>
      <c r="B62" t="s">
        <v>69</v>
      </c>
      <c r="C62">
        <v>1</v>
      </c>
      <c r="D62" s="28" t="str">
        <f t="shared" si="0"/>
        <v>ano</v>
      </c>
      <c r="E62">
        <f t="shared" si="1"/>
        <v>58</v>
      </c>
      <c r="F62" t="s">
        <v>59</v>
      </c>
      <c r="G62">
        <v>1</v>
      </c>
      <c r="H62">
        <v>1</v>
      </c>
      <c r="J62">
        <v>1</v>
      </c>
      <c r="K62">
        <v>1</v>
      </c>
      <c r="L62">
        <v>1</v>
      </c>
      <c r="M62">
        <v>1</v>
      </c>
      <c r="O62">
        <v>1</v>
      </c>
      <c r="P62">
        <v>1</v>
      </c>
      <c r="Q62">
        <v>1</v>
      </c>
      <c r="R62">
        <v>1</v>
      </c>
      <c r="S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B62">
        <v>1</v>
      </c>
      <c r="AD62">
        <v>1</v>
      </c>
      <c r="AE62">
        <v>1</v>
      </c>
      <c r="AF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T62">
        <v>1</v>
      </c>
      <c r="AU62">
        <v>1</v>
      </c>
      <c r="AV62">
        <v>1</v>
      </c>
      <c r="AW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L62">
        <v>1</v>
      </c>
      <c r="BN62">
        <v>1</v>
      </c>
      <c r="BO62">
        <v>1</v>
      </c>
      <c r="BP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</row>
    <row r="63" spans="1:78" x14ac:dyDescent="0.15">
      <c r="A63">
        <v>10524</v>
      </c>
      <c r="B63" t="s">
        <v>69</v>
      </c>
      <c r="C63">
        <v>2</v>
      </c>
      <c r="D63" s="28" t="str">
        <f t="shared" si="0"/>
        <v>ano</v>
      </c>
      <c r="E63">
        <f t="shared" si="1"/>
        <v>58</v>
      </c>
      <c r="F63" t="s">
        <v>59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2</v>
      </c>
      <c r="S63">
        <v>0</v>
      </c>
      <c r="T63">
        <v>1</v>
      </c>
      <c r="U63">
        <v>2</v>
      </c>
      <c r="V63">
        <v>2</v>
      </c>
      <c r="W63">
        <v>1</v>
      </c>
      <c r="X63">
        <v>2</v>
      </c>
      <c r="Y63">
        <v>1</v>
      </c>
      <c r="Z63">
        <v>1</v>
      </c>
      <c r="AA63">
        <v>1</v>
      </c>
      <c r="AB63">
        <v>1</v>
      </c>
      <c r="AC63">
        <v>2</v>
      </c>
      <c r="AD63">
        <v>1</v>
      </c>
      <c r="AQ63">
        <v>2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2</v>
      </c>
      <c r="BC63">
        <v>0</v>
      </c>
      <c r="BD63">
        <v>1</v>
      </c>
      <c r="BE63">
        <v>2</v>
      </c>
      <c r="BF63">
        <v>2</v>
      </c>
      <c r="BG63">
        <v>1</v>
      </c>
      <c r="BH63">
        <v>2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1</v>
      </c>
    </row>
    <row r="64" spans="1:78" x14ac:dyDescent="0.15">
      <c r="A64">
        <v>10524</v>
      </c>
      <c r="B64" t="s">
        <v>69</v>
      </c>
      <c r="C64">
        <v>3</v>
      </c>
      <c r="D64" s="28" t="str">
        <f t="shared" si="0"/>
        <v>ne</v>
      </c>
      <c r="E64">
        <f t="shared" si="1"/>
        <v>58</v>
      </c>
      <c r="F64" t="s">
        <v>60</v>
      </c>
      <c r="G64">
        <v>1</v>
      </c>
      <c r="H64">
        <v>4</v>
      </c>
      <c r="I64">
        <v>1</v>
      </c>
      <c r="J64">
        <v>1</v>
      </c>
      <c r="K64">
        <v>1</v>
      </c>
      <c r="L64">
        <v>1</v>
      </c>
      <c r="M64">
        <v>4</v>
      </c>
      <c r="N64">
        <v>1</v>
      </c>
      <c r="O64">
        <v>1</v>
      </c>
      <c r="P64">
        <v>1</v>
      </c>
      <c r="Q64">
        <v>1</v>
      </c>
      <c r="R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AA64">
        <v>1</v>
      </c>
      <c r="AC64">
        <v>1</v>
      </c>
      <c r="AD64">
        <v>1</v>
      </c>
      <c r="AE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Q64">
        <v>1</v>
      </c>
      <c r="AS64">
        <v>1</v>
      </c>
      <c r="AT64">
        <v>1</v>
      </c>
      <c r="AU64">
        <v>1</v>
      </c>
      <c r="AV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K64">
        <v>1</v>
      </c>
      <c r="BM64">
        <v>1</v>
      </c>
      <c r="BN64">
        <v>1</v>
      </c>
      <c r="BO64">
        <v>1</v>
      </c>
      <c r="BR64">
        <v>1</v>
      </c>
      <c r="BS64">
        <v>1</v>
      </c>
      <c r="BT64">
        <v>1</v>
      </c>
      <c r="BU64">
        <v>1</v>
      </c>
      <c r="BV64">
        <v>1</v>
      </c>
    </row>
    <row r="65" spans="1:78" x14ac:dyDescent="0.15">
      <c r="A65">
        <v>10524</v>
      </c>
      <c r="B65" t="s">
        <v>69</v>
      </c>
      <c r="C65">
        <v>4</v>
      </c>
      <c r="D65" s="28" t="str">
        <f t="shared" si="0"/>
        <v>ne</v>
      </c>
      <c r="E65">
        <f t="shared" si="1"/>
        <v>50</v>
      </c>
      <c r="F65" t="s">
        <v>60</v>
      </c>
      <c r="G65">
        <v>1</v>
      </c>
      <c r="H65">
        <v>1</v>
      </c>
      <c r="I65">
        <v>1</v>
      </c>
      <c r="J65">
        <v>1</v>
      </c>
      <c r="L65">
        <v>1</v>
      </c>
      <c r="M65">
        <v>1</v>
      </c>
      <c r="N65">
        <v>1</v>
      </c>
      <c r="O65">
        <v>1</v>
      </c>
      <c r="Q65">
        <v>1</v>
      </c>
      <c r="R65">
        <v>1</v>
      </c>
      <c r="S65">
        <v>1</v>
      </c>
      <c r="T65">
        <v>1</v>
      </c>
      <c r="U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D65">
        <v>1</v>
      </c>
      <c r="AF65">
        <v>1</v>
      </c>
      <c r="AG65">
        <v>1</v>
      </c>
      <c r="AH65">
        <v>1</v>
      </c>
      <c r="AK65">
        <v>1</v>
      </c>
      <c r="AL65">
        <v>1</v>
      </c>
      <c r="AQ65">
        <v>1</v>
      </c>
      <c r="AR65">
        <v>1</v>
      </c>
      <c r="AS65">
        <v>1</v>
      </c>
      <c r="AT65">
        <v>1</v>
      </c>
      <c r="AV65">
        <v>1</v>
      </c>
      <c r="AW65">
        <v>1</v>
      </c>
      <c r="AX65">
        <v>1</v>
      </c>
      <c r="AY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N65">
        <v>1</v>
      </c>
      <c r="BP65">
        <v>1</v>
      </c>
      <c r="BQ65">
        <v>1</v>
      </c>
      <c r="BR65">
        <v>1</v>
      </c>
      <c r="BU65">
        <v>1</v>
      </c>
      <c r="BV65">
        <v>1</v>
      </c>
    </row>
    <row r="66" spans="1:78" x14ac:dyDescent="0.15">
      <c r="A66">
        <v>10524</v>
      </c>
      <c r="B66" t="s">
        <v>69</v>
      </c>
      <c r="C66">
        <v>5</v>
      </c>
      <c r="D66" s="28" t="str">
        <f t="shared" si="0"/>
        <v>ano</v>
      </c>
      <c r="E66">
        <f t="shared" si="1"/>
        <v>56</v>
      </c>
      <c r="F66" t="s">
        <v>59</v>
      </c>
      <c r="G66">
        <v>4</v>
      </c>
      <c r="H66">
        <v>1</v>
      </c>
      <c r="I66">
        <v>2</v>
      </c>
      <c r="J66">
        <v>1</v>
      </c>
      <c r="K66">
        <v>1</v>
      </c>
      <c r="L66">
        <v>1</v>
      </c>
      <c r="M66">
        <v>1</v>
      </c>
      <c r="O66">
        <v>1</v>
      </c>
      <c r="P66">
        <v>1</v>
      </c>
      <c r="Q66">
        <v>1</v>
      </c>
      <c r="R66">
        <v>1</v>
      </c>
      <c r="S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B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Q66">
        <v>4</v>
      </c>
      <c r="AR66">
        <v>1</v>
      </c>
      <c r="AS66">
        <v>2</v>
      </c>
      <c r="AT66">
        <v>1</v>
      </c>
      <c r="AU66">
        <v>1</v>
      </c>
      <c r="AV66">
        <v>1</v>
      </c>
      <c r="AW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L66">
        <v>1</v>
      </c>
      <c r="BN66">
        <v>1</v>
      </c>
      <c r="BO66">
        <v>1</v>
      </c>
      <c r="BP66">
        <v>1</v>
      </c>
      <c r="BQ66">
        <v>1</v>
      </c>
      <c r="BR66">
        <v>1</v>
      </c>
    </row>
    <row r="67" spans="1:78" x14ac:dyDescent="0.15">
      <c r="A67">
        <v>10524</v>
      </c>
      <c r="B67" t="s">
        <v>69</v>
      </c>
      <c r="C67">
        <v>6</v>
      </c>
      <c r="D67" s="28" t="str">
        <f t="shared" ref="D67:D117" si="2">IF(OR(AND(F67="Standardní",E67&gt;=53),AND(F67="Ztížené",E67&gt;=62)),"ano","ne")</f>
        <v>ne</v>
      </c>
      <c r="E67">
        <f t="shared" ref="E67:E117" si="3">SUM(G67:BZ67)</f>
        <v>50</v>
      </c>
      <c r="F67" t="s">
        <v>59</v>
      </c>
      <c r="G67">
        <v>1</v>
      </c>
      <c r="H67">
        <v>1</v>
      </c>
      <c r="I67">
        <v>1</v>
      </c>
      <c r="K67">
        <v>1</v>
      </c>
      <c r="L67">
        <v>1</v>
      </c>
      <c r="M67">
        <v>1</v>
      </c>
      <c r="N67">
        <v>1</v>
      </c>
      <c r="P67">
        <v>1</v>
      </c>
      <c r="Q67">
        <v>1</v>
      </c>
      <c r="R67">
        <v>1</v>
      </c>
      <c r="S67">
        <v>1</v>
      </c>
      <c r="T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C67">
        <v>1</v>
      </c>
      <c r="AE67">
        <v>1</v>
      </c>
      <c r="AF67">
        <v>1</v>
      </c>
      <c r="AG67">
        <v>1</v>
      </c>
      <c r="AJ67">
        <v>1</v>
      </c>
      <c r="AK67">
        <v>1</v>
      </c>
      <c r="AL67">
        <v>1</v>
      </c>
      <c r="AQ67">
        <v>1</v>
      </c>
      <c r="AR67">
        <v>1</v>
      </c>
      <c r="AS67">
        <v>1</v>
      </c>
      <c r="AU67">
        <v>1</v>
      </c>
      <c r="AV67">
        <v>1</v>
      </c>
      <c r="AW67">
        <v>1</v>
      </c>
      <c r="AX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M67">
        <v>1</v>
      </c>
      <c r="BO67">
        <v>1</v>
      </c>
      <c r="BP67">
        <v>1</v>
      </c>
      <c r="BQ67">
        <v>1</v>
      </c>
      <c r="BT67">
        <v>1</v>
      </c>
      <c r="BU67">
        <v>1</v>
      </c>
      <c r="BV67">
        <v>1</v>
      </c>
    </row>
    <row r="68" spans="1:78" x14ac:dyDescent="0.15">
      <c r="A68">
        <v>10524</v>
      </c>
      <c r="B68" t="s">
        <v>69</v>
      </c>
      <c r="C68">
        <v>7</v>
      </c>
      <c r="D68" s="28" t="str">
        <f t="shared" si="2"/>
        <v>ano</v>
      </c>
      <c r="E68">
        <f t="shared" si="3"/>
        <v>60</v>
      </c>
      <c r="F68" t="s">
        <v>59</v>
      </c>
      <c r="G68">
        <v>2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Q68">
        <v>2</v>
      </c>
      <c r="AR68">
        <v>1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</row>
    <row r="69" spans="1:78" x14ac:dyDescent="0.15">
      <c r="A69">
        <v>10524</v>
      </c>
      <c r="B69" t="s">
        <v>70</v>
      </c>
      <c r="C69">
        <v>1</v>
      </c>
      <c r="D69" s="28" t="str">
        <f t="shared" si="2"/>
        <v>ano</v>
      </c>
      <c r="E69">
        <f t="shared" si="3"/>
        <v>58</v>
      </c>
      <c r="F69" t="s">
        <v>59</v>
      </c>
      <c r="G69">
        <v>1</v>
      </c>
      <c r="H69">
        <v>1</v>
      </c>
      <c r="J69">
        <v>1</v>
      </c>
      <c r="K69">
        <v>1</v>
      </c>
      <c r="L69">
        <v>1</v>
      </c>
      <c r="M69">
        <v>1</v>
      </c>
      <c r="O69">
        <v>1</v>
      </c>
      <c r="P69">
        <v>1</v>
      </c>
      <c r="Q69">
        <v>1</v>
      </c>
      <c r="R69">
        <v>1</v>
      </c>
      <c r="S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B69">
        <v>1</v>
      </c>
      <c r="AD69">
        <v>1</v>
      </c>
      <c r="AE69">
        <v>1</v>
      </c>
      <c r="AF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T69">
        <v>1</v>
      </c>
      <c r="AU69">
        <v>1</v>
      </c>
      <c r="AV69">
        <v>1</v>
      </c>
      <c r="AW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L69">
        <v>1</v>
      </c>
      <c r="BN69">
        <v>1</v>
      </c>
      <c r="BO69">
        <v>1</v>
      </c>
      <c r="BP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</row>
    <row r="70" spans="1:78" x14ac:dyDescent="0.15">
      <c r="A70">
        <v>10524</v>
      </c>
      <c r="B70" t="s">
        <v>70</v>
      </c>
      <c r="C70">
        <v>2</v>
      </c>
      <c r="D70" s="28" t="str">
        <f t="shared" si="2"/>
        <v>ano</v>
      </c>
      <c r="E70">
        <f t="shared" si="3"/>
        <v>56</v>
      </c>
      <c r="F70" t="s">
        <v>59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2</v>
      </c>
      <c r="S70">
        <v>1</v>
      </c>
      <c r="T70">
        <v>1</v>
      </c>
      <c r="U70">
        <v>2</v>
      </c>
      <c r="V70">
        <v>0</v>
      </c>
      <c r="W70">
        <v>1</v>
      </c>
      <c r="X70">
        <v>2</v>
      </c>
      <c r="Y70">
        <v>1</v>
      </c>
      <c r="Z70">
        <v>1</v>
      </c>
      <c r="AA70">
        <v>1</v>
      </c>
      <c r="AB70">
        <v>2</v>
      </c>
      <c r="AC70">
        <v>2</v>
      </c>
      <c r="AD70">
        <v>1</v>
      </c>
      <c r="AQ70">
        <v>2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2</v>
      </c>
      <c r="BB70">
        <v>2</v>
      </c>
      <c r="BC70">
        <v>1</v>
      </c>
      <c r="BD70">
        <v>1</v>
      </c>
      <c r="BE70">
        <v>2</v>
      </c>
      <c r="BF70">
        <v>0</v>
      </c>
      <c r="BG70">
        <v>1</v>
      </c>
      <c r="BH70">
        <v>2</v>
      </c>
      <c r="BI70">
        <v>1</v>
      </c>
      <c r="BJ70">
        <v>1</v>
      </c>
      <c r="BK70">
        <v>1</v>
      </c>
      <c r="BL70">
        <v>2</v>
      </c>
      <c r="BM70">
        <v>2</v>
      </c>
      <c r="BN70">
        <v>1</v>
      </c>
    </row>
    <row r="71" spans="1:78" x14ac:dyDescent="0.15">
      <c r="A71">
        <v>10524</v>
      </c>
      <c r="B71" t="s">
        <v>70</v>
      </c>
      <c r="C71">
        <v>3</v>
      </c>
      <c r="D71" s="28" t="str">
        <f t="shared" si="2"/>
        <v>ano</v>
      </c>
      <c r="E71">
        <f t="shared" si="3"/>
        <v>53</v>
      </c>
      <c r="F71" t="s">
        <v>59</v>
      </c>
      <c r="J71">
        <v>1</v>
      </c>
      <c r="K71">
        <v>1</v>
      </c>
      <c r="M71">
        <v>1</v>
      </c>
      <c r="N71">
        <v>1</v>
      </c>
      <c r="O71">
        <v>1</v>
      </c>
      <c r="P71">
        <v>1</v>
      </c>
      <c r="Q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Z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J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</row>
    <row r="72" spans="1:78" x14ac:dyDescent="0.15">
      <c r="A72">
        <v>10524</v>
      </c>
      <c r="B72" t="s">
        <v>70</v>
      </c>
      <c r="C72">
        <v>4</v>
      </c>
      <c r="D72" s="28" t="str">
        <f t="shared" si="2"/>
        <v>ne</v>
      </c>
      <c r="E72">
        <f t="shared" si="3"/>
        <v>47</v>
      </c>
      <c r="F72" t="s">
        <v>59</v>
      </c>
      <c r="K72">
        <v>1</v>
      </c>
      <c r="L72">
        <v>1</v>
      </c>
      <c r="M72">
        <v>1</v>
      </c>
      <c r="N72">
        <v>1</v>
      </c>
      <c r="P72">
        <v>1</v>
      </c>
      <c r="Q72">
        <v>1</v>
      </c>
      <c r="R72">
        <v>1</v>
      </c>
      <c r="S72">
        <v>1</v>
      </c>
      <c r="T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C72">
        <v>1</v>
      </c>
      <c r="AE72">
        <v>1</v>
      </c>
      <c r="AF72">
        <v>1</v>
      </c>
      <c r="AG72">
        <v>1</v>
      </c>
      <c r="AJ72">
        <v>1</v>
      </c>
      <c r="AK72">
        <v>1</v>
      </c>
      <c r="AL72">
        <v>1</v>
      </c>
      <c r="AQ72">
        <v>1</v>
      </c>
      <c r="AR72">
        <v>1</v>
      </c>
      <c r="AS72">
        <v>1</v>
      </c>
      <c r="AU72">
        <v>1</v>
      </c>
      <c r="AV72">
        <v>1</v>
      </c>
      <c r="AW72">
        <v>1</v>
      </c>
      <c r="AX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M72">
        <v>1</v>
      </c>
      <c r="BO72">
        <v>1</v>
      </c>
      <c r="BP72">
        <v>1</v>
      </c>
      <c r="BQ72">
        <v>1</v>
      </c>
      <c r="BT72">
        <v>1</v>
      </c>
      <c r="BU72">
        <v>1</v>
      </c>
      <c r="BV72">
        <v>1</v>
      </c>
    </row>
    <row r="73" spans="1:78" x14ac:dyDescent="0.15">
      <c r="A73">
        <v>10524</v>
      </c>
      <c r="B73" t="s">
        <v>70</v>
      </c>
      <c r="C73">
        <v>5</v>
      </c>
      <c r="D73" s="28" t="str">
        <f t="shared" si="2"/>
        <v>ano</v>
      </c>
      <c r="E73">
        <f t="shared" si="3"/>
        <v>64</v>
      </c>
      <c r="F73" t="s">
        <v>59</v>
      </c>
      <c r="G73">
        <v>4</v>
      </c>
      <c r="H73">
        <v>1</v>
      </c>
      <c r="I73">
        <v>2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Q73">
        <v>4</v>
      </c>
      <c r="AR73">
        <v>1</v>
      </c>
      <c r="AS73">
        <v>2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</row>
    <row r="74" spans="1:78" x14ac:dyDescent="0.15">
      <c r="A74">
        <v>10524</v>
      </c>
      <c r="B74" t="s">
        <v>70</v>
      </c>
      <c r="C74">
        <v>6</v>
      </c>
      <c r="D74" s="28" t="str">
        <f t="shared" si="2"/>
        <v>ne</v>
      </c>
      <c r="E74">
        <f t="shared" si="3"/>
        <v>50</v>
      </c>
      <c r="F74" t="s">
        <v>59</v>
      </c>
      <c r="G74">
        <v>1</v>
      </c>
      <c r="I74">
        <v>1</v>
      </c>
      <c r="J74">
        <v>1</v>
      </c>
      <c r="K74">
        <v>1</v>
      </c>
      <c r="L74">
        <v>1</v>
      </c>
      <c r="N74">
        <v>1</v>
      </c>
      <c r="O74">
        <v>1</v>
      </c>
      <c r="P74">
        <v>1</v>
      </c>
      <c r="Q74">
        <v>1</v>
      </c>
      <c r="R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AA74">
        <v>1</v>
      </c>
      <c r="AC74">
        <v>1</v>
      </c>
      <c r="AD74">
        <v>1</v>
      </c>
      <c r="AE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Q74">
        <v>1</v>
      </c>
      <c r="AS74">
        <v>1</v>
      </c>
      <c r="AT74">
        <v>1</v>
      </c>
      <c r="AU74">
        <v>1</v>
      </c>
      <c r="AV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K74">
        <v>1</v>
      </c>
      <c r="BM74">
        <v>1</v>
      </c>
      <c r="BN74">
        <v>1</v>
      </c>
      <c r="BO74">
        <v>1</v>
      </c>
      <c r="BR74">
        <v>1</v>
      </c>
      <c r="BS74">
        <v>1</v>
      </c>
      <c r="BT74">
        <v>1</v>
      </c>
      <c r="BU74">
        <v>1</v>
      </c>
      <c r="BV74">
        <v>1</v>
      </c>
    </row>
    <row r="75" spans="1:78" x14ac:dyDescent="0.15">
      <c r="A75">
        <v>10524</v>
      </c>
      <c r="B75" t="s">
        <v>70</v>
      </c>
      <c r="C75">
        <v>7</v>
      </c>
      <c r="D75" s="28" t="str">
        <f t="shared" si="2"/>
        <v>ano</v>
      </c>
      <c r="E75">
        <f t="shared" si="3"/>
        <v>64</v>
      </c>
      <c r="F75" t="s">
        <v>59</v>
      </c>
      <c r="G75">
        <v>3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Q75">
        <v>3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</row>
    <row r="76" spans="1:78" x14ac:dyDescent="0.15">
      <c r="A76">
        <v>10524</v>
      </c>
      <c r="B76" t="s">
        <v>71</v>
      </c>
      <c r="C76">
        <v>1</v>
      </c>
      <c r="D76" s="28" t="str">
        <f t="shared" si="2"/>
        <v>ne</v>
      </c>
      <c r="E76">
        <f t="shared" si="3"/>
        <v>58</v>
      </c>
      <c r="F76" t="s">
        <v>60</v>
      </c>
      <c r="G76">
        <v>1</v>
      </c>
      <c r="H76">
        <v>1</v>
      </c>
      <c r="I76">
        <v>1</v>
      </c>
      <c r="K76">
        <v>1</v>
      </c>
      <c r="L76">
        <v>1</v>
      </c>
      <c r="M76">
        <v>1</v>
      </c>
      <c r="N76">
        <v>1</v>
      </c>
      <c r="P76">
        <v>1</v>
      </c>
      <c r="Q76">
        <v>1</v>
      </c>
      <c r="R76">
        <v>1</v>
      </c>
      <c r="S76">
        <v>1</v>
      </c>
      <c r="T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C76">
        <v>1</v>
      </c>
      <c r="AE76">
        <v>1</v>
      </c>
      <c r="AF76">
        <v>1</v>
      </c>
      <c r="AG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U76">
        <v>1</v>
      </c>
      <c r="AV76">
        <v>1</v>
      </c>
      <c r="AW76">
        <v>1</v>
      </c>
      <c r="AX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M76">
        <v>1</v>
      </c>
      <c r="BO76">
        <v>1</v>
      </c>
      <c r="BP76">
        <v>1</v>
      </c>
      <c r="BQ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</row>
    <row r="77" spans="1:78" x14ac:dyDescent="0.15">
      <c r="A77">
        <v>10524</v>
      </c>
      <c r="B77" t="s">
        <v>71</v>
      </c>
      <c r="C77">
        <v>2</v>
      </c>
      <c r="D77" s="28" t="str">
        <f t="shared" si="2"/>
        <v>ano</v>
      </c>
      <c r="E77">
        <f t="shared" si="3"/>
        <v>64</v>
      </c>
      <c r="F77" t="s">
        <v>60</v>
      </c>
      <c r="G77">
        <v>2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2</v>
      </c>
      <c r="S77">
        <v>2</v>
      </c>
      <c r="T77">
        <v>1</v>
      </c>
      <c r="U77">
        <v>1</v>
      </c>
      <c r="V77">
        <v>2</v>
      </c>
      <c r="W77">
        <v>1</v>
      </c>
      <c r="X77">
        <v>1</v>
      </c>
      <c r="Y77">
        <v>2</v>
      </c>
      <c r="Z77">
        <v>2</v>
      </c>
      <c r="AA77">
        <v>1</v>
      </c>
      <c r="AB77">
        <v>1</v>
      </c>
      <c r="AC77">
        <v>2</v>
      </c>
      <c r="AD77">
        <v>1</v>
      </c>
      <c r="AQ77">
        <v>2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2</v>
      </c>
      <c r="BC77">
        <v>2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2</v>
      </c>
      <c r="BJ77">
        <v>2</v>
      </c>
      <c r="BK77">
        <v>1</v>
      </c>
      <c r="BL77">
        <v>1</v>
      </c>
      <c r="BM77">
        <v>2</v>
      </c>
      <c r="BN77">
        <v>1</v>
      </c>
    </row>
    <row r="78" spans="1:78" x14ac:dyDescent="0.15">
      <c r="A78">
        <v>10524</v>
      </c>
      <c r="B78" t="s">
        <v>71</v>
      </c>
      <c r="C78">
        <v>3</v>
      </c>
      <c r="D78" s="28" t="str">
        <f t="shared" si="2"/>
        <v>ne</v>
      </c>
      <c r="E78">
        <f t="shared" si="3"/>
        <v>56</v>
      </c>
      <c r="F78" t="s">
        <v>60</v>
      </c>
      <c r="G78">
        <v>1</v>
      </c>
      <c r="H78">
        <v>1</v>
      </c>
      <c r="I78">
        <v>1</v>
      </c>
      <c r="J78">
        <v>1</v>
      </c>
      <c r="L78">
        <v>1</v>
      </c>
      <c r="M78">
        <v>1</v>
      </c>
      <c r="N78">
        <v>1</v>
      </c>
      <c r="O78">
        <v>1</v>
      </c>
      <c r="P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Y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Q78">
        <v>1</v>
      </c>
      <c r="AR78">
        <v>1</v>
      </c>
      <c r="AS78">
        <v>1</v>
      </c>
      <c r="AT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I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</row>
    <row r="79" spans="1:78" x14ac:dyDescent="0.15">
      <c r="A79">
        <v>10524</v>
      </c>
      <c r="B79" t="s">
        <v>71</v>
      </c>
      <c r="C79">
        <v>4</v>
      </c>
      <c r="D79" s="28" t="str">
        <f t="shared" si="2"/>
        <v>ne</v>
      </c>
      <c r="E79">
        <f t="shared" si="3"/>
        <v>50</v>
      </c>
      <c r="F79" t="s">
        <v>60</v>
      </c>
      <c r="G79">
        <v>1</v>
      </c>
      <c r="H79">
        <v>1</v>
      </c>
      <c r="I79">
        <v>1</v>
      </c>
      <c r="J79">
        <v>1</v>
      </c>
      <c r="L79">
        <v>1</v>
      </c>
      <c r="M79">
        <v>1</v>
      </c>
      <c r="N79">
        <v>1</v>
      </c>
      <c r="O79">
        <v>1</v>
      </c>
      <c r="Q79">
        <v>1</v>
      </c>
      <c r="R79">
        <v>1</v>
      </c>
      <c r="S79">
        <v>1</v>
      </c>
      <c r="T79">
        <v>1</v>
      </c>
      <c r="U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D79">
        <v>1</v>
      </c>
      <c r="AF79">
        <v>1</v>
      </c>
      <c r="AG79">
        <v>1</v>
      </c>
      <c r="AH79">
        <v>1</v>
      </c>
      <c r="AK79">
        <v>1</v>
      </c>
      <c r="AL79">
        <v>1</v>
      </c>
      <c r="AQ79">
        <v>1</v>
      </c>
      <c r="AR79">
        <v>1</v>
      </c>
      <c r="AS79">
        <v>1</v>
      </c>
      <c r="AT79">
        <v>1</v>
      </c>
      <c r="AV79">
        <v>1</v>
      </c>
      <c r="AW79">
        <v>1</v>
      </c>
      <c r="AX79">
        <v>1</v>
      </c>
      <c r="AY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N79">
        <v>1</v>
      </c>
      <c r="BP79">
        <v>1</v>
      </c>
      <c r="BQ79">
        <v>1</v>
      </c>
      <c r="BR79">
        <v>1</v>
      </c>
      <c r="BU79">
        <v>1</v>
      </c>
      <c r="BV79">
        <v>1</v>
      </c>
    </row>
    <row r="80" spans="1:78" x14ac:dyDescent="0.15">
      <c r="A80">
        <v>10524</v>
      </c>
      <c r="B80" t="s">
        <v>71</v>
      </c>
      <c r="C80">
        <v>5</v>
      </c>
      <c r="D80" s="28" t="str">
        <f t="shared" si="2"/>
        <v>ano</v>
      </c>
      <c r="E80">
        <f t="shared" si="3"/>
        <v>64</v>
      </c>
      <c r="F80" t="s">
        <v>60</v>
      </c>
      <c r="G80">
        <v>4</v>
      </c>
      <c r="H80">
        <v>1</v>
      </c>
      <c r="I80">
        <v>2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Q80">
        <v>4</v>
      </c>
      <c r="AR80">
        <v>1</v>
      </c>
      <c r="AS80">
        <v>2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</row>
    <row r="81" spans="1:78" x14ac:dyDescent="0.15">
      <c r="A81">
        <v>10524</v>
      </c>
      <c r="B81" t="s">
        <v>71</v>
      </c>
      <c r="C81">
        <v>6</v>
      </c>
      <c r="D81" s="28" t="str">
        <f t="shared" si="2"/>
        <v>ne</v>
      </c>
      <c r="E81">
        <f t="shared" si="3"/>
        <v>50</v>
      </c>
      <c r="F81" t="s">
        <v>60</v>
      </c>
      <c r="G81">
        <v>1</v>
      </c>
      <c r="H81">
        <v>1</v>
      </c>
      <c r="J81">
        <v>1</v>
      </c>
      <c r="K81">
        <v>1</v>
      </c>
      <c r="L81">
        <v>1</v>
      </c>
      <c r="M81">
        <v>1</v>
      </c>
      <c r="O81">
        <v>1</v>
      </c>
      <c r="P81">
        <v>1</v>
      </c>
      <c r="Q81">
        <v>1</v>
      </c>
      <c r="R81">
        <v>1</v>
      </c>
      <c r="S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B81">
        <v>1</v>
      </c>
      <c r="AD81">
        <v>1</v>
      </c>
      <c r="AE81">
        <v>1</v>
      </c>
      <c r="AF81">
        <v>1</v>
      </c>
      <c r="AI81">
        <v>1</v>
      </c>
      <c r="AJ81">
        <v>1</v>
      </c>
      <c r="AK81">
        <v>1</v>
      </c>
      <c r="AL81">
        <v>1</v>
      </c>
      <c r="AQ81">
        <v>1</v>
      </c>
      <c r="AR81">
        <v>1</v>
      </c>
      <c r="AT81">
        <v>1</v>
      </c>
      <c r="AU81">
        <v>1</v>
      </c>
      <c r="AV81">
        <v>1</v>
      </c>
      <c r="AW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L81">
        <v>1</v>
      </c>
      <c r="BN81">
        <v>1</v>
      </c>
      <c r="BO81">
        <v>1</v>
      </c>
      <c r="BP81">
        <v>1</v>
      </c>
      <c r="BS81">
        <v>1</v>
      </c>
      <c r="BT81">
        <v>1</v>
      </c>
      <c r="BU81">
        <v>1</v>
      </c>
      <c r="BV81">
        <v>1</v>
      </c>
    </row>
    <row r="82" spans="1:78" x14ac:dyDescent="0.15">
      <c r="A82">
        <v>10524</v>
      </c>
      <c r="B82" t="s">
        <v>71</v>
      </c>
      <c r="C82">
        <v>7</v>
      </c>
      <c r="D82" s="28" t="str">
        <f t="shared" si="2"/>
        <v>ne</v>
      </c>
      <c r="E82">
        <f t="shared" si="3"/>
        <v>54</v>
      </c>
      <c r="F82" t="s">
        <v>60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</row>
    <row r="83" spans="1:78" x14ac:dyDescent="0.15">
      <c r="A83">
        <v>10524</v>
      </c>
      <c r="B83" t="s">
        <v>72</v>
      </c>
      <c r="C83">
        <v>1</v>
      </c>
      <c r="D83" s="28" t="str">
        <f t="shared" si="2"/>
        <v>ano</v>
      </c>
      <c r="E83">
        <f t="shared" si="3"/>
        <v>64</v>
      </c>
      <c r="F83" t="s">
        <v>59</v>
      </c>
      <c r="G83">
        <v>1</v>
      </c>
      <c r="H83">
        <v>1</v>
      </c>
      <c r="I83">
        <v>1</v>
      </c>
      <c r="K83">
        <v>1</v>
      </c>
      <c r="L83">
        <v>1</v>
      </c>
      <c r="M83">
        <v>1</v>
      </c>
      <c r="N83">
        <v>1</v>
      </c>
      <c r="O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X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H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</row>
    <row r="84" spans="1:78" x14ac:dyDescent="0.15">
      <c r="A84">
        <v>10524</v>
      </c>
      <c r="B84" t="s">
        <v>72</v>
      </c>
      <c r="C84">
        <v>2</v>
      </c>
      <c r="D84" s="28" t="str">
        <f t="shared" si="2"/>
        <v>ano</v>
      </c>
      <c r="E84">
        <f t="shared" si="3"/>
        <v>54</v>
      </c>
      <c r="F84" t="s">
        <v>59</v>
      </c>
      <c r="G84">
        <v>1</v>
      </c>
      <c r="H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2</v>
      </c>
      <c r="T84">
        <v>2</v>
      </c>
      <c r="U84">
        <v>0</v>
      </c>
      <c r="V84">
        <v>1</v>
      </c>
      <c r="W84">
        <v>2</v>
      </c>
      <c r="X84">
        <v>1</v>
      </c>
      <c r="Y84">
        <v>0</v>
      </c>
      <c r="Z84">
        <v>1</v>
      </c>
      <c r="AA84">
        <v>1</v>
      </c>
      <c r="AB84">
        <v>1</v>
      </c>
      <c r="AC84">
        <v>2</v>
      </c>
      <c r="AD84">
        <v>1</v>
      </c>
      <c r="AQ84">
        <v>1</v>
      </c>
      <c r="AR84">
        <v>2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2</v>
      </c>
      <c r="BD84">
        <v>2</v>
      </c>
      <c r="BE84">
        <v>0</v>
      </c>
      <c r="BF84">
        <v>1</v>
      </c>
      <c r="BG84">
        <v>2</v>
      </c>
      <c r="BH84">
        <v>1</v>
      </c>
      <c r="BI84">
        <v>0</v>
      </c>
      <c r="BJ84">
        <v>1</v>
      </c>
      <c r="BK84">
        <v>1</v>
      </c>
      <c r="BL84">
        <v>1</v>
      </c>
      <c r="BM84">
        <v>2</v>
      </c>
      <c r="BN84">
        <v>1</v>
      </c>
    </row>
    <row r="85" spans="1:78" x14ac:dyDescent="0.15">
      <c r="A85">
        <v>10524</v>
      </c>
      <c r="B85" t="s">
        <v>72</v>
      </c>
      <c r="C85">
        <v>3</v>
      </c>
      <c r="D85" s="28" t="str">
        <f t="shared" si="2"/>
        <v>ne</v>
      </c>
      <c r="E85">
        <f t="shared" si="3"/>
        <v>43</v>
      </c>
      <c r="F85" t="s">
        <v>59</v>
      </c>
      <c r="G85">
        <v>1</v>
      </c>
      <c r="I85">
        <v>1</v>
      </c>
      <c r="J85">
        <v>1</v>
      </c>
      <c r="K85">
        <v>1</v>
      </c>
      <c r="U85">
        <v>1</v>
      </c>
      <c r="V85">
        <v>1</v>
      </c>
      <c r="W85">
        <v>1</v>
      </c>
      <c r="X85">
        <v>1</v>
      </c>
      <c r="Y85">
        <v>1</v>
      </c>
      <c r="AA85">
        <v>1</v>
      </c>
      <c r="AC85">
        <v>1</v>
      </c>
      <c r="AD85">
        <v>1</v>
      </c>
      <c r="AE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Q85">
        <v>1</v>
      </c>
      <c r="AS85">
        <v>1</v>
      </c>
      <c r="AT85">
        <v>1</v>
      </c>
      <c r="AU85">
        <v>1</v>
      </c>
      <c r="AV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K85">
        <v>1</v>
      </c>
      <c r="BM85">
        <v>1</v>
      </c>
      <c r="BN85">
        <v>1</v>
      </c>
      <c r="BO85">
        <v>1</v>
      </c>
      <c r="BR85">
        <v>1</v>
      </c>
      <c r="BS85">
        <v>1</v>
      </c>
      <c r="BT85">
        <v>1</v>
      </c>
      <c r="BU85">
        <v>1</v>
      </c>
      <c r="BV85">
        <v>1</v>
      </c>
    </row>
    <row r="86" spans="1:78" x14ac:dyDescent="0.15">
      <c r="A86">
        <v>10524</v>
      </c>
      <c r="B86" t="s">
        <v>72</v>
      </c>
      <c r="C86">
        <v>4</v>
      </c>
      <c r="D86" s="28" t="str">
        <f t="shared" si="2"/>
        <v>ne</v>
      </c>
      <c r="E86">
        <f t="shared" si="3"/>
        <v>42</v>
      </c>
      <c r="F86" t="s">
        <v>59</v>
      </c>
      <c r="G86">
        <v>1</v>
      </c>
      <c r="H86">
        <v>1</v>
      </c>
      <c r="I86">
        <v>1</v>
      </c>
      <c r="J86">
        <v>1</v>
      </c>
      <c r="U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D86">
        <v>1</v>
      </c>
      <c r="AF86">
        <v>1</v>
      </c>
      <c r="AG86">
        <v>1</v>
      </c>
      <c r="AH86">
        <v>1</v>
      </c>
      <c r="AK86">
        <v>1</v>
      </c>
      <c r="AL86">
        <v>1</v>
      </c>
      <c r="AQ86">
        <v>1</v>
      </c>
      <c r="AR86">
        <v>1</v>
      </c>
      <c r="AS86">
        <v>1</v>
      </c>
      <c r="AT86">
        <v>1</v>
      </c>
      <c r="AV86">
        <v>1</v>
      </c>
      <c r="AW86">
        <v>1</v>
      </c>
      <c r="AX86">
        <v>1</v>
      </c>
      <c r="AY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N86">
        <v>1</v>
      </c>
      <c r="BP86">
        <v>1</v>
      </c>
      <c r="BQ86">
        <v>1</v>
      </c>
      <c r="BR86">
        <v>1</v>
      </c>
      <c r="BU86">
        <v>1</v>
      </c>
      <c r="BV86">
        <v>1</v>
      </c>
    </row>
    <row r="87" spans="1:78" x14ac:dyDescent="0.15">
      <c r="A87">
        <v>10524</v>
      </c>
      <c r="B87" t="s">
        <v>72</v>
      </c>
      <c r="C87">
        <v>5</v>
      </c>
      <c r="D87" s="28" t="str">
        <f t="shared" si="2"/>
        <v>ano</v>
      </c>
      <c r="E87">
        <f t="shared" si="3"/>
        <v>55</v>
      </c>
      <c r="F87" t="s">
        <v>59</v>
      </c>
      <c r="G87">
        <v>4</v>
      </c>
      <c r="H87">
        <v>1</v>
      </c>
      <c r="I87">
        <v>2</v>
      </c>
      <c r="J87">
        <v>1</v>
      </c>
      <c r="K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Q87">
        <v>4</v>
      </c>
      <c r="AR87">
        <v>1</v>
      </c>
      <c r="AS87">
        <v>2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</row>
    <row r="88" spans="1:78" x14ac:dyDescent="0.15">
      <c r="A88">
        <v>10524</v>
      </c>
      <c r="B88" t="s">
        <v>72</v>
      </c>
      <c r="C88">
        <v>6</v>
      </c>
      <c r="D88" s="28" t="str">
        <f t="shared" si="2"/>
        <v>ne</v>
      </c>
      <c r="E88">
        <f t="shared" si="3"/>
        <v>47</v>
      </c>
      <c r="F88" t="s">
        <v>59</v>
      </c>
      <c r="G88">
        <v>1</v>
      </c>
      <c r="H88">
        <v>1</v>
      </c>
      <c r="I88">
        <v>1</v>
      </c>
      <c r="J88">
        <v>1</v>
      </c>
      <c r="K88">
        <v>1</v>
      </c>
      <c r="U88">
        <v>1</v>
      </c>
      <c r="V88">
        <v>1</v>
      </c>
      <c r="W88">
        <v>1</v>
      </c>
      <c r="X88">
        <v>1</v>
      </c>
      <c r="Z88">
        <v>1</v>
      </c>
      <c r="AB88">
        <v>1</v>
      </c>
      <c r="AC88">
        <v>1</v>
      </c>
      <c r="AD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J88">
        <v>1</v>
      </c>
      <c r="BL88">
        <v>1</v>
      </c>
      <c r="BM88">
        <v>1</v>
      </c>
      <c r="BN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</row>
    <row r="89" spans="1:78" x14ac:dyDescent="0.15">
      <c r="A89">
        <v>10524</v>
      </c>
      <c r="B89" t="s">
        <v>72</v>
      </c>
      <c r="C89">
        <v>7</v>
      </c>
      <c r="D89" s="28" t="str">
        <f t="shared" si="2"/>
        <v>ano</v>
      </c>
      <c r="E89">
        <f t="shared" si="3"/>
        <v>62</v>
      </c>
      <c r="F89" t="s">
        <v>59</v>
      </c>
      <c r="G89">
        <v>3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Q89">
        <v>3</v>
      </c>
      <c r="AR89">
        <v>1</v>
      </c>
      <c r="AS89">
        <v>1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</row>
    <row r="90" spans="1:78" x14ac:dyDescent="0.15">
      <c r="A90">
        <v>10524</v>
      </c>
      <c r="B90" t="s">
        <v>73</v>
      </c>
      <c r="C90">
        <v>1</v>
      </c>
      <c r="D90" s="28" t="str">
        <f t="shared" si="2"/>
        <v>ne</v>
      </c>
      <c r="E90">
        <f t="shared" si="3"/>
        <v>58</v>
      </c>
      <c r="F90" t="s">
        <v>60</v>
      </c>
      <c r="G90">
        <v>1</v>
      </c>
      <c r="H90">
        <v>1</v>
      </c>
      <c r="J90">
        <v>1</v>
      </c>
      <c r="K90">
        <v>1</v>
      </c>
      <c r="L90">
        <v>1</v>
      </c>
      <c r="M90">
        <v>1</v>
      </c>
      <c r="O90">
        <v>1</v>
      </c>
      <c r="P90">
        <v>1</v>
      </c>
      <c r="Q90">
        <v>1</v>
      </c>
      <c r="R90">
        <v>1</v>
      </c>
      <c r="S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B90">
        <v>1</v>
      </c>
      <c r="AD90">
        <v>1</v>
      </c>
      <c r="AE90">
        <v>1</v>
      </c>
      <c r="AF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T90">
        <v>1</v>
      </c>
      <c r="AU90">
        <v>1</v>
      </c>
      <c r="AV90">
        <v>1</v>
      </c>
      <c r="AW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L90">
        <v>1</v>
      </c>
      <c r="BN90">
        <v>1</v>
      </c>
      <c r="BO90">
        <v>1</v>
      </c>
      <c r="BP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</row>
    <row r="91" spans="1:78" x14ac:dyDescent="0.15">
      <c r="A91">
        <v>10524</v>
      </c>
      <c r="B91" t="s">
        <v>73</v>
      </c>
      <c r="C91">
        <v>2</v>
      </c>
      <c r="D91" s="28" t="str">
        <f t="shared" si="2"/>
        <v>ano</v>
      </c>
      <c r="E91">
        <f t="shared" si="3"/>
        <v>62</v>
      </c>
      <c r="F91" t="s">
        <v>60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2</v>
      </c>
      <c r="S91">
        <v>1</v>
      </c>
      <c r="T91">
        <v>1</v>
      </c>
      <c r="U91">
        <v>2</v>
      </c>
      <c r="V91">
        <v>1</v>
      </c>
      <c r="W91">
        <v>1</v>
      </c>
      <c r="X91">
        <v>2</v>
      </c>
      <c r="Y91">
        <v>2</v>
      </c>
      <c r="Z91">
        <v>1</v>
      </c>
      <c r="AA91">
        <v>1</v>
      </c>
      <c r="AB91">
        <v>2</v>
      </c>
      <c r="AC91">
        <v>2</v>
      </c>
      <c r="AD91">
        <v>1</v>
      </c>
      <c r="AQ91">
        <v>2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0</v>
      </c>
      <c r="AX91">
        <v>1</v>
      </c>
      <c r="AY91">
        <v>1</v>
      </c>
      <c r="AZ91">
        <v>1</v>
      </c>
      <c r="BA91">
        <v>1</v>
      </c>
      <c r="BB91">
        <v>2</v>
      </c>
      <c r="BC91">
        <v>1</v>
      </c>
      <c r="BD91">
        <v>1</v>
      </c>
      <c r="BE91">
        <v>2</v>
      </c>
      <c r="BF91">
        <v>1</v>
      </c>
      <c r="BG91">
        <v>1</v>
      </c>
      <c r="BH91">
        <v>2</v>
      </c>
      <c r="BI91">
        <v>2</v>
      </c>
      <c r="BJ91">
        <v>1</v>
      </c>
      <c r="BK91">
        <v>1</v>
      </c>
      <c r="BL91">
        <v>2</v>
      </c>
      <c r="BM91">
        <v>2</v>
      </c>
      <c r="BN91">
        <v>1</v>
      </c>
    </row>
    <row r="92" spans="1:78" x14ac:dyDescent="0.15">
      <c r="A92">
        <v>10524</v>
      </c>
      <c r="B92" t="s">
        <v>73</v>
      </c>
      <c r="C92">
        <v>3</v>
      </c>
      <c r="D92" s="28" t="str">
        <f t="shared" si="2"/>
        <v>ano</v>
      </c>
      <c r="E92">
        <f t="shared" si="3"/>
        <v>64</v>
      </c>
      <c r="F92" t="s">
        <v>59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</row>
    <row r="93" spans="1:78" x14ac:dyDescent="0.15">
      <c r="A93">
        <v>10524</v>
      </c>
      <c r="B93" t="s">
        <v>73</v>
      </c>
      <c r="C93">
        <v>4</v>
      </c>
      <c r="D93" s="28" t="str">
        <f t="shared" si="2"/>
        <v>ano</v>
      </c>
      <c r="E93">
        <f t="shared" si="3"/>
        <v>64</v>
      </c>
      <c r="F93" t="s">
        <v>59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</row>
    <row r="94" spans="1:78" x14ac:dyDescent="0.15">
      <c r="A94">
        <v>10524</v>
      </c>
      <c r="B94" t="s">
        <v>73</v>
      </c>
      <c r="C94">
        <v>5</v>
      </c>
      <c r="D94" s="28" t="str">
        <f t="shared" si="2"/>
        <v>ano</v>
      </c>
      <c r="E94">
        <f t="shared" si="3"/>
        <v>58</v>
      </c>
      <c r="F94" t="s">
        <v>59</v>
      </c>
      <c r="G94">
        <v>2</v>
      </c>
      <c r="H94">
        <v>1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Q94">
        <v>2</v>
      </c>
      <c r="AR94">
        <v>1</v>
      </c>
      <c r="AS94">
        <v>2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0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</row>
    <row r="95" spans="1:78" x14ac:dyDescent="0.15">
      <c r="A95">
        <v>10524</v>
      </c>
      <c r="B95" t="s">
        <v>73</v>
      </c>
      <c r="C95">
        <v>6</v>
      </c>
      <c r="D95" s="28" t="str">
        <f t="shared" si="2"/>
        <v>ano</v>
      </c>
      <c r="E95">
        <f t="shared" si="3"/>
        <v>54</v>
      </c>
      <c r="F95" t="s">
        <v>59</v>
      </c>
      <c r="G95">
        <v>1</v>
      </c>
      <c r="H95">
        <v>1</v>
      </c>
      <c r="I95">
        <v>1</v>
      </c>
      <c r="J95">
        <v>1</v>
      </c>
      <c r="L95">
        <v>1</v>
      </c>
      <c r="M95">
        <v>1</v>
      </c>
      <c r="N95">
        <v>1</v>
      </c>
      <c r="O95">
        <v>1</v>
      </c>
      <c r="P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Y95">
        <v>1</v>
      </c>
      <c r="AA95">
        <v>1</v>
      </c>
      <c r="AB95">
        <v>1</v>
      </c>
      <c r="AC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Q95">
        <v>1</v>
      </c>
      <c r="AR95">
        <v>1</v>
      </c>
      <c r="AS95">
        <v>1</v>
      </c>
      <c r="AT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I95">
        <v>1</v>
      </c>
      <c r="BK95">
        <v>1</v>
      </c>
      <c r="BL95">
        <v>1</v>
      </c>
      <c r="BM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</row>
    <row r="96" spans="1:78" x14ac:dyDescent="0.15">
      <c r="A96">
        <v>10524</v>
      </c>
      <c r="B96" t="s">
        <v>73</v>
      </c>
      <c r="C96">
        <v>7</v>
      </c>
      <c r="D96" s="28" t="str">
        <f t="shared" si="2"/>
        <v>ano</v>
      </c>
      <c r="E96">
        <f t="shared" si="3"/>
        <v>54</v>
      </c>
      <c r="F96" t="s">
        <v>59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</row>
    <row r="97" spans="1:78" x14ac:dyDescent="0.15">
      <c r="A97">
        <v>10524</v>
      </c>
      <c r="B97" t="s">
        <v>74</v>
      </c>
      <c r="C97">
        <v>1</v>
      </c>
      <c r="D97" s="28" t="str">
        <f t="shared" si="2"/>
        <v>ne</v>
      </c>
      <c r="E97">
        <f t="shared" si="3"/>
        <v>58</v>
      </c>
      <c r="F97" t="s">
        <v>60</v>
      </c>
      <c r="G97">
        <v>1</v>
      </c>
      <c r="H97">
        <v>1</v>
      </c>
      <c r="I97">
        <v>1</v>
      </c>
      <c r="K97">
        <v>1</v>
      </c>
      <c r="L97">
        <v>1</v>
      </c>
      <c r="M97">
        <v>1</v>
      </c>
      <c r="N97">
        <v>1</v>
      </c>
      <c r="P97">
        <v>1</v>
      </c>
      <c r="Q97">
        <v>1</v>
      </c>
      <c r="R97">
        <v>1</v>
      </c>
      <c r="S97">
        <v>1</v>
      </c>
      <c r="T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C97">
        <v>1</v>
      </c>
      <c r="AE97">
        <v>1</v>
      </c>
      <c r="AF97">
        <v>1</v>
      </c>
      <c r="AG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U97">
        <v>1</v>
      </c>
      <c r="AV97">
        <v>1</v>
      </c>
      <c r="AW97">
        <v>1</v>
      </c>
      <c r="AX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M97">
        <v>1</v>
      </c>
      <c r="BO97">
        <v>1</v>
      </c>
      <c r="BP97">
        <v>1</v>
      </c>
      <c r="BQ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</row>
    <row r="98" spans="1:78" x14ac:dyDescent="0.15">
      <c r="A98">
        <v>10524</v>
      </c>
      <c r="B98" t="s">
        <v>74</v>
      </c>
      <c r="C98">
        <v>2</v>
      </c>
      <c r="D98" s="28" t="str">
        <f t="shared" si="2"/>
        <v>ne</v>
      </c>
      <c r="E98">
        <f t="shared" si="3"/>
        <v>58</v>
      </c>
      <c r="F98" t="s">
        <v>60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2</v>
      </c>
      <c r="R98">
        <v>0</v>
      </c>
      <c r="S98">
        <v>1</v>
      </c>
      <c r="T98">
        <v>1</v>
      </c>
      <c r="U98">
        <v>2</v>
      </c>
      <c r="V98">
        <v>1</v>
      </c>
      <c r="W98">
        <v>2</v>
      </c>
      <c r="X98">
        <v>1</v>
      </c>
      <c r="Y98">
        <v>1</v>
      </c>
      <c r="Z98">
        <v>2</v>
      </c>
      <c r="AA98">
        <v>1</v>
      </c>
      <c r="AB98">
        <v>2</v>
      </c>
      <c r="AC98">
        <v>1</v>
      </c>
      <c r="AD98">
        <v>1</v>
      </c>
      <c r="AQ98">
        <v>2</v>
      </c>
      <c r="AR98">
        <v>2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1</v>
      </c>
      <c r="BA98">
        <v>2</v>
      </c>
      <c r="BB98">
        <v>0</v>
      </c>
      <c r="BC98">
        <v>1</v>
      </c>
      <c r="BD98">
        <v>1</v>
      </c>
      <c r="BE98">
        <v>2</v>
      </c>
      <c r="BF98">
        <v>1</v>
      </c>
      <c r="BG98">
        <v>2</v>
      </c>
      <c r="BH98">
        <v>1</v>
      </c>
      <c r="BI98">
        <v>1</v>
      </c>
      <c r="BJ98">
        <v>2</v>
      </c>
      <c r="BK98">
        <v>1</v>
      </c>
      <c r="BL98">
        <v>2</v>
      </c>
      <c r="BM98">
        <v>1</v>
      </c>
      <c r="BN98">
        <v>1</v>
      </c>
    </row>
    <row r="99" spans="1:78" x14ac:dyDescent="0.15">
      <c r="A99">
        <v>10524</v>
      </c>
      <c r="B99" t="s">
        <v>74</v>
      </c>
      <c r="C99">
        <v>3</v>
      </c>
      <c r="D99" s="28" t="str">
        <f t="shared" si="2"/>
        <v>ano</v>
      </c>
      <c r="E99">
        <f t="shared" si="3"/>
        <v>64</v>
      </c>
      <c r="F99" t="s">
        <v>60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</row>
    <row r="100" spans="1:78" x14ac:dyDescent="0.15">
      <c r="A100">
        <v>10524</v>
      </c>
      <c r="B100" t="s">
        <v>74</v>
      </c>
      <c r="C100">
        <v>4</v>
      </c>
      <c r="D100" s="28" t="str">
        <f t="shared" si="2"/>
        <v>ano</v>
      </c>
      <c r="E100">
        <f t="shared" si="3"/>
        <v>64</v>
      </c>
      <c r="F100" t="s">
        <v>59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</row>
    <row r="101" spans="1:78" x14ac:dyDescent="0.15">
      <c r="A101">
        <v>10524</v>
      </c>
      <c r="B101" t="s">
        <v>74</v>
      </c>
      <c r="C101">
        <v>5</v>
      </c>
      <c r="D101" s="28" t="str">
        <f t="shared" si="2"/>
        <v>ano</v>
      </c>
      <c r="E101">
        <f t="shared" si="3"/>
        <v>56</v>
      </c>
      <c r="F101" t="s">
        <v>59</v>
      </c>
      <c r="G101">
        <v>3</v>
      </c>
      <c r="H101">
        <v>1</v>
      </c>
      <c r="I101">
        <v>2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Q101">
        <v>3</v>
      </c>
      <c r="AR101">
        <v>1</v>
      </c>
      <c r="AS101">
        <v>2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0</v>
      </c>
    </row>
    <row r="102" spans="1:78" x14ac:dyDescent="0.15">
      <c r="A102">
        <v>10524</v>
      </c>
      <c r="B102" t="s">
        <v>74</v>
      </c>
      <c r="C102">
        <v>6</v>
      </c>
      <c r="D102" s="28" t="str">
        <f t="shared" si="2"/>
        <v>ano</v>
      </c>
      <c r="E102">
        <f t="shared" si="3"/>
        <v>64</v>
      </c>
      <c r="F102" t="s">
        <v>59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</row>
    <row r="103" spans="1:78" x14ac:dyDescent="0.15">
      <c r="A103">
        <v>10524</v>
      </c>
      <c r="B103" t="s">
        <v>74</v>
      </c>
      <c r="C103">
        <v>7</v>
      </c>
      <c r="D103" s="28" t="str">
        <f t="shared" si="2"/>
        <v>ano</v>
      </c>
      <c r="E103">
        <f t="shared" si="3"/>
        <v>62</v>
      </c>
      <c r="F103" t="s">
        <v>59</v>
      </c>
      <c r="G103">
        <v>3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Q103">
        <v>3</v>
      </c>
      <c r="AR103">
        <v>1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</row>
    <row r="104" spans="1:78" x14ac:dyDescent="0.15">
      <c r="A104">
        <v>10524</v>
      </c>
      <c r="B104" t="s">
        <v>75</v>
      </c>
      <c r="C104">
        <v>1</v>
      </c>
      <c r="D104" s="28" t="str">
        <f t="shared" si="2"/>
        <v>ano</v>
      </c>
      <c r="E104">
        <f t="shared" si="3"/>
        <v>58</v>
      </c>
      <c r="F104" t="s">
        <v>59</v>
      </c>
      <c r="G104">
        <v>1</v>
      </c>
      <c r="H104">
        <v>1</v>
      </c>
      <c r="I104">
        <v>1</v>
      </c>
      <c r="J104">
        <v>1</v>
      </c>
      <c r="L104">
        <v>1</v>
      </c>
      <c r="M104">
        <v>1</v>
      </c>
      <c r="N104">
        <v>1</v>
      </c>
      <c r="O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D104">
        <v>1</v>
      </c>
      <c r="AF104">
        <v>1</v>
      </c>
      <c r="AG104">
        <v>1</v>
      </c>
      <c r="AH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V104">
        <v>1</v>
      </c>
      <c r="AW104">
        <v>1</v>
      </c>
      <c r="AX104">
        <v>1</v>
      </c>
      <c r="AY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N104">
        <v>1</v>
      </c>
      <c r="BP104">
        <v>1</v>
      </c>
      <c r="BQ104">
        <v>1</v>
      </c>
      <c r="BR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</row>
    <row r="105" spans="1:78" x14ac:dyDescent="0.15">
      <c r="A105">
        <v>10524</v>
      </c>
      <c r="B105" t="s">
        <v>75</v>
      </c>
      <c r="C105">
        <v>2</v>
      </c>
      <c r="D105" s="28" t="str">
        <f t="shared" si="2"/>
        <v>ano</v>
      </c>
      <c r="E105">
        <f t="shared" si="3"/>
        <v>62</v>
      </c>
      <c r="F105" t="s">
        <v>59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2</v>
      </c>
      <c r="S105">
        <v>1</v>
      </c>
      <c r="T105">
        <v>1</v>
      </c>
      <c r="U105">
        <v>2</v>
      </c>
      <c r="V105">
        <v>1</v>
      </c>
      <c r="W105">
        <v>1</v>
      </c>
      <c r="X105">
        <v>2</v>
      </c>
      <c r="Y105">
        <v>1</v>
      </c>
      <c r="Z105">
        <v>1</v>
      </c>
      <c r="AA105">
        <v>1</v>
      </c>
      <c r="AB105">
        <v>2</v>
      </c>
      <c r="AC105">
        <v>2</v>
      </c>
      <c r="AD105">
        <v>1</v>
      </c>
      <c r="AQ105">
        <v>2</v>
      </c>
      <c r="AR105">
        <v>2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2</v>
      </c>
      <c r="BC105">
        <v>1</v>
      </c>
      <c r="BD105">
        <v>1</v>
      </c>
      <c r="BE105">
        <v>2</v>
      </c>
      <c r="BF105">
        <v>1</v>
      </c>
      <c r="BG105">
        <v>1</v>
      </c>
      <c r="BH105">
        <v>2</v>
      </c>
      <c r="BI105">
        <v>1</v>
      </c>
      <c r="BJ105">
        <v>1</v>
      </c>
      <c r="BK105">
        <v>1</v>
      </c>
      <c r="BL105">
        <v>2</v>
      </c>
      <c r="BM105">
        <v>2</v>
      </c>
      <c r="BN105">
        <v>1</v>
      </c>
    </row>
    <row r="106" spans="1:78" x14ac:dyDescent="0.15">
      <c r="A106">
        <v>10524</v>
      </c>
      <c r="B106" t="s">
        <v>75</v>
      </c>
      <c r="C106">
        <v>3</v>
      </c>
      <c r="D106" s="28" t="str">
        <f t="shared" si="2"/>
        <v>ano</v>
      </c>
      <c r="E106">
        <f t="shared" si="3"/>
        <v>62</v>
      </c>
      <c r="F106" t="s">
        <v>60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</row>
    <row r="107" spans="1:78" x14ac:dyDescent="0.15">
      <c r="A107">
        <v>10524</v>
      </c>
      <c r="B107" t="s">
        <v>75</v>
      </c>
      <c r="C107">
        <v>4</v>
      </c>
      <c r="D107" s="28" t="str">
        <f t="shared" si="2"/>
        <v>ne</v>
      </c>
      <c r="E107">
        <f t="shared" si="3"/>
        <v>46</v>
      </c>
      <c r="F107" t="s">
        <v>59</v>
      </c>
      <c r="G107">
        <v>1</v>
      </c>
      <c r="H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P107">
        <v>1</v>
      </c>
      <c r="Q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Q107">
        <v>1</v>
      </c>
      <c r="AR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G107">
        <v>1</v>
      </c>
      <c r="BI107">
        <v>1</v>
      </c>
      <c r="BJ107">
        <v>1</v>
      </c>
      <c r="BK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</row>
    <row r="108" spans="1:78" x14ac:dyDescent="0.15">
      <c r="A108">
        <v>10524</v>
      </c>
      <c r="B108" t="s">
        <v>75</v>
      </c>
      <c r="C108">
        <v>5</v>
      </c>
      <c r="D108" s="28" t="str">
        <f t="shared" si="2"/>
        <v>ano</v>
      </c>
      <c r="E108">
        <f t="shared" si="3"/>
        <v>58</v>
      </c>
      <c r="F108" t="s">
        <v>59</v>
      </c>
      <c r="G108">
        <v>4</v>
      </c>
      <c r="H108">
        <v>1</v>
      </c>
      <c r="I108">
        <v>2</v>
      </c>
      <c r="J108">
        <v>1</v>
      </c>
      <c r="K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Q108">
        <v>4</v>
      </c>
      <c r="AR108">
        <v>1</v>
      </c>
      <c r="AS108">
        <v>2</v>
      </c>
      <c r="AT108">
        <v>1</v>
      </c>
      <c r="AU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</row>
    <row r="109" spans="1:78" x14ac:dyDescent="0.15">
      <c r="A109">
        <v>10524</v>
      </c>
      <c r="B109" t="s">
        <v>75</v>
      </c>
      <c r="C109">
        <v>6</v>
      </c>
      <c r="D109" s="28" t="str">
        <f t="shared" si="2"/>
        <v>ano</v>
      </c>
      <c r="E109">
        <f t="shared" si="3"/>
        <v>54</v>
      </c>
      <c r="F109" t="s">
        <v>59</v>
      </c>
      <c r="G109">
        <v>1</v>
      </c>
      <c r="H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W109">
        <v>1</v>
      </c>
      <c r="Y109">
        <v>1</v>
      </c>
      <c r="Z109">
        <v>1</v>
      </c>
      <c r="AA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Q109">
        <v>1</v>
      </c>
      <c r="AR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G109">
        <v>1</v>
      </c>
      <c r="BI109">
        <v>1</v>
      </c>
      <c r="BJ109">
        <v>1</v>
      </c>
      <c r="BK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</row>
    <row r="110" spans="1:78" x14ac:dyDescent="0.15">
      <c r="A110">
        <v>10524</v>
      </c>
      <c r="B110" t="s">
        <v>75</v>
      </c>
      <c r="C110">
        <v>7</v>
      </c>
      <c r="D110" s="28" t="str">
        <f t="shared" si="2"/>
        <v>ano</v>
      </c>
      <c r="E110">
        <f t="shared" si="3"/>
        <v>58</v>
      </c>
      <c r="F110" t="s">
        <v>59</v>
      </c>
      <c r="G110">
        <v>3</v>
      </c>
      <c r="H110">
        <v>1</v>
      </c>
      <c r="I110">
        <v>1</v>
      </c>
      <c r="J110">
        <v>1</v>
      </c>
      <c r="K110">
        <v>1</v>
      </c>
      <c r="P110">
        <v>1</v>
      </c>
      <c r="Q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Q110">
        <v>3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</row>
    <row r="111" spans="1:78" x14ac:dyDescent="0.15">
      <c r="A111">
        <v>10524</v>
      </c>
      <c r="B111" t="s">
        <v>76</v>
      </c>
      <c r="C111">
        <v>1</v>
      </c>
      <c r="D111" s="28" t="str">
        <f t="shared" si="2"/>
        <v>ano</v>
      </c>
      <c r="E111">
        <f t="shared" si="3"/>
        <v>55</v>
      </c>
      <c r="F111" t="s">
        <v>59</v>
      </c>
      <c r="G111">
        <v>1</v>
      </c>
      <c r="H111">
        <v>1</v>
      </c>
      <c r="I111">
        <v>1</v>
      </c>
      <c r="K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C111">
        <v>1</v>
      </c>
      <c r="AE111">
        <v>1</v>
      </c>
      <c r="AF111">
        <v>1</v>
      </c>
      <c r="AG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U111">
        <v>1</v>
      </c>
      <c r="AV111">
        <v>1</v>
      </c>
      <c r="AW111">
        <v>1</v>
      </c>
      <c r="AX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M111">
        <v>1</v>
      </c>
      <c r="BO111">
        <v>1</v>
      </c>
      <c r="BP111">
        <v>1</v>
      </c>
      <c r="BQ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</row>
    <row r="112" spans="1:78" x14ac:dyDescent="0.15">
      <c r="A112">
        <v>10524</v>
      </c>
      <c r="B112" t="s">
        <v>76</v>
      </c>
      <c r="C112">
        <v>2</v>
      </c>
      <c r="D112" s="28" t="str">
        <f t="shared" si="2"/>
        <v>ano</v>
      </c>
      <c r="E112">
        <f t="shared" si="3"/>
        <v>54</v>
      </c>
      <c r="F112" t="s">
        <v>59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S112">
        <v>1</v>
      </c>
      <c r="T112">
        <v>2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2</v>
      </c>
      <c r="AA112">
        <v>1</v>
      </c>
      <c r="AB112">
        <v>1</v>
      </c>
      <c r="AC112">
        <v>2</v>
      </c>
      <c r="AD112">
        <v>1</v>
      </c>
      <c r="AQ112">
        <v>2</v>
      </c>
      <c r="AR112">
        <v>2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BC112">
        <v>1</v>
      </c>
      <c r="BD112">
        <v>2</v>
      </c>
      <c r="BE112">
        <v>1</v>
      </c>
      <c r="BF112">
        <v>1</v>
      </c>
      <c r="BG112">
        <v>1</v>
      </c>
      <c r="BH112">
        <v>1</v>
      </c>
      <c r="BI112">
        <v>2</v>
      </c>
      <c r="BJ112">
        <v>2</v>
      </c>
      <c r="BK112">
        <v>1</v>
      </c>
      <c r="BL112">
        <v>1</v>
      </c>
      <c r="BM112">
        <v>2</v>
      </c>
      <c r="BN112">
        <v>1</v>
      </c>
    </row>
    <row r="113" spans="1:74" x14ac:dyDescent="0.15">
      <c r="A113">
        <v>10524</v>
      </c>
      <c r="B113" t="s">
        <v>76</v>
      </c>
      <c r="C113">
        <v>3</v>
      </c>
      <c r="D113" s="28" t="str">
        <f t="shared" si="2"/>
        <v>ano</v>
      </c>
      <c r="E113">
        <f t="shared" si="3"/>
        <v>54</v>
      </c>
      <c r="F113" t="s">
        <v>59</v>
      </c>
      <c r="G113">
        <v>1</v>
      </c>
      <c r="H113">
        <v>1</v>
      </c>
      <c r="I113">
        <v>1</v>
      </c>
      <c r="J113">
        <v>1</v>
      </c>
      <c r="K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Z113">
        <v>1</v>
      </c>
      <c r="AB113">
        <v>1</v>
      </c>
      <c r="AC113">
        <v>1</v>
      </c>
      <c r="AD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J113">
        <v>1</v>
      </c>
      <c r="BL113">
        <v>1</v>
      </c>
      <c r="BM113">
        <v>1</v>
      </c>
      <c r="BN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</row>
    <row r="114" spans="1:74" x14ac:dyDescent="0.15">
      <c r="A114">
        <v>10524</v>
      </c>
      <c r="B114" t="s">
        <v>76</v>
      </c>
      <c r="C114">
        <v>4</v>
      </c>
      <c r="D114" s="28" t="str">
        <f t="shared" si="2"/>
        <v>ne</v>
      </c>
      <c r="E114">
        <f t="shared" si="3"/>
        <v>52</v>
      </c>
      <c r="F114" t="s">
        <v>59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D114">
        <v>1</v>
      </c>
      <c r="AF114">
        <v>1</v>
      </c>
      <c r="AG114">
        <v>1</v>
      </c>
      <c r="AH114">
        <v>1</v>
      </c>
      <c r="AJ114">
        <v>1</v>
      </c>
      <c r="AK114">
        <v>1</v>
      </c>
      <c r="AL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G114">
        <v>1</v>
      </c>
      <c r="BH114">
        <v>0</v>
      </c>
      <c r="BI114">
        <v>1</v>
      </c>
      <c r="BJ114">
        <v>1</v>
      </c>
      <c r="BK114">
        <v>1</v>
      </c>
      <c r="BL114">
        <v>1</v>
      </c>
      <c r="BN114">
        <v>1</v>
      </c>
      <c r="BP114">
        <v>1</v>
      </c>
      <c r="BQ114">
        <v>1</v>
      </c>
      <c r="BR114">
        <v>1</v>
      </c>
      <c r="BT114">
        <v>1</v>
      </c>
      <c r="BU114">
        <v>1</v>
      </c>
      <c r="BV114">
        <v>1</v>
      </c>
    </row>
    <row r="115" spans="1:74" x14ac:dyDescent="0.15">
      <c r="A115">
        <v>10524</v>
      </c>
      <c r="B115" t="s">
        <v>76</v>
      </c>
      <c r="C115">
        <v>5</v>
      </c>
      <c r="D115" s="28" t="str">
        <f t="shared" si="2"/>
        <v>ano</v>
      </c>
      <c r="E115">
        <f t="shared" si="3"/>
        <v>64</v>
      </c>
      <c r="F115" t="s">
        <v>59</v>
      </c>
      <c r="G115">
        <v>4</v>
      </c>
      <c r="H115">
        <v>1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Q115">
        <v>4</v>
      </c>
      <c r="AR115">
        <v>1</v>
      </c>
      <c r="AS115">
        <v>2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</row>
    <row r="116" spans="1:74" x14ac:dyDescent="0.15">
      <c r="A116">
        <v>10524</v>
      </c>
      <c r="B116" t="s">
        <v>76</v>
      </c>
      <c r="C116">
        <v>6</v>
      </c>
      <c r="D116" s="28" t="str">
        <f t="shared" si="2"/>
        <v>ne</v>
      </c>
      <c r="E116">
        <f t="shared" si="3"/>
        <v>50</v>
      </c>
      <c r="F116" t="s">
        <v>59</v>
      </c>
      <c r="G116">
        <v>1</v>
      </c>
      <c r="H116">
        <v>1</v>
      </c>
      <c r="J116">
        <v>1</v>
      </c>
      <c r="K116">
        <v>1</v>
      </c>
      <c r="L116">
        <v>1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B116">
        <v>1</v>
      </c>
      <c r="AD116">
        <v>1</v>
      </c>
      <c r="AE116">
        <v>1</v>
      </c>
      <c r="AF116">
        <v>1</v>
      </c>
      <c r="AI116">
        <v>1</v>
      </c>
      <c r="AJ116">
        <v>1</v>
      </c>
      <c r="AK116">
        <v>1</v>
      </c>
      <c r="AL116">
        <v>1</v>
      </c>
      <c r="AQ116">
        <v>1</v>
      </c>
      <c r="AR116">
        <v>1</v>
      </c>
      <c r="AT116">
        <v>1</v>
      </c>
      <c r="AU116">
        <v>1</v>
      </c>
      <c r="AV116">
        <v>1</v>
      </c>
      <c r="AW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L116">
        <v>1</v>
      </c>
      <c r="BN116">
        <v>1</v>
      </c>
      <c r="BO116">
        <v>1</v>
      </c>
      <c r="BP116">
        <v>1</v>
      </c>
      <c r="BS116">
        <v>1</v>
      </c>
      <c r="BT116">
        <v>1</v>
      </c>
      <c r="BU116">
        <v>1</v>
      </c>
      <c r="BV116">
        <v>1</v>
      </c>
    </row>
    <row r="117" spans="1:74" x14ac:dyDescent="0.15">
      <c r="A117">
        <v>10524</v>
      </c>
      <c r="B117" t="s">
        <v>76</v>
      </c>
      <c r="C117">
        <v>7</v>
      </c>
      <c r="D117" s="28" t="str">
        <f t="shared" si="2"/>
        <v>ano</v>
      </c>
      <c r="E117">
        <f t="shared" si="3"/>
        <v>58</v>
      </c>
      <c r="F117" t="s">
        <v>59</v>
      </c>
      <c r="G117">
        <v>3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0</v>
      </c>
      <c r="AQ117">
        <v>3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0</v>
      </c>
    </row>
    <row r="119" spans="1:74" x14ac:dyDescent="0.15">
      <c r="A119" s="77" t="s">
        <v>77</v>
      </c>
      <c r="B119" s="77"/>
      <c r="C119" s="77"/>
      <c r="D119" s="77">
        <f>COUNTIF(D2:D117,"ano")</f>
        <v>76</v>
      </c>
    </row>
    <row r="120" spans="1:74" x14ac:dyDescent="0.15">
      <c r="A120" s="77"/>
      <c r="B120" s="77"/>
      <c r="C120" s="77"/>
      <c r="D120" s="77"/>
    </row>
    <row r="121" spans="1:74" x14ac:dyDescent="0.15">
      <c r="A121" s="78" t="s">
        <v>78</v>
      </c>
      <c r="B121" s="78"/>
      <c r="C121" s="78"/>
      <c r="D121" s="78">
        <f>COUNTIF(D2:D117,"ne")</f>
        <v>40</v>
      </c>
    </row>
    <row r="122" spans="1:74" x14ac:dyDescent="0.15">
      <c r="A122" s="78"/>
      <c r="B122" s="78"/>
      <c r="C122" s="78"/>
      <c r="D122" s="78"/>
    </row>
  </sheetData>
  <mergeCells count="4">
    <mergeCell ref="A119:C120"/>
    <mergeCell ref="D119:D120"/>
    <mergeCell ref="A121:C122"/>
    <mergeCell ref="D121:D122"/>
  </mergeCells>
  <conditionalFormatting sqref="D2:D117">
    <cfRule type="containsText" dxfId="1" priority="1" stopIfTrue="1" operator="containsText" text="ne">
      <formula>NOT(ISERROR(SEARCH("ne",D2)))</formula>
    </cfRule>
    <cfRule type="containsText" dxfId="0" priority="2" stopIfTrue="1" operator="containsText" text="ano">
      <formula>NOT(ISERROR(SEARCH("ano",D2)))</formula>
    </cfRule>
  </conditionalFormatting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7318-CD96-BA4B-A304-720A8A9A5EC7}">
  <sheetPr>
    <tabColor rgb="FFFFFF00"/>
  </sheetPr>
  <dimension ref="B1:J39"/>
  <sheetViews>
    <sheetView topLeftCell="B1" zoomScale="115" zoomScaleNormal="115" workbookViewId="0">
      <selection activeCell="C7" sqref="C7"/>
    </sheetView>
  </sheetViews>
  <sheetFormatPr baseColWidth="10" defaultColWidth="8.83203125" defaultRowHeight="13" x14ac:dyDescent="0.15"/>
  <cols>
    <col min="1" max="2" width="8.83203125" customWidth="1"/>
    <col min="3" max="4" width="9.1640625" style="30" customWidth="1"/>
    <col min="5" max="5" width="21.33203125" style="30" customWidth="1"/>
    <col min="6" max="7" width="11.83203125" customWidth="1"/>
    <col min="8" max="8" width="7" customWidth="1"/>
    <col min="9" max="9" width="8.33203125" style="28" customWidth="1"/>
    <col min="10" max="10" width="10.5" style="28" customWidth="1"/>
  </cols>
  <sheetData>
    <row r="1" spans="2:10" ht="21" customHeight="1" x14ac:dyDescent="0.15">
      <c r="C1" s="29"/>
      <c r="D1" s="29"/>
    </row>
    <row r="2" spans="2:10" ht="11.25" customHeight="1" x14ac:dyDescent="0.15">
      <c r="C2" s="29"/>
      <c r="D2" s="29"/>
    </row>
    <row r="3" spans="2:10" x14ac:dyDescent="0.15">
      <c r="E3" s="31" t="s">
        <v>79</v>
      </c>
      <c r="F3" s="32">
        <f ca="1">CEILING(RAND()*15,1)</f>
        <v>4</v>
      </c>
    </row>
    <row r="5" spans="2:10" ht="12.75" customHeight="1" x14ac:dyDescent="0.15">
      <c r="B5" s="86"/>
      <c r="C5" s="79" t="s">
        <v>80</v>
      </c>
      <c r="D5" s="79" t="s">
        <v>604</v>
      </c>
      <c r="E5" s="79" t="s">
        <v>80</v>
      </c>
      <c r="F5" s="81" t="s">
        <v>81</v>
      </c>
      <c r="G5" s="82"/>
      <c r="H5" s="83"/>
      <c r="I5" s="84" t="s">
        <v>82</v>
      </c>
      <c r="J5" s="84" t="s">
        <v>83</v>
      </c>
    </row>
    <row r="6" spans="2:10" x14ac:dyDescent="0.15">
      <c r="B6" s="87"/>
      <c r="C6" s="80"/>
      <c r="D6" s="80"/>
      <c r="E6" s="80"/>
      <c r="F6" s="33" t="s">
        <v>84</v>
      </c>
      <c r="G6" s="33" t="s">
        <v>85</v>
      </c>
      <c r="H6" s="33" t="s">
        <v>86</v>
      </c>
      <c r="I6" s="85"/>
      <c r="J6" s="85"/>
    </row>
    <row r="7" spans="2:10" x14ac:dyDescent="0.15">
      <c r="C7" s="30" t="str">
        <f>RIGHT(E7,LEN(E7)-SEARCH(" ",E7,1))</f>
        <v xml:space="preserve">Kamil </v>
      </c>
      <c r="D7" s="30" t="str">
        <f>LEFT(E7,SEARCH(" ",E7,1)-1)</f>
        <v>Beneš</v>
      </c>
      <c r="E7" s="30" t="s">
        <v>87</v>
      </c>
      <c r="F7" s="34">
        <f t="shared" ref="F7:G26" ca="1" si="0">CEILING(RAND()*100,1)</f>
        <v>4</v>
      </c>
      <c r="G7" s="34">
        <f t="shared" ca="1" si="0"/>
        <v>75</v>
      </c>
      <c r="H7" s="35">
        <f ca="1">SUM(F7,G7)</f>
        <v>79</v>
      </c>
      <c r="I7" s="36">
        <f ca="1">RANK(H7,$H$7:$H$39)</f>
        <v>24</v>
      </c>
      <c r="J7" s="37" t="str">
        <f t="shared" ref="J7:J39" ca="1" si="1">IF(I7&lt;=$F$3,"PŘIJAT","NEPŘIJAT")</f>
        <v>NEPŘIJAT</v>
      </c>
    </row>
    <row r="8" spans="2:10" x14ac:dyDescent="0.15">
      <c r="C8" s="30" t="str">
        <f>RIGHT(E8,LEN(E8)-SEARCH(" ",E8,1))</f>
        <v xml:space="preserve">Eva </v>
      </c>
      <c r="D8" s="30" t="str">
        <f t="shared" ref="D8:D39" si="2">LEFT(E8,SEARCH(" ",E8,1)-1)</f>
        <v>Benešová</v>
      </c>
      <c r="E8" s="30" t="s">
        <v>88</v>
      </c>
      <c r="F8" s="34">
        <f t="shared" ca="1" si="0"/>
        <v>79</v>
      </c>
      <c r="G8" s="34">
        <f t="shared" ca="1" si="0"/>
        <v>28</v>
      </c>
      <c r="H8" s="35">
        <f t="shared" ref="H8:H39" ca="1" si="3">SUM(F8,G8)</f>
        <v>107</v>
      </c>
      <c r="I8" s="36">
        <f t="shared" ref="I8:I39" ca="1" si="4">RANK(H8,$H$7:$H$39)</f>
        <v>13</v>
      </c>
      <c r="J8" s="37" t="str">
        <f t="shared" ca="1" si="1"/>
        <v>NEPŘIJAT</v>
      </c>
    </row>
    <row r="9" spans="2:10" x14ac:dyDescent="0.15">
      <c r="C9" s="30" t="str">
        <f>RIGHT(E9,LEN(E9)-SEARCH(" ",E9,1))</f>
        <v xml:space="preserve">Petra </v>
      </c>
      <c r="D9" s="30" t="str">
        <f t="shared" si="2"/>
        <v>Beranová</v>
      </c>
      <c r="E9" s="30" t="s">
        <v>89</v>
      </c>
      <c r="F9" s="34">
        <f t="shared" ca="1" si="0"/>
        <v>24</v>
      </c>
      <c r="G9" s="34">
        <f t="shared" ca="1" si="0"/>
        <v>58</v>
      </c>
      <c r="H9" s="35">
        <f t="shared" ca="1" si="3"/>
        <v>82</v>
      </c>
      <c r="I9" s="36">
        <f t="shared" ca="1" si="4"/>
        <v>23</v>
      </c>
      <c r="J9" s="37" t="str">
        <f t="shared" ca="1" si="1"/>
        <v>NEPŘIJAT</v>
      </c>
    </row>
    <row r="10" spans="2:10" x14ac:dyDescent="0.15">
      <c r="C10" s="30" t="str">
        <f>RIGHT(E10,LEN(E10)-SEARCH(" ",E10,1))</f>
        <v xml:space="preserve">Jindřich </v>
      </c>
      <c r="D10" s="30" t="str">
        <f t="shared" si="2"/>
        <v>Brožek</v>
      </c>
      <c r="E10" s="30" t="s">
        <v>90</v>
      </c>
      <c r="F10" s="34">
        <f t="shared" ca="1" si="0"/>
        <v>94</v>
      </c>
      <c r="G10" s="34">
        <f t="shared" ca="1" si="0"/>
        <v>94</v>
      </c>
      <c r="H10" s="35">
        <f t="shared" ca="1" si="3"/>
        <v>188</v>
      </c>
      <c r="I10" s="36">
        <f t="shared" ca="1" si="4"/>
        <v>1</v>
      </c>
      <c r="J10" s="37" t="str">
        <f t="shared" ca="1" si="1"/>
        <v>PŘIJAT</v>
      </c>
    </row>
    <row r="11" spans="2:10" x14ac:dyDescent="0.15">
      <c r="C11" s="30" t="str">
        <f t="shared" ref="C11:C39" si="5">RIGHT(E11,LEN(E11)-SEARCH(" ",E11,1))</f>
        <v>Zdeněk</v>
      </c>
      <c r="D11" s="30" t="str">
        <f t="shared" si="2"/>
        <v>Devátý</v>
      </c>
      <c r="E11" s="30" t="s">
        <v>91</v>
      </c>
      <c r="F11" s="34">
        <f t="shared" ca="1" si="0"/>
        <v>29</v>
      </c>
      <c r="G11" s="34">
        <f t="shared" ca="1" si="0"/>
        <v>15</v>
      </c>
      <c r="H11" s="35">
        <f t="shared" ca="1" si="3"/>
        <v>44</v>
      </c>
      <c r="I11" s="36">
        <f t="shared" ca="1" si="4"/>
        <v>27</v>
      </c>
      <c r="J11" s="37" t="str">
        <f t="shared" ca="1" si="1"/>
        <v>NEPŘIJAT</v>
      </c>
    </row>
    <row r="12" spans="2:10" x14ac:dyDescent="0.15">
      <c r="C12" s="30" t="str">
        <f t="shared" si="5"/>
        <v xml:space="preserve">Ladislav </v>
      </c>
      <c r="D12" s="30" t="str">
        <f t="shared" si="2"/>
        <v>Dítě</v>
      </c>
      <c r="E12" s="30" t="s">
        <v>92</v>
      </c>
      <c r="F12" s="34">
        <f t="shared" ca="1" si="0"/>
        <v>2</v>
      </c>
      <c r="G12" s="34">
        <f t="shared" ca="1" si="0"/>
        <v>23</v>
      </c>
      <c r="H12" s="35">
        <f t="shared" ca="1" si="3"/>
        <v>25</v>
      </c>
      <c r="I12" s="36">
        <f t="shared" ca="1" si="4"/>
        <v>32</v>
      </c>
      <c r="J12" s="37" t="str">
        <f t="shared" ca="1" si="1"/>
        <v>NEPŘIJAT</v>
      </c>
    </row>
    <row r="13" spans="2:10" x14ac:dyDescent="0.15">
      <c r="C13" s="30" t="str">
        <f t="shared" si="5"/>
        <v>Dan</v>
      </c>
      <c r="D13" s="30" t="str">
        <f t="shared" si="2"/>
        <v>Forejt</v>
      </c>
      <c r="E13" s="30" t="s">
        <v>93</v>
      </c>
      <c r="F13" s="34">
        <f t="shared" ca="1" si="0"/>
        <v>69</v>
      </c>
      <c r="G13" s="34">
        <f t="shared" ca="1" si="0"/>
        <v>17</v>
      </c>
      <c r="H13" s="35">
        <f t="shared" ca="1" si="3"/>
        <v>86</v>
      </c>
      <c r="I13" s="36">
        <f t="shared" ca="1" si="4"/>
        <v>20</v>
      </c>
      <c r="J13" s="37" t="str">
        <f t="shared" ca="1" si="1"/>
        <v>NEPŘIJAT</v>
      </c>
    </row>
    <row r="14" spans="2:10" x14ac:dyDescent="0.15">
      <c r="C14" s="30" t="str">
        <f t="shared" si="5"/>
        <v xml:space="preserve">Jan </v>
      </c>
      <c r="D14" s="30" t="str">
        <f t="shared" si="2"/>
        <v>Gumal</v>
      </c>
      <c r="E14" s="30" t="s">
        <v>94</v>
      </c>
      <c r="F14" s="34">
        <f t="shared" ca="1" si="0"/>
        <v>7</v>
      </c>
      <c r="G14" s="34">
        <f t="shared" ca="1" si="0"/>
        <v>36</v>
      </c>
      <c r="H14" s="35">
        <f t="shared" ca="1" si="3"/>
        <v>43</v>
      </c>
      <c r="I14" s="36">
        <f t="shared" ca="1" si="4"/>
        <v>28</v>
      </c>
      <c r="J14" s="37" t="str">
        <f t="shared" ca="1" si="1"/>
        <v>NEPŘIJAT</v>
      </c>
    </row>
    <row r="15" spans="2:10" x14ac:dyDescent="0.15">
      <c r="C15" s="30" t="str">
        <f t="shared" si="5"/>
        <v>Daniel</v>
      </c>
      <c r="D15" s="30" t="str">
        <f t="shared" si="2"/>
        <v>Halas</v>
      </c>
      <c r="E15" s="30" t="s">
        <v>95</v>
      </c>
      <c r="F15" s="34">
        <f t="shared" ca="1" si="0"/>
        <v>73</v>
      </c>
      <c r="G15" s="34">
        <f t="shared" ca="1" si="0"/>
        <v>46</v>
      </c>
      <c r="H15" s="35">
        <f t="shared" ca="1" si="3"/>
        <v>119</v>
      </c>
      <c r="I15" s="36">
        <f t="shared" ca="1" si="4"/>
        <v>12</v>
      </c>
      <c r="J15" s="37" t="str">
        <f t="shared" ca="1" si="1"/>
        <v>NEPŘIJAT</v>
      </c>
    </row>
    <row r="16" spans="2:10" x14ac:dyDescent="0.15">
      <c r="C16" s="30" t="str">
        <f t="shared" si="5"/>
        <v>Daniel</v>
      </c>
      <c r="D16" s="30" t="str">
        <f t="shared" si="2"/>
        <v>Halas</v>
      </c>
      <c r="E16" s="30" t="s">
        <v>95</v>
      </c>
      <c r="F16" s="34">
        <f t="shared" ca="1" si="0"/>
        <v>52</v>
      </c>
      <c r="G16" s="34">
        <f t="shared" ca="1" si="0"/>
        <v>79</v>
      </c>
      <c r="H16" s="35">
        <f t="shared" ca="1" si="3"/>
        <v>131</v>
      </c>
      <c r="I16" s="36">
        <f t="shared" ca="1" si="4"/>
        <v>10</v>
      </c>
      <c r="J16" s="37" t="str">
        <f t="shared" ca="1" si="1"/>
        <v>NEPŘIJAT</v>
      </c>
    </row>
    <row r="17" spans="3:10" x14ac:dyDescent="0.15">
      <c r="C17" s="30" t="str">
        <f t="shared" si="5"/>
        <v>Jan</v>
      </c>
      <c r="D17" s="30" t="str">
        <f t="shared" si="2"/>
        <v>Havlíček</v>
      </c>
      <c r="E17" s="30" t="s">
        <v>96</v>
      </c>
      <c r="F17" s="34">
        <f t="shared" ca="1" si="0"/>
        <v>70</v>
      </c>
      <c r="G17" s="34">
        <f t="shared" ca="1" si="0"/>
        <v>74</v>
      </c>
      <c r="H17" s="35">
        <f t="shared" ca="1" si="3"/>
        <v>144</v>
      </c>
      <c r="I17" s="36">
        <f t="shared" ca="1" si="4"/>
        <v>6</v>
      </c>
      <c r="J17" s="37" t="str">
        <f t="shared" ca="1" si="1"/>
        <v>NEPŘIJAT</v>
      </c>
    </row>
    <row r="18" spans="3:10" x14ac:dyDescent="0.15">
      <c r="C18" s="30" t="str">
        <f t="shared" si="5"/>
        <v>Jana</v>
      </c>
      <c r="D18" s="30" t="str">
        <f t="shared" si="2"/>
        <v>Hazalková</v>
      </c>
      <c r="E18" s="38" t="s">
        <v>97</v>
      </c>
      <c r="F18" s="34">
        <f t="shared" ca="1" si="0"/>
        <v>77</v>
      </c>
      <c r="G18" s="34">
        <f t="shared" ca="1" si="0"/>
        <v>89</v>
      </c>
      <c r="H18" s="35">
        <f t="shared" ca="1" si="3"/>
        <v>166</v>
      </c>
      <c r="I18" s="36">
        <f t="shared" ca="1" si="4"/>
        <v>4</v>
      </c>
      <c r="J18" s="37" t="str">
        <f t="shared" ca="1" si="1"/>
        <v>PŘIJAT</v>
      </c>
    </row>
    <row r="19" spans="3:10" x14ac:dyDescent="0.15">
      <c r="C19" s="30" t="str">
        <f t="shared" si="5"/>
        <v xml:space="preserve">Petr </v>
      </c>
      <c r="D19" s="30" t="str">
        <f t="shared" si="2"/>
        <v>Hezoučký</v>
      </c>
      <c r="E19" s="30" t="s">
        <v>98</v>
      </c>
      <c r="F19" s="34">
        <f t="shared" ca="1" si="0"/>
        <v>80</v>
      </c>
      <c r="G19" s="34">
        <f t="shared" ca="1" si="0"/>
        <v>55</v>
      </c>
      <c r="H19" s="35">
        <f t="shared" ca="1" si="3"/>
        <v>135</v>
      </c>
      <c r="I19" s="36">
        <f t="shared" ca="1" si="4"/>
        <v>9</v>
      </c>
      <c r="J19" s="37" t="str">
        <f t="shared" ca="1" si="1"/>
        <v>NEPŘIJAT</v>
      </c>
    </row>
    <row r="20" spans="3:10" x14ac:dyDescent="0.15">
      <c r="C20" s="30" t="str">
        <f t="shared" si="5"/>
        <v xml:space="preserve">Milan </v>
      </c>
      <c r="D20" s="30" t="str">
        <f t="shared" si="2"/>
        <v>Koukol</v>
      </c>
      <c r="E20" s="30" t="s">
        <v>99</v>
      </c>
      <c r="F20" s="34">
        <f t="shared" ca="1" si="0"/>
        <v>24</v>
      </c>
      <c r="G20" s="34">
        <f t="shared" ca="1" si="0"/>
        <v>79</v>
      </c>
      <c r="H20" s="35">
        <f t="shared" ca="1" si="3"/>
        <v>103</v>
      </c>
      <c r="I20" s="36">
        <f t="shared" ca="1" si="4"/>
        <v>16</v>
      </c>
      <c r="J20" s="37" t="str">
        <f t="shared" ca="1" si="1"/>
        <v>NEPŘIJAT</v>
      </c>
    </row>
    <row r="21" spans="3:10" x14ac:dyDescent="0.15">
      <c r="C21" s="30" t="str">
        <f t="shared" si="5"/>
        <v>Stanislav</v>
      </c>
      <c r="D21" s="30" t="str">
        <f t="shared" si="2"/>
        <v>Liška</v>
      </c>
      <c r="E21" s="30" t="s">
        <v>100</v>
      </c>
      <c r="F21" s="34">
        <f t="shared" ca="1" si="0"/>
        <v>15</v>
      </c>
      <c r="G21" s="34">
        <f t="shared" ca="1" si="0"/>
        <v>40</v>
      </c>
      <c r="H21" s="35">
        <f t="shared" ca="1" si="3"/>
        <v>55</v>
      </c>
      <c r="I21" s="36">
        <f t="shared" ca="1" si="4"/>
        <v>26</v>
      </c>
      <c r="J21" s="37" t="str">
        <f t="shared" ca="1" si="1"/>
        <v>NEPŘIJAT</v>
      </c>
    </row>
    <row r="22" spans="3:10" x14ac:dyDescent="0.15">
      <c r="C22" s="30" t="str">
        <f t="shared" si="5"/>
        <v xml:space="preserve">Leona </v>
      </c>
      <c r="D22" s="30" t="str">
        <f t="shared" si="2"/>
        <v>Ludvíková</v>
      </c>
      <c r="E22" s="30" t="s">
        <v>101</v>
      </c>
      <c r="F22" s="34">
        <f t="shared" ca="1" si="0"/>
        <v>91</v>
      </c>
      <c r="G22" s="34">
        <f t="shared" ca="1" si="0"/>
        <v>91</v>
      </c>
      <c r="H22" s="35">
        <f t="shared" ca="1" si="3"/>
        <v>182</v>
      </c>
      <c r="I22" s="36">
        <f t="shared" ca="1" si="4"/>
        <v>2</v>
      </c>
      <c r="J22" s="37" t="str">
        <f t="shared" ca="1" si="1"/>
        <v>PŘIJAT</v>
      </c>
    </row>
    <row r="23" spans="3:10" x14ac:dyDescent="0.15">
      <c r="C23" s="30" t="str">
        <f t="shared" si="5"/>
        <v xml:space="preserve">Hana </v>
      </c>
      <c r="D23" s="30" t="str">
        <f t="shared" si="2"/>
        <v>Malá</v>
      </c>
      <c r="E23" s="30" t="s">
        <v>102</v>
      </c>
      <c r="F23" s="34">
        <f t="shared" ca="1" si="0"/>
        <v>9</v>
      </c>
      <c r="G23" s="34">
        <f t="shared" ca="1" si="0"/>
        <v>1</v>
      </c>
      <c r="H23" s="35">
        <f t="shared" ca="1" si="3"/>
        <v>10</v>
      </c>
      <c r="I23" s="36">
        <f t="shared" ca="1" si="4"/>
        <v>33</v>
      </c>
      <c r="J23" s="37" t="str">
        <f t="shared" ca="1" si="1"/>
        <v>NEPŘIJAT</v>
      </c>
    </row>
    <row r="24" spans="3:10" x14ac:dyDescent="0.15">
      <c r="C24" s="30" t="str">
        <f t="shared" si="5"/>
        <v xml:space="preserve">Ivo </v>
      </c>
      <c r="D24" s="30" t="str">
        <f t="shared" si="2"/>
        <v>Martínek</v>
      </c>
      <c r="E24" s="30" t="s">
        <v>103</v>
      </c>
      <c r="F24" s="34">
        <f t="shared" ca="1" si="0"/>
        <v>23</v>
      </c>
      <c r="G24" s="34">
        <f t="shared" ca="1" si="0"/>
        <v>18</v>
      </c>
      <c r="H24" s="35">
        <f t="shared" ca="1" si="3"/>
        <v>41</v>
      </c>
      <c r="I24" s="36">
        <f t="shared" ca="1" si="4"/>
        <v>29</v>
      </c>
      <c r="J24" s="37" t="str">
        <f t="shared" ca="1" si="1"/>
        <v>NEPŘIJAT</v>
      </c>
    </row>
    <row r="25" spans="3:10" x14ac:dyDescent="0.15">
      <c r="C25" s="30" t="str">
        <f t="shared" si="5"/>
        <v xml:space="preserve">Jiří </v>
      </c>
      <c r="D25" s="30" t="str">
        <f t="shared" si="2"/>
        <v>Matásek</v>
      </c>
      <c r="E25" s="30" t="s">
        <v>104</v>
      </c>
      <c r="F25" s="34">
        <f t="shared" ca="1" si="0"/>
        <v>65</v>
      </c>
      <c r="G25" s="34">
        <f t="shared" ca="1" si="0"/>
        <v>86</v>
      </c>
      <c r="H25" s="35">
        <f t="shared" ca="1" si="3"/>
        <v>151</v>
      </c>
      <c r="I25" s="36">
        <f t="shared" ca="1" si="4"/>
        <v>5</v>
      </c>
      <c r="J25" s="37" t="str">
        <f t="shared" ca="1" si="1"/>
        <v>NEPŘIJAT</v>
      </c>
    </row>
    <row r="26" spans="3:10" x14ac:dyDescent="0.15">
      <c r="C26" s="30" t="str">
        <f t="shared" si="5"/>
        <v xml:space="preserve">Miroslav </v>
      </c>
      <c r="D26" s="30" t="str">
        <f t="shared" si="2"/>
        <v>Navrátil</v>
      </c>
      <c r="E26" s="30" t="s">
        <v>105</v>
      </c>
      <c r="F26" s="34">
        <f t="shared" ca="1" si="0"/>
        <v>8</v>
      </c>
      <c r="G26" s="34">
        <f t="shared" ca="1" si="0"/>
        <v>21</v>
      </c>
      <c r="H26" s="35">
        <f t="shared" ca="1" si="3"/>
        <v>29</v>
      </c>
      <c r="I26" s="36">
        <f t="shared" ca="1" si="4"/>
        <v>30</v>
      </c>
      <c r="J26" s="37" t="str">
        <f t="shared" ca="1" si="1"/>
        <v>NEPŘIJAT</v>
      </c>
    </row>
    <row r="27" spans="3:10" x14ac:dyDescent="0.15">
      <c r="C27" s="30" t="str">
        <f t="shared" si="5"/>
        <v>František</v>
      </c>
      <c r="D27" s="30" t="str">
        <f t="shared" si="2"/>
        <v>Novák</v>
      </c>
      <c r="E27" s="30" t="s">
        <v>106</v>
      </c>
      <c r="F27" s="34">
        <f t="shared" ref="F27:G39" ca="1" si="6">CEILING(RAND()*100,1)</f>
        <v>64</v>
      </c>
      <c r="G27" s="34">
        <f t="shared" ca="1" si="6"/>
        <v>72</v>
      </c>
      <c r="H27" s="35">
        <f t="shared" ca="1" si="3"/>
        <v>136</v>
      </c>
      <c r="I27" s="36">
        <f t="shared" ca="1" si="4"/>
        <v>8</v>
      </c>
      <c r="J27" s="37" t="str">
        <f t="shared" ca="1" si="1"/>
        <v>NEPŘIJAT</v>
      </c>
    </row>
    <row r="28" spans="3:10" x14ac:dyDescent="0.15">
      <c r="C28" s="30" t="str">
        <f t="shared" si="5"/>
        <v>Naděžda</v>
      </c>
      <c r="D28" s="30" t="str">
        <f t="shared" si="2"/>
        <v>Nováková</v>
      </c>
      <c r="E28" s="30" t="s">
        <v>107</v>
      </c>
      <c r="F28" s="34">
        <f t="shared" ca="1" si="6"/>
        <v>77</v>
      </c>
      <c r="G28" s="34">
        <f t="shared" ca="1" si="6"/>
        <v>28</v>
      </c>
      <c r="H28" s="35">
        <f t="shared" ca="1" si="3"/>
        <v>105</v>
      </c>
      <c r="I28" s="36">
        <f t="shared" ca="1" si="4"/>
        <v>14</v>
      </c>
      <c r="J28" s="37" t="str">
        <f t="shared" ca="1" si="1"/>
        <v>NEPŘIJAT</v>
      </c>
    </row>
    <row r="29" spans="3:10" x14ac:dyDescent="0.15">
      <c r="C29" s="30" t="str">
        <f t="shared" si="5"/>
        <v>Jan</v>
      </c>
      <c r="D29" s="30" t="str">
        <f t="shared" si="2"/>
        <v>Peterka</v>
      </c>
      <c r="E29" s="30" t="s">
        <v>108</v>
      </c>
      <c r="F29" s="34">
        <f t="shared" ca="1" si="6"/>
        <v>85</v>
      </c>
      <c r="G29" s="34">
        <f t="shared" ca="1" si="6"/>
        <v>58</v>
      </c>
      <c r="H29" s="35">
        <f t="shared" ca="1" si="3"/>
        <v>143</v>
      </c>
      <c r="I29" s="36">
        <f t="shared" ca="1" si="4"/>
        <v>7</v>
      </c>
      <c r="J29" s="37" t="str">
        <f t="shared" ca="1" si="1"/>
        <v>NEPŘIJAT</v>
      </c>
    </row>
    <row r="30" spans="3:10" x14ac:dyDescent="0.15">
      <c r="C30" s="30" t="str">
        <f t="shared" si="5"/>
        <v>Zdenka</v>
      </c>
      <c r="D30" s="30" t="str">
        <f t="shared" si="2"/>
        <v>Rysá</v>
      </c>
      <c r="E30" s="30" t="s">
        <v>109</v>
      </c>
      <c r="F30" s="34">
        <f t="shared" ca="1" si="6"/>
        <v>88</v>
      </c>
      <c r="G30" s="34">
        <f t="shared" ca="1" si="6"/>
        <v>85</v>
      </c>
      <c r="H30" s="35">
        <f t="shared" ca="1" si="3"/>
        <v>173</v>
      </c>
      <c r="I30" s="36">
        <f t="shared" ca="1" si="4"/>
        <v>3</v>
      </c>
      <c r="J30" s="37" t="str">
        <f t="shared" ca="1" si="1"/>
        <v>PŘIJAT</v>
      </c>
    </row>
    <row r="31" spans="3:10" x14ac:dyDescent="0.15">
      <c r="C31" s="30" t="str">
        <f t="shared" si="5"/>
        <v xml:space="preserve">Jiří </v>
      </c>
      <c r="D31" s="30" t="str">
        <f t="shared" si="2"/>
        <v>Souček</v>
      </c>
      <c r="E31" s="30" t="s">
        <v>110</v>
      </c>
      <c r="F31" s="34">
        <f t="shared" ca="1" si="6"/>
        <v>45</v>
      </c>
      <c r="G31" s="34">
        <f t="shared" ca="1" si="6"/>
        <v>39</v>
      </c>
      <c r="H31" s="35">
        <f t="shared" ca="1" si="3"/>
        <v>84</v>
      </c>
      <c r="I31" s="36">
        <f t="shared" ca="1" si="4"/>
        <v>22</v>
      </c>
      <c r="J31" s="37" t="str">
        <f t="shared" ca="1" si="1"/>
        <v>NEPŘIJAT</v>
      </c>
    </row>
    <row r="32" spans="3:10" x14ac:dyDescent="0.15">
      <c r="C32" s="30" t="str">
        <f t="shared" si="5"/>
        <v xml:space="preserve">Jana </v>
      </c>
      <c r="D32" s="30" t="str">
        <f t="shared" si="2"/>
        <v>Stará</v>
      </c>
      <c r="E32" s="30" t="s">
        <v>111</v>
      </c>
      <c r="F32" s="34">
        <f t="shared" ca="1" si="6"/>
        <v>25</v>
      </c>
      <c r="G32" s="34">
        <f t="shared" ca="1" si="6"/>
        <v>4</v>
      </c>
      <c r="H32" s="35">
        <f t="shared" ca="1" si="3"/>
        <v>29</v>
      </c>
      <c r="I32" s="36">
        <f t="shared" ca="1" si="4"/>
        <v>30</v>
      </c>
      <c r="J32" s="37" t="str">
        <f t="shared" ca="1" si="1"/>
        <v>NEPŘIJAT</v>
      </c>
    </row>
    <row r="33" spans="3:10" x14ac:dyDescent="0.15">
      <c r="C33" s="30" t="str">
        <f t="shared" si="5"/>
        <v xml:space="preserve">Leopolda </v>
      </c>
      <c r="D33" s="30" t="str">
        <f t="shared" si="2"/>
        <v>Syrová</v>
      </c>
      <c r="E33" s="30" t="s">
        <v>112</v>
      </c>
      <c r="F33" s="34">
        <f t="shared" ca="1" si="6"/>
        <v>46</v>
      </c>
      <c r="G33" s="34">
        <f t="shared" ca="1" si="6"/>
        <v>15</v>
      </c>
      <c r="H33" s="35">
        <f t="shared" ca="1" si="3"/>
        <v>61</v>
      </c>
      <c r="I33" s="36">
        <f t="shared" ca="1" si="4"/>
        <v>25</v>
      </c>
      <c r="J33" s="37" t="str">
        <f t="shared" ca="1" si="1"/>
        <v>NEPŘIJAT</v>
      </c>
    </row>
    <row r="34" spans="3:10" x14ac:dyDescent="0.15">
      <c r="C34" s="30" t="str">
        <f t="shared" si="5"/>
        <v>Robert</v>
      </c>
      <c r="D34" s="30" t="str">
        <f t="shared" si="2"/>
        <v>Tejnský</v>
      </c>
      <c r="E34" s="30" t="s">
        <v>113</v>
      </c>
      <c r="F34" s="34">
        <f t="shared" ca="1" si="6"/>
        <v>7</v>
      </c>
      <c r="G34" s="34">
        <f t="shared" ca="1" si="6"/>
        <v>78</v>
      </c>
      <c r="H34" s="35">
        <f t="shared" ca="1" si="3"/>
        <v>85</v>
      </c>
      <c r="I34" s="36">
        <f t="shared" ca="1" si="4"/>
        <v>21</v>
      </c>
      <c r="J34" s="37" t="str">
        <f t="shared" ca="1" si="1"/>
        <v>NEPŘIJAT</v>
      </c>
    </row>
    <row r="35" spans="3:10" x14ac:dyDescent="0.15">
      <c r="C35" s="30" t="str">
        <f t="shared" si="5"/>
        <v xml:space="preserve">Jaromír </v>
      </c>
      <c r="D35" s="30" t="str">
        <f t="shared" si="2"/>
        <v>Trávníček</v>
      </c>
      <c r="E35" s="30" t="s">
        <v>114</v>
      </c>
      <c r="F35" s="34">
        <f t="shared" ca="1" si="6"/>
        <v>85</v>
      </c>
      <c r="G35" s="34">
        <f t="shared" ca="1" si="6"/>
        <v>17</v>
      </c>
      <c r="H35" s="35">
        <f t="shared" ca="1" si="3"/>
        <v>102</v>
      </c>
      <c r="I35" s="36">
        <f t="shared" ca="1" si="4"/>
        <v>17</v>
      </c>
      <c r="J35" s="37" t="str">
        <f t="shared" ca="1" si="1"/>
        <v>NEPŘIJAT</v>
      </c>
    </row>
    <row r="36" spans="3:10" x14ac:dyDescent="0.15">
      <c r="C36" s="30" t="str">
        <f t="shared" si="5"/>
        <v xml:space="preserve">Jana </v>
      </c>
      <c r="D36" s="30" t="str">
        <f t="shared" si="2"/>
        <v>Tůmová</v>
      </c>
      <c r="E36" s="30" t="s">
        <v>115</v>
      </c>
      <c r="F36" s="34">
        <f t="shared" ca="1" si="6"/>
        <v>6</v>
      </c>
      <c r="G36" s="34">
        <f t="shared" ca="1" si="6"/>
        <v>89</v>
      </c>
      <c r="H36" s="35">
        <f t="shared" ca="1" si="3"/>
        <v>95</v>
      </c>
      <c r="I36" s="36">
        <f t="shared" ca="1" si="4"/>
        <v>19</v>
      </c>
      <c r="J36" s="37" t="str">
        <f t="shared" ca="1" si="1"/>
        <v>NEPŘIJAT</v>
      </c>
    </row>
    <row r="37" spans="3:10" x14ac:dyDescent="0.15">
      <c r="C37" s="30" t="str">
        <f t="shared" si="5"/>
        <v>Jarmila</v>
      </c>
      <c r="D37" s="30" t="str">
        <f t="shared" si="2"/>
        <v>Urbánková</v>
      </c>
      <c r="E37" s="30" t="s">
        <v>116</v>
      </c>
      <c r="F37" s="34">
        <f t="shared" ca="1" si="6"/>
        <v>44</v>
      </c>
      <c r="G37" s="34">
        <f t="shared" ca="1" si="6"/>
        <v>61</v>
      </c>
      <c r="H37" s="35">
        <f t="shared" ca="1" si="3"/>
        <v>105</v>
      </c>
      <c r="I37" s="36">
        <f t="shared" ca="1" si="4"/>
        <v>14</v>
      </c>
      <c r="J37" s="37" t="str">
        <f t="shared" ca="1" si="1"/>
        <v>NEPŘIJAT</v>
      </c>
    </row>
    <row r="38" spans="3:10" x14ac:dyDescent="0.15">
      <c r="C38" s="30" t="str">
        <f t="shared" si="5"/>
        <v xml:space="preserve">Martin </v>
      </c>
      <c r="D38" s="30" t="str">
        <f t="shared" si="2"/>
        <v>Zaoral</v>
      </c>
      <c r="E38" s="30" t="s">
        <v>117</v>
      </c>
      <c r="F38" s="34">
        <f t="shared" ca="1" si="6"/>
        <v>89</v>
      </c>
      <c r="G38" s="34">
        <f t="shared" ca="1" si="6"/>
        <v>33</v>
      </c>
      <c r="H38" s="35">
        <f t="shared" ca="1" si="3"/>
        <v>122</v>
      </c>
      <c r="I38" s="36">
        <f t="shared" ca="1" si="4"/>
        <v>11</v>
      </c>
      <c r="J38" s="37" t="str">
        <f t="shared" ca="1" si="1"/>
        <v>NEPŘIJAT</v>
      </c>
    </row>
    <row r="39" spans="3:10" x14ac:dyDescent="0.15">
      <c r="C39" s="30" t="str">
        <f t="shared" si="5"/>
        <v>Radim</v>
      </c>
      <c r="D39" s="30" t="str">
        <f t="shared" si="2"/>
        <v>Záruba</v>
      </c>
      <c r="E39" s="30" t="s">
        <v>118</v>
      </c>
      <c r="F39" s="34">
        <f t="shared" ca="1" si="6"/>
        <v>59</v>
      </c>
      <c r="G39" s="34">
        <f t="shared" ca="1" si="6"/>
        <v>38</v>
      </c>
      <c r="H39" s="35">
        <f t="shared" ca="1" si="3"/>
        <v>97</v>
      </c>
      <c r="I39" s="36">
        <f t="shared" ca="1" si="4"/>
        <v>18</v>
      </c>
      <c r="J39" s="37" t="str">
        <f t="shared" ca="1" si="1"/>
        <v>NEPŘIJAT</v>
      </c>
    </row>
  </sheetData>
  <sheetProtection password="C79A" sheet="1" formatCells="0" formatColumns="0" formatRows="0" insertColumns="0"/>
  <mergeCells count="7">
    <mergeCell ref="E5:E6"/>
    <mergeCell ref="F5:H5"/>
    <mergeCell ref="I5:I6"/>
    <mergeCell ref="J5:J6"/>
    <mergeCell ref="C5:C6"/>
    <mergeCell ref="B5:B6"/>
    <mergeCell ref="D5:D6"/>
  </mergeCells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7</vt:i4>
      </vt:variant>
      <vt:variant>
        <vt:lpstr>Pojmenované oblasti</vt:lpstr>
      </vt:variant>
      <vt:variant>
        <vt:i4>5</vt:i4>
      </vt:variant>
    </vt:vector>
  </HeadingPairs>
  <TitlesOfParts>
    <vt:vector size="12" baseType="lpstr">
      <vt:lpstr>podm.form.+RANK</vt:lpstr>
      <vt:lpstr>IF_A_NEBO</vt:lpstr>
      <vt:lpstr>IF_slovní+RANK</vt:lpstr>
      <vt:lpstr>IF_A</vt:lpstr>
      <vt:lpstr>IF+COUNT</vt:lpstr>
      <vt:lpstr>COUNT+IF</vt:lpstr>
      <vt:lpstr>RANK+IF</vt:lpstr>
      <vt:lpstr>průměry</vt:lpstr>
      <vt:lpstr>přijatí</vt:lpstr>
      <vt:lpstr>série</vt:lpstr>
      <vt:lpstr>umístění</vt:lpstr>
      <vt:lpstr>vyhodnocení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Leipert</dc:creator>
  <cp:lastModifiedBy>Karel Hlas</cp:lastModifiedBy>
  <dcterms:created xsi:type="dcterms:W3CDTF">2004-04-28T06:20:32Z</dcterms:created>
  <dcterms:modified xsi:type="dcterms:W3CDTF">2026-10-02T06:24:24Z</dcterms:modified>
</cp:coreProperties>
</file>