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"/>
    </mc:Choice>
  </mc:AlternateContent>
  <xr:revisionPtr revIDLastSave="0" documentId="8_{767CF99E-8FF0-014B-9342-9C5562C86376}" xr6:coauthVersionLast="47" xr6:coauthVersionMax="47" xr10:uidLastSave="{00000000-0000-0000-0000-000000000000}"/>
  <bookViews>
    <workbookView xWindow="480" yWindow="800" windowWidth="32760" windowHeight="19740" tabRatio="717" activeTab="6" xr2:uid="{846D2AE0-F9E7-EB4F-A030-54C0AC29E734}"/>
  </bookViews>
  <sheets>
    <sheet name="faktura" sheetId="21" r:id="rId1"/>
    <sheet name="oblasti" sheetId="25" r:id="rId2"/>
    <sheet name="kurz.lístek" sheetId="22" r:id="rId3"/>
    <sheet name="počet a průměr" sheetId="1" r:id="rId4"/>
    <sheet name="vyhodnocení testu" sheetId="23" r:id="rId5"/>
    <sheet name="mat.výrazy" sheetId="2" r:id="rId6"/>
    <sheet name="procenta" sheetId="3" r:id="rId7"/>
    <sheet name="(ne)rychlé fce" sheetId="7" r:id="rId8"/>
    <sheet name="kurz" sheetId="24" r:id="rId9"/>
  </sheets>
  <definedNames>
    <definedName name="enviro">oblasti!$E$13:$E$20</definedName>
    <definedName name="indinum">oblasti!$G$8:$G$16</definedName>
    <definedName name="indivar">mat.výrazy!$A$1</definedName>
    <definedName name="kurz_dolar">kurz.lístek!$B$4</definedName>
  </definedName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Jiri Leip</author>
  </authors>
  <commentList>
    <comment ref="X3" authorId="0" shapeId="0" xr:uid="{3F1B8F4F-B53B-5C4F-B12C-6D499C2D1A80}">
      <text>
        <r>
          <rPr>
            <b/>
            <sz val="11"/>
            <color rgb="FF000000"/>
            <rFont val="Tahoma"/>
            <family val="2"/>
            <charset val="238"/>
          </rPr>
          <t>Zisk jednoho bodu v testové otázce chápejte jako maximální možnou hodnotu. Procenta uvádějte se dvěmi desetinnými místy.</t>
        </r>
      </text>
    </comment>
    <comment ref="B18" authorId="0" shapeId="0" xr:uid="{43B6A42D-F9EC-DE45-B2CF-74F8732AE3A7}">
      <text>
        <r>
          <rPr>
            <b/>
            <sz val="11"/>
            <color rgb="FF000000"/>
            <rFont val="Tahoma"/>
            <family val="2"/>
            <charset val="238"/>
          </rPr>
          <t xml:space="preserve">průměr v řádku 17 spočítejte pomocí funkce průměr
</t>
        </r>
        <r>
          <rPr>
            <b/>
            <sz val="11"/>
            <color rgb="FF000000"/>
            <rFont val="Tahoma"/>
            <family val="2"/>
            <charset val="238"/>
          </rPr>
          <t xml:space="preserve">
</t>
        </r>
        <r>
          <rPr>
            <b/>
            <sz val="11"/>
            <color rgb="FF000000"/>
            <rFont val="Tahoma"/>
            <family val="2"/>
            <charset val="238"/>
          </rPr>
          <t>průměr v řádku 18 spočítejte jako součet hodnot buněk dělený počtem buněk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Jiri Leip</author>
  </authors>
  <commentList>
    <comment ref="C17" authorId="0" shapeId="0" xr:uid="{F8601202-9298-634A-8CB5-6E0B46553A0B}">
      <text>
        <r>
          <rPr>
            <b/>
            <sz val="11"/>
            <color rgb="FF000000"/>
            <rFont val="Tahoma"/>
            <family val="2"/>
            <charset val="238"/>
          </rPr>
          <t>způsob zápisu si případně vyhledejte na internetu...</t>
        </r>
      </text>
    </comment>
  </commentList>
</comments>
</file>

<file path=xl/sharedStrings.xml><?xml version="1.0" encoding="utf-8"?>
<sst xmlns="http://schemas.openxmlformats.org/spreadsheetml/2006/main" count="147" uniqueCount="95">
  <si>
    <t>Ceny lanýžů</t>
  </si>
  <si>
    <t>cena za 100 gramů</t>
  </si>
  <si>
    <t>váha (v kg)</t>
  </si>
  <si>
    <t>cena (v Kč)</t>
  </si>
  <si>
    <t>x =</t>
  </si>
  <si>
    <t xml:space="preserve">Beneš Kamil </t>
  </si>
  <si>
    <t xml:space="preserve">Benešová Eva </t>
  </si>
  <si>
    <t xml:space="preserve">Beranová Petra </t>
  </si>
  <si>
    <t xml:space="preserve">Brožek Jindřich </t>
  </si>
  <si>
    <t>Devátý Zdeněk</t>
  </si>
  <si>
    <t xml:space="preserve">Dítě Ladislav </t>
  </si>
  <si>
    <t xml:space="preserve">Gumal Jan </t>
  </si>
  <si>
    <t>Halas Daniel</t>
  </si>
  <si>
    <t>Havlíček Jan</t>
  </si>
  <si>
    <t xml:space="preserve">Hezoučký Petr </t>
  </si>
  <si>
    <t xml:space="preserve">Koukol Milan </t>
  </si>
  <si>
    <t>Liška Stanislav</t>
  </si>
  <si>
    <t xml:space="preserve">Ludvíková Leona </t>
  </si>
  <si>
    <t xml:space="preserve">Malá Hana </t>
  </si>
  <si>
    <t xml:space="preserve">Martínek Ivo </t>
  </si>
  <si>
    <t xml:space="preserve">Matásek Jiří </t>
  </si>
  <si>
    <t xml:space="preserve">Navrátil Miroslav </t>
  </si>
  <si>
    <t>Novák František</t>
  </si>
  <si>
    <t>Nováková Naděžda</t>
  </si>
  <si>
    <t>Peterka Jan</t>
  </si>
  <si>
    <t xml:space="preserve">Souček Jiří </t>
  </si>
  <si>
    <t xml:space="preserve">Stará Jana </t>
  </si>
  <si>
    <t xml:space="preserve">Syrová Leopolda </t>
  </si>
  <si>
    <t>Tejnský Robert</t>
  </si>
  <si>
    <t xml:space="preserve">Trávníček Jaromír </t>
  </si>
  <si>
    <t xml:space="preserve">Tůmová Jana </t>
  </si>
  <si>
    <t>Urbánková Jarmila</t>
  </si>
  <si>
    <t xml:space="preserve">Zaoral Martin </t>
  </si>
  <si>
    <t>x</t>
  </si>
  <si>
    <t>Pojištění+Daň</t>
  </si>
  <si>
    <t>Hrubá-Srážky</t>
  </si>
  <si>
    <t>Jméno</t>
  </si>
  <si>
    <t>Základ</t>
  </si>
  <si>
    <t>Prémie</t>
  </si>
  <si>
    <t>Příplatek</t>
  </si>
  <si>
    <t>Průměry</t>
  </si>
  <si>
    <t>součet</t>
  </si>
  <si>
    <t>maximum</t>
  </si>
  <si>
    <t>minimum</t>
  </si>
  <si>
    <t>počet</t>
  </si>
  <si>
    <t>průměr</t>
  </si>
  <si>
    <t>cena v €</t>
  </si>
  <si>
    <t>dnešní kurz k Euru</t>
  </si>
  <si>
    <t>Hrubá mzda</t>
  </si>
  <si>
    <t>Čistá mzda</t>
  </si>
  <si>
    <t>SUMA [B:D]</t>
  </si>
  <si>
    <r>
      <t>x</t>
    </r>
    <r>
      <rPr>
        <b/>
        <vertAlign val="superscript"/>
        <sz val="14"/>
        <rFont val="Arial"/>
        <family val="2"/>
        <charset val="238"/>
      </rPr>
      <t>9</t>
    </r>
  </si>
  <si>
    <t>Pojištění (z hrubé mzdy)</t>
  </si>
  <si>
    <t>Daň (z hrubé mzdy)</t>
  </si>
  <si>
    <t>Srážky z hrubé mzdy celkem</t>
  </si>
  <si>
    <t>y =</t>
  </si>
  <si>
    <t>$</t>
  </si>
  <si>
    <t>x-y</t>
  </si>
  <si>
    <r>
      <t>y</t>
    </r>
    <r>
      <rPr>
        <b/>
        <vertAlign val="superscript"/>
        <sz val="14"/>
        <rFont val="Arial"/>
        <family val="2"/>
        <charset val="238"/>
      </rPr>
      <t>2</t>
    </r>
  </si>
  <si>
    <t>-y</t>
  </si>
  <si>
    <t>Cena s daní</t>
  </si>
  <si>
    <t>samotná daň 19%</t>
  </si>
  <si>
    <t>cena celkem</t>
  </si>
  <si>
    <t>holínky</t>
  </si>
  <si>
    <t>násada</t>
  </si>
  <si>
    <t>konev</t>
  </si>
  <si>
    <t>hrábě</t>
  </si>
  <si>
    <t>kolečko</t>
  </si>
  <si>
    <t>motyka</t>
  </si>
  <si>
    <t>celkem za položku</t>
  </si>
  <si>
    <t>počet ks</t>
  </si>
  <si>
    <t>jednotková cena</t>
  </si>
  <si>
    <t>Položka</t>
  </si>
  <si>
    <t>€</t>
  </si>
  <si>
    <t>Kč</t>
  </si>
  <si>
    <t>kurz Kč k:</t>
  </si>
  <si>
    <t>průměr fce</t>
  </si>
  <si>
    <t>suma</t>
  </si>
  <si>
    <t>Želju Želev</t>
  </si>
  <si>
    <t>Slobodan Miloševič</t>
  </si>
  <si>
    <t>Roman Herzog</t>
  </si>
  <si>
    <t>Muamar Kaddáfí</t>
  </si>
  <si>
    <t>M. Currieová</t>
  </si>
  <si>
    <t>Luděk Sobota</t>
  </si>
  <si>
    <t>K. J. Erben</t>
  </si>
  <si>
    <t>K. H. Dollar</t>
  </si>
  <si>
    <t>Josip Broz Tito</t>
  </si>
  <si>
    <t>Jan Šiška</t>
  </si>
  <si>
    <t>E.M. Remarque</t>
  </si>
  <si>
    <t>Albert Einshtein</t>
  </si>
  <si>
    <t>úspěšnost v %</t>
  </si>
  <si>
    <t>jméno</t>
  </si>
  <si>
    <t>výpočty</t>
  </si>
  <si>
    <t>testové otázky</t>
  </si>
  <si>
    <t>var.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</si>
</sst>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Kč&quot;_-;\-* #,##0.00\ &quot;Kč&quot;_-;_-* &quot;-&quot;??\ &quot;Kč&quot;_-;_-@_-"/>
    <numFmt numFmtId="169" formatCode="0.0"/>
    <numFmt numFmtId="178" formatCode="#,##0.00\ &quot;Kč&quot;"/>
    <numFmt numFmtId="181" formatCode="#&quot;x&quot;"/>
    <numFmt numFmtId="183" formatCode="&quot;x*&quot;#&quot;y&quot;"/>
    <numFmt numFmtId="184" formatCode="#&quot;x/2y&quot;"/>
    <numFmt numFmtId="185" formatCode="#&quot;% z x&quot;"/>
    <numFmt numFmtId="186" formatCode="#&quot;%&quot;"/>
    <numFmt numFmtId="188" formatCode="#&quot;/y&quot;"/>
    <numFmt numFmtId="191" formatCode="&quot;vyjádřete patřičné hodnoty do žlutých buňek z oblastí buněk C2:V&quot;#&quot; a K43:T51&quot;"/>
    <numFmt numFmtId="208" formatCode="#,##0.0\ [$EUR]"/>
  </numFmts>
  <fonts count="23">
    <font>
      <sz val="10"/>
      <name val="Arial"/>
      <charset val="238"/>
    </font>
    <font>
      <sz val="10"/>
      <name val="Arial"/>
      <charset val="238"/>
    </font>
    <font>
      <sz val="8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b/>
      <i/>
      <sz val="14"/>
      <name val="Arial"/>
      <family val="2"/>
      <charset val="238"/>
    </font>
    <font>
      <b/>
      <vertAlign val="superscript"/>
      <sz val="14"/>
      <name val="Arial"/>
      <family val="2"/>
      <charset val="238"/>
    </font>
    <font>
      <b/>
      <sz val="14"/>
      <name val="Arial"/>
      <family val="2"/>
      <charset val="238"/>
    </font>
    <font>
      <b/>
      <sz val="10"/>
      <color indexed="10"/>
      <name val="Arial CE"/>
      <charset val="238"/>
    </font>
    <font>
      <sz val="11"/>
      <name val="Arial"/>
      <family val="2"/>
      <charset val="238"/>
    </font>
    <font>
      <sz val="10"/>
      <name val="Arial CE"/>
      <charset val="238"/>
    </font>
    <font>
      <b/>
      <sz val="11"/>
      <name val="Arial CE"/>
      <charset val="238"/>
    </font>
    <font>
      <sz val="8"/>
      <color indexed="61"/>
      <name val="Courier New CE"/>
      <family val="3"/>
      <charset val="238"/>
    </font>
    <font>
      <i/>
      <sz val="10"/>
      <name val="Arial CE"/>
      <charset val="238"/>
    </font>
    <font>
      <b/>
      <sz val="10"/>
      <name val="Arial CE"/>
      <charset val="238"/>
    </font>
    <font>
      <b/>
      <sz val="14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1"/>
      <color rgb="FF000000"/>
      <name val="Tahoma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9">
    <xf numFmtId="0" fontId="0" fillId="0" borderId="0"/>
    <xf numFmtId="0" fontId="15" fillId="0" borderId="0"/>
    <xf numFmtId="44" fontId="7" fillId="0" borderId="0" applyFont="0" applyFill="0" applyBorder="0" applyAlignment="0" applyProtection="0"/>
    <xf numFmtId="0" fontId="19" fillId="0" borderId="0"/>
    <xf numFmtId="0" fontId="13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1" xfId="7" applyFont="1" applyBorder="1"/>
    <xf numFmtId="0" fontId="1" fillId="0" borderId="0" xfId="7"/>
    <xf numFmtId="0" fontId="3" fillId="0" borderId="1" xfId="7" applyFont="1" applyFill="1" applyBorder="1"/>
    <xf numFmtId="0" fontId="3" fillId="0" borderId="0" xfId="7" applyFont="1" applyFill="1" applyBorder="1"/>
    <xf numFmtId="0" fontId="3" fillId="0" borderId="0" xfId="7" applyFont="1" applyBorder="1"/>
    <xf numFmtId="0" fontId="1" fillId="0" borderId="0" xfId="6"/>
    <xf numFmtId="2" fontId="0" fillId="0" borderId="0" xfId="0" applyNumberFormat="1" applyProtection="1">
      <protection locked="0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2" borderId="0" xfId="7" applyFont="1" applyFill="1" applyBorder="1"/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5" fillId="9" borderId="34" xfId="6" applyFont="1" applyFill="1" applyBorder="1" applyAlignment="1">
      <alignment horizontal="center"/>
    </xf>
    <xf numFmtId="0" fontId="5" fillId="10" borderId="35" xfId="6" applyFont="1" applyFill="1" applyBorder="1" applyAlignment="1">
      <alignment horizontal="center"/>
    </xf>
    <xf numFmtId="0" fontId="0" fillId="0" borderId="0" xfId="0" applyProtection="1">
      <protection hidden="1"/>
    </xf>
    <xf numFmtId="0" fontId="12" fillId="0" borderId="0" xfId="0" applyFont="1"/>
    <xf numFmtId="0" fontId="8" fillId="0" borderId="0" xfId="6" applyFont="1" applyAlignment="1" applyProtection="1">
      <alignment horizontal="center" vertical="center"/>
      <protection hidden="1"/>
    </xf>
    <xf numFmtId="181" fontId="8" fillId="0" borderId="0" xfId="6" applyNumberFormat="1" applyFont="1" applyAlignment="1" applyProtection="1">
      <alignment horizontal="center" vertical="center"/>
      <protection hidden="1"/>
    </xf>
    <xf numFmtId="188" fontId="10" fillId="0" borderId="0" xfId="6" applyNumberFormat="1" applyFont="1" applyAlignment="1" applyProtection="1">
      <alignment horizontal="center" vertical="center"/>
      <protection hidden="1"/>
    </xf>
    <xf numFmtId="0" fontId="8" fillId="0" borderId="0" xfId="6" quotePrefix="1" applyFont="1" applyAlignment="1" applyProtection="1">
      <alignment horizontal="center" vertical="center"/>
      <protection hidden="1"/>
    </xf>
    <xf numFmtId="183" fontId="8" fillId="0" borderId="0" xfId="6" applyNumberFormat="1" applyFont="1" applyAlignment="1" applyProtection="1">
      <alignment horizontal="center" vertical="center"/>
      <protection hidden="1"/>
    </xf>
    <xf numFmtId="184" fontId="8" fillId="0" borderId="0" xfId="6" applyNumberFormat="1" applyFont="1" applyAlignment="1" applyProtection="1">
      <alignment horizontal="center" vertical="center"/>
      <protection hidden="1"/>
    </xf>
    <xf numFmtId="185" fontId="8" fillId="0" borderId="0" xfId="6" applyNumberFormat="1" applyFont="1" applyAlignment="1" applyProtection="1">
      <alignment horizontal="center" vertical="center"/>
      <protection hidden="1"/>
    </xf>
    <xf numFmtId="0" fontId="1" fillId="5" borderId="5" xfId="6" applyFill="1" applyBorder="1" applyProtection="1">
      <protection locked="0"/>
    </xf>
    <xf numFmtId="0" fontId="6" fillId="11" borderId="0" xfId="0" applyFont="1" applyFill="1"/>
    <xf numFmtId="0" fontId="6" fillId="11" borderId="0" xfId="0" applyFont="1" applyFill="1" applyAlignment="1">
      <alignment horizontal="right"/>
    </xf>
    <xf numFmtId="0" fontId="6" fillId="11" borderId="0" xfId="0" applyFont="1" applyFill="1" applyAlignment="1">
      <alignment horizontal="center"/>
    </xf>
    <xf numFmtId="0" fontId="11" fillId="11" borderId="0" xfId="0" applyFont="1" applyFill="1" applyAlignment="1" applyProtection="1">
      <alignment horizontal="center" vertical="center"/>
    </xf>
    <xf numFmtId="0" fontId="11" fillId="11" borderId="0" xfId="0" applyFont="1" applyFill="1" applyAlignment="1" applyProtection="1">
      <alignment horizontal="center" vertical="center"/>
      <protection hidden="1"/>
    </xf>
    <xf numFmtId="186" fontId="11" fillId="11" borderId="0" xfId="8" applyNumberFormat="1" applyFont="1" applyFill="1" applyAlignment="1" applyProtection="1">
      <alignment horizontal="center" vertical="center"/>
      <protection hidden="1"/>
    </xf>
    <xf numFmtId="178" fontId="0" fillId="0" borderId="0" xfId="0" applyNumberFormat="1" applyProtection="1">
      <protection hidden="1"/>
    </xf>
    <xf numFmtId="0" fontId="0" fillId="0" borderId="0" xfId="0" applyFill="1" applyProtection="1">
      <protection locked="0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44" fontId="0" fillId="0" borderId="0" xfId="2" applyFont="1"/>
    <xf numFmtId="44" fontId="0" fillId="6" borderId="0" xfId="2" applyFont="1" applyFill="1"/>
    <xf numFmtId="0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9" xfId="0" applyBorder="1"/>
    <xf numFmtId="0" fontId="0" fillId="0" borderId="1" xfId="0" applyBorder="1"/>
    <xf numFmtId="0" fontId="0" fillId="5" borderId="12" xfId="0" applyFill="1" applyBorder="1"/>
    <xf numFmtId="0" fontId="4" fillId="5" borderId="10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7" borderId="8" xfId="0" applyFont="1" applyFill="1" applyBorder="1" applyAlignment="1">
      <alignment horizontal="right"/>
    </xf>
    <xf numFmtId="0" fontId="4" fillId="7" borderId="6" xfId="0" applyFont="1" applyFill="1" applyBorder="1" applyAlignment="1">
      <alignment horizontal="right"/>
    </xf>
    <xf numFmtId="0" fontId="20" fillId="0" borderId="0" xfId="0" applyFont="1"/>
    <xf numFmtId="0" fontId="13" fillId="0" borderId="0" xfId="4"/>
    <xf numFmtId="0" fontId="13" fillId="0" borderId="0" xfId="4" applyBorder="1"/>
    <xf numFmtId="0" fontId="13" fillId="0" borderId="17" xfId="4" applyNumberFormat="1" applyBorder="1"/>
    <xf numFmtId="0" fontId="14" fillId="5" borderId="18" xfId="4" applyFont="1" applyFill="1" applyBorder="1" applyAlignment="1">
      <alignment horizontal="left"/>
    </xf>
    <xf numFmtId="0" fontId="13" fillId="0" borderId="19" xfId="4" applyNumberFormat="1" applyBorder="1"/>
    <xf numFmtId="0" fontId="14" fillId="5" borderId="20" xfId="4" applyFont="1" applyFill="1" applyBorder="1" applyAlignment="1">
      <alignment horizontal="left"/>
    </xf>
    <xf numFmtId="0" fontId="13" fillId="0" borderId="21" xfId="4" applyNumberFormat="1" applyBorder="1" applyAlignment="1">
      <alignment horizontal="center"/>
    </xf>
    <xf numFmtId="0" fontId="14" fillId="5" borderId="22" xfId="4" applyFont="1" applyFill="1" applyBorder="1" applyAlignment="1">
      <alignment horizontal="left"/>
    </xf>
    <xf numFmtId="0" fontId="13" fillId="2" borderId="15" xfId="4" applyFill="1" applyBorder="1" applyAlignment="1">
      <alignment horizontal="center"/>
    </xf>
    <xf numFmtId="0" fontId="13" fillId="2" borderId="23" xfId="4" applyFill="1" applyBorder="1" applyAlignment="1">
      <alignment horizontal="center"/>
    </xf>
    <xf numFmtId="0" fontId="13" fillId="2" borderId="4" xfId="4" applyFill="1" applyBorder="1" applyAlignment="1">
      <alignment horizontal="center"/>
    </xf>
    <xf numFmtId="0" fontId="16" fillId="6" borderId="24" xfId="1" applyFont="1" applyFill="1" applyBorder="1"/>
    <xf numFmtId="0" fontId="13" fillId="0" borderId="14" xfId="4" applyFill="1" applyBorder="1" applyAlignment="1">
      <alignment horizontal="center"/>
    </xf>
    <xf numFmtId="0" fontId="13" fillId="0" borderId="25" xfId="4" applyFill="1" applyBorder="1" applyAlignment="1">
      <alignment horizontal="center"/>
    </xf>
    <xf numFmtId="0" fontId="13" fillId="5" borderId="25" xfId="4" applyFill="1" applyBorder="1" applyAlignment="1">
      <alignment horizontal="center"/>
    </xf>
    <xf numFmtId="0" fontId="13" fillId="0" borderId="3" xfId="4" applyFill="1" applyBorder="1" applyAlignment="1">
      <alignment horizontal="center"/>
    </xf>
    <xf numFmtId="0" fontId="16" fillId="0" borderId="26" xfId="1" applyFont="1" applyFill="1" applyBorder="1"/>
    <xf numFmtId="0" fontId="13" fillId="2" borderId="14" xfId="4" applyFill="1" applyBorder="1" applyAlignment="1">
      <alignment horizontal="center"/>
    </xf>
    <xf numFmtId="0" fontId="13" fillId="2" borderId="25" xfId="4" applyFill="1" applyBorder="1" applyAlignment="1">
      <alignment horizontal="center"/>
    </xf>
    <xf numFmtId="0" fontId="13" fillId="2" borderId="3" xfId="4" applyFill="1" applyBorder="1" applyAlignment="1">
      <alignment horizontal="center"/>
    </xf>
    <xf numFmtId="0" fontId="16" fillId="6" borderId="26" xfId="1" applyFont="1" applyFill="1" applyBorder="1"/>
    <xf numFmtId="0" fontId="13" fillId="0" borderId="2" xfId="4" applyNumberFormat="1" applyBorder="1"/>
    <xf numFmtId="0" fontId="13" fillId="0" borderId="13" xfId="4" applyFill="1" applyBorder="1" applyAlignment="1">
      <alignment horizontal="center"/>
    </xf>
    <xf numFmtId="0" fontId="13" fillId="0" borderId="27" xfId="4" applyFill="1" applyBorder="1" applyAlignment="1">
      <alignment horizontal="center"/>
    </xf>
    <xf numFmtId="0" fontId="13" fillId="5" borderId="27" xfId="4" applyFill="1" applyBorder="1" applyAlignment="1">
      <alignment horizontal="center"/>
    </xf>
    <xf numFmtId="0" fontId="13" fillId="0" borderId="2" xfId="4" applyFill="1" applyBorder="1" applyAlignment="1">
      <alignment horizontal="center"/>
    </xf>
    <xf numFmtId="0" fontId="14" fillId="5" borderId="28" xfId="4" applyFont="1" applyFill="1" applyBorder="1" applyAlignment="1">
      <alignment horizontal="center"/>
    </xf>
    <xf numFmtId="0" fontId="14" fillId="5" borderId="29" xfId="4" applyFont="1" applyFill="1" applyBorder="1" applyAlignment="1">
      <alignment horizontal="center"/>
    </xf>
    <xf numFmtId="0" fontId="14" fillId="4" borderId="30" xfId="4" applyFont="1" applyFill="1" applyBorder="1" applyAlignment="1">
      <alignment horizontal="center"/>
    </xf>
    <xf numFmtId="0" fontId="14" fillId="4" borderId="31" xfId="4" applyFont="1" applyFill="1" applyBorder="1" applyAlignment="1">
      <alignment horizontal="center"/>
    </xf>
    <xf numFmtId="0" fontId="17" fillId="6" borderId="6" xfId="4" applyFont="1" applyFill="1" applyBorder="1"/>
    <xf numFmtId="49" fontId="18" fillId="0" borderId="0" xfId="4" applyNumberFormat="1" applyFont="1" applyFill="1" applyBorder="1" applyAlignment="1">
      <alignment vertical="center"/>
    </xf>
    <xf numFmtId="0" fontId="14" fillId="4" borderId="32" xfId="1" applyFont="1" applyFill="1" applyBorder="1" applyAlignment="1">
      <alignment horizontal="center" vertical="center"/>
    </xf>
    <xf numFmtId="0" fontId="7" fillId="0" borderId="0" xfId="5"/>
    <xf numFmtId="2" fontId="7" fillId="0" borderId="0" xfId="5" applyNumberFormat="1"/>
    <xf numFmtId="44" fontId="4" fillId="4" borderId="25" xfId="2" applyFont="1" applyFill="1" applyBorder="1" applyProtection="1">
      <protection locked="0"/>
    </xf>
    <xf numFmtId="0" fontId="4" fillId="4" borderId="25" xfId="5" applyFont="1" applyFill="1" applyBorder="1"/>
    <xf numFmtId="0" fontId="4" fillId="6" borderId="0" xfId="5" applyFont="1" applyFill="1" applyAlignment="1">
      <alignment horizontal="right"/>
    </xf>
    <xf numFmtId="0" fontId="4" fillId="0" borderId="0" xfId="5" applyFont="1"/>
    <xf numFmtId="44" fontId="4" fillId="2" borderId="25" xfId="2" applyFont="1" applyFill="1" applyBorder="1" applyProtection="1">
      <protection hidden="1"/>
    </xf>
    <xf numFmtId="0" fontId="4" fillId="2" borderId="25" xfId="5" applyFont="1" applyFill="1" applyBorder="1"/>
    <xf numFmtId="0" fontId="5" fillId="0" borderId="0" xfId="5" applyFont="1"/>
    <xf numFmtId="0" fontId="10" fillId="9" borderId="36" xfId="6" applyFont="1" applyFill="1" applyBorder="1" applyAlignment="1" applyProtection="1">
      <alignment horizontal="center" vertical="center"/>
      <protection locked="0" hidden="1"/>
    </xf>
    <xf numFmtId="0" fontId="10" fillId="10" borderId="37" xfId="6" applyFont="1" applyFill="1" applyBorder="1" applyAlignment="1" applyProtection="1">
      <alignment horizontal="center" vertical="center"/>
      <protection locked="0" hidden="1"/>
    </xf>
    <xf numFmtId="0" fontId="0" fillId="12" borderId="1" xfId="0" applyFill="1" applyBorder="1"/>
    <xf numFmtId="0" fontId="13" fillId="12" borderId="6" xfId="4" applyFill="1" applyBorder="1"/>
    <xf numFmtId="0" fontId="13" fillId="12" borderId="8" xfId="4" applyFill="1" applyBorder="1"/>
    <xf numFmtId="0" fontId="13" fillId="12" borderId="1" xfId="4" applyFill="1" applyBorder="1"/>
    <xf numFmtId="0" fontId="13" fillId="12" borderId="9" xfId="4" applyFill="1" applyBorder="1"/>
    <xf numFmtId="0" fontId="13" fillId="12" borderId="10" xfId="4" applyFill="1" applyBorder="1"/>
    <xf numFmtId="0" fontId="13" fillId="12" borderId="12" xfId="4" applyFill="1" applyBorder="1"/>
    <xf numFmtId="9" fontId="0" fillId="0" borderId="0" xfId="8" applyFont="1"/>
    <xf numFmtId="0" fontId="0" fillId="11" borderId="0" xfId="0" applyFill="1"/>
    <xf numFmtId="44" fontId="7" fillId="0" borderId="0" xfId="2" applyFont="1"/>
    <xf numFmtId="44" fontId="0" fillId="5" borderId="25" xfId="2" applyNumberFormat="1" applyFont="1" applyFill="1" applyBorder="1"/>
    <xf numFmtId="44" fontId="0" fillId="6" borderId="25" xfId="2" applyNumberFormat="1" applyFont="1" applyFill="1" applyBorder="1"/>
    <xf numFmtId="44" fontId="0" fillId="2" borderId="25" xfId="2" applyNumberFormat="1" applyFont="1" applyFill="1" applyBorder="1"/>
    <xf numFmtId="169" fontId="0" fillId="0" borderId="0" xfId="0" applyNumberFormat="1"/>
    <xf numFmtId="169" fontId="0" fillId="9" borderId="0" xfId="0" applyNumberFormat="1" applyFill="1"/>
    <xf numFmtId="178" fontId="0" fillId="0" borderId="9" xfId="0" applyNumberFormat="1" applyBorder="1"/>
    <xf numFmtId="178" fontId="0" fillId="12" borderId="9" xfId="0" applyNumberFormat="1" applyFill="1" applyBorder="1"/>
    <xf numFmtId="1" fontId="0" fillId="5" borderId="0" xfId="0" applyNumberFormat="1" applyFill="1"/>
    <xf numFmtId="10" fontId="13" fillId="0" borderId="13" xfId="4" applyNumberFormat="1" applyBorder="1"/>
    <xf numFmtId="0" fontId="0" fillId="5" borderId="5" xfId="6" applyFont="1" applyFill="1" applyBorder="1" applyProtection="1">
      <protection locked="0"/>
    </xf>
    <xf numFmtId="178" fontId="0" fillId="2" borderId="0" xfId="0" applyNumberFormat="1" applyFill="1" applyProtection="1">
      <protection locked="0"/>
    </xf>
    <xf numFmtId="44" fontId="7" fillId="0" borderId="0" xfId="5" applyNumberFormat="1" applyProtection="1">
      <protection locked="0"/>
    </xf>
    <xf numFmtId="208" fontId="7" fillId="0" borderId="0" xfId="5" applyNumberFormat="1" applyProtection="1">
      <protection locked="0"/>
    </xf>
    <xf numFmtId="0" fontId="0" fillId="12" borderId="10" xfId="0" applyFill="1" applyBorder="1"/>
    <xf numFmtId="178" fontId="0" fillId="12" borderId="12" xfId="0" applyNumberFormat="1" applyFill="1" applyBorder="1"/>
    <xf numFmtId="10" fontId="0" fillId="0" borderId="0" xfId="0" applyNumberFormat="1"/>
    <xf numFmtId="44" fontId="0" fillId="6" borderId="25" xfId="2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18" fillId="8" borderId="6" xfId="4" applyNumberFormat="1" applyFont="1" applyFill="1" applyBorder="1" applyAlignment="1">
      <alignment horizontal="center" vertical="center"/>
    </xf>
    <xf numFmtId="49" fontId="18" fillId="8" borderId="7" xfId="4" applyNumberFormat="1" applyFont="1" applyFill="1" applyBorder="1" applyAlignment="1">
      <alignment horizontal="center" vertical="center"/>
    </xf>
    <xf numFmtId="49" fontId="18" fillId="3" borderId="29" xfId="4" applyNumberFormat="1" applyFont="1" applyFill="1" applyBorder="1" applyAlignment="1">
      <alignment horizontal="center" vertical="center"/>
    </xf>
    <xf numFmtId="49" fontId="18" fillId="3" borderId="33" xfId="4" applyNumberFormat="1" applyFont="1" applyFill="1" applyBorder="1" applyAlignment="1">
      <alignment horizontal="center" vertical="center"/>
    </xf>
    <xf numFmtId="191" fontId="21" fillId="13" borderId="0" xfId="0" applyNumberFormat="1" applyFont="1" applyFill="1" applyAlignment="1" applyProtection="1">
      <alignment horizontal="center" vertical="center" wrapText="1"/>
      <protection hidden="1"/>
    </xf>
  </cellXfs>
  <cellStyles count="9">
    <cellStyle name="jméno" xfId="1" xr:uid="{48F57FEB-B7FE-234C-ABD4-AE234BF676D3}"/>
    <cellStyle name="Měna 2" xfId="2" xr:uid="{76175D0D-063C-8942-A00D-79897C904899}"/>
    <cellStyle name="Normální" xfId="0" builtinId="0"/>
    <cellStyle name="Normální 2" xfId="3" xr:uid="{3CC839E6-D35D-D74E-9561-4F18FCB552D9}"/>
    <cellStyle name="Normální 3" xfId="4" xr:uid="{9B5DEBF6-F66D-004D-BA0A-0EDDEA42683D}"/>
    <cellStyle name="Normální 4" xfId="5" xr:uid="{142A7505-21FC-384D-8BF5-A219747538A4}"/>
    <cellStyle name="normální_05 tabulky" xfId="6" xr:uid="{0B6FAF0B-E1B2-DC42-AE27-D1A2D8F5C7B4}"/>
    <cellStyle name="normální_s_vzhled" xfId="7" xr:uid="{0D697DA1-BBAB-DE45-B35E-214749137391}"/>
    <cellStyle name="Procenta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109140</xdr:colOff>
      <xdr:row>13</xdr:row>
      <xdr:rowOff>38101</xdr:rowOff>
    </xdr:from>
    <xdr:to>
      <xdr:col>5</xdr:col>
      <xdr:colOff>26988</xdr:colOff>
      <xdr:row>18</xdr:row>
      <xdr:rowOff>58690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FA8E3E5-FAB1-E194-1587-633C27273258}"/>
            </a:ext>
          </a:extLst>
        </xdr:cNvPr>
        <xdr:cNvSpPr txBox="1">
          <a:spLocks noChangeArrowheads="1"/>
        </xdr:cNvSpPr>
      </xdr:nvSpPr>
      <xdr:spPr bwMode="auto">
        <a:xfrm>
          <a:off x="96440" y="2127648"/>
          <a:ext cx="4305301" cy="837008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Uvažované jednotkové ceny jsou uvedeny jako ceny bez daně.</a:t>
          </a:r>
        </a:p>
        <a:p>
          <a:pPr marL="0" indent="0" algn="l" rtl="0">
            <a:lnSpc>
              <a:spcPts val="1200"/>
            </a:lnSpc>
            <a:spcBef>
              <a:spcPts val="600"/>
            </a:spcBef>
            <a:buFontTx/>
            <a:buNone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podbarvených buněk spočítejte adekvátní výrazy,  cenu s daní zaokrouhlete nahoru "na korunu" při zachování dvou desetinných míst. </a:t>
          </a: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338137</xdr:colOff>
      <xdr:row>26</xdr:row>
      <xdr:rowOff>107950</xdr:rowOff>
    </xdr:from>
    <xdr:to>
      <xdr:col>10</xdr:col>
      <xdr:colOff>493695</xdr:colOff>
      <xdr:row>32</xdr:row>
      <xdr:rowOff>41275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1E9C422-C797-F23D-48ED-D83DBA4A5444}"/>
            </a:ext>
          </a:extLst>
        </xdr:cNvPr>
        <xdr:cNvSpPr txBox="1">
          <a:spLocks noChangeArrowheads="1"/>
        </xdr:cNvSpPr>
      </xdr:nvSpPr>
      <xdr:spPr bwMode="auto">
        <a:xfrm>
          <a:off x="911225" y="4235450"/>
          <a:ext cx="5643563" cy="88582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12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C25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 sečtěte buňky těchto rozsahů a názvů: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C4:C19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indinum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$J$6:$K$16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. Výsledný výraz zaokrouhlete na jednotky.</a:t>
          </a:r>
        </a:p>
        <a:p>
          <a:pPr marL="228600" indent="-228600" algn="l" rtl="0">
            <a:lnSpc>
              <a:spcPts val="12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oblasti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enviro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definujte formát čísel procenta na jedno desetinné místo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530225</xdr:colOff>
      <xdr:row>10</xdr:row>
      <xdr:rowOff>287</xdr:rowOff>
    </xdr:from>
    <xdr:to>
      <xdr:col>15</xdr:col>
      <xdr:colOff>79399</xdr:colOff>
      <xdr:row>27</xdr:row>
      <xdr:rowOff>13008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23D8ED3-ED2D-0CE1-2886-629A0D5A0E58}"/>
            </a:ext>
          </a:extLst>
        </xdr:cNvPr>
        <xdr:cNvSpPr txBox="1">
          <a:spLocks noChangeArrowheads="1"/>
        </xdr:cNvSpPr>
      </xdr:nvSpPr>
      <xdr:spPr bwMode="auto">
        <a:xfrm>
          <a:off x="6705600" y="1638299"/>
          <a:ext cx="3257550" cy="2752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l" rtl="0">
            <a:lnSpc>
              <a:spcPts val="1200"/>
            </a:lnSpc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najděte na internetu dnešní kurzy k požadovaným měnám a zapište je do buněk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B3:B4</a:t>
          </a:r>
        </a:p>
        <a:p>
          <a:pPr algn="l" rtl="0">
            <a:lnSpc>
              <a:spcPts val="1900"/>
            </a:lnSpc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buňku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B4</a:t>
          </a:r>
          <a:r>
            <a:rPr lang="cs-CZ" sz="1400" b="0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nazvěte: "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kurz_dolar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</a:p>
        <a:p>
          <a:pPr algn="l" rtl="0"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ve sloupcích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a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I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spočítejte násobky dané měny při zachovaném formátování tabulek (existující výplň buněk)</a:t>
          </a:r>
        </a:p>
        <a:p>
          <a:pPr algn="l" rtl="0"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formátujte vypočtené hodnoty jako měnu, případně zaokrouhlete nahoru na "padesátník" při zobrazení dvou desetinných míst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1257299</xdr:colOff>
      <xdr:row>31</xdr:row>
      <xdr:rowOff>47625</xdr:rowOff>
    </xdr:from>
    <xdr:to>
      <xdr:col>16</xdr:col>
      <xdr:colOff>473040</xdr:colOff>
      <xdr:row>37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ECB5A9B-74D3-C853-8C69-FBAB436C491D}"/>
            </a:ext>
          </a:extLst>
        </xdr:cNvPr>
        <xdr:cNvSpPr txBox="1">
          <a:spLocks noChangeArrowheads="1"/>
        </xdr:cNvSpPr>
      </xdr:nvSpPr>
      <xdr:spPr bwMode="auto">
        <a:xfrm>
          <a:off x="1104899" y="5600700"/>
          <a:ext cx="6848476" cy="94297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5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žlutých buňek spočítejte počet (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fce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 = POČET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) hodnot celého číselného sloupce</a:t>
          </a:r>
        </a:p>
        <a:p>
          <a:pPr marL="228600" indent="-228600" algn="l" rtl="0">
            <a:lnSpc>
              <a:spcPts val="23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zelených buňek vyjádřete průměr (fce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= PRŮMĚR)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hodnot celého číselného řádku (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sloupce B:T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102348</xdr:colOff>
      <xdr:row>22</xdr:row>
      <xdr:rowOff>134470</xdr:rowOff>
    </xdr:from>
    <xdr:to>
      <xdr:col>19</xdr:col>
      <xdr:colOff>113552</xdr:colOff>
      <xdr:row>31</xdr:row>
      <xdr:rowOff>68763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45A664CA-CACB-5F9B-902E-598B357AFA4B}"/>
            </a:ext>
          </a:extLst>
        </xdr:cNvPr>
        <xdr:cNvSpPr txBox="1">
          <a:spLocks noChangeArrowheads="1"/>
        </xdr:cNvSpPr>
      </xdr:nvSpPr>
      <xdr:spPr bwMode="auto">
        <a:xfrm>
          <a:off x="4112560" y="4538382"/>
          <a:ext cx="3832410" cy="133350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indent="0" algn="ctr" rtl="0">
            <a:lnSpc>
              <a:spcPts val="1700"/>
            </a:lnSpc>
            <a:spcBef>
              <a:spcPts val="0"/>
            </a:spcBef>
            <a:buFontTx/>
            <a:buNone/>
            <a:defRPr sz="1000"/>
          </a:pPr>
          <a:r>
            <a:rPr lang="cs-CZ" sz="1400" b="1" i="0" strike="noStrike">
              <a:solidFill>
                <a:srgbClr val="000000"/>
              </a:solidFill>
              <a:latin typeface="Arial"/>
              <a:cs typeface="Arial"/>
            </a:rPr>
            <a:t>do bílých buňek tabulky spočítejte požadované výrazy, nečíselné hodnoty ignorujte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</xdr:row>
      <xdr:rowOff>0</xdr:rowOff>
    </xdr:from>
    <xdr:to>
      <xdr:col>9</xdr:col>
      <xdr:colOff>292146</xdr:colOff>
      <xdr:row>7</xdr:row>
      <xdr:rowOff>133350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2DCA3098-79C8-D66B-0E6D-EE8070137323}"/>
            </a:ext>
          </a:extLst>
        </xdr:cNvPr>
        <xdr:cNvSpPr txBox="1">
          <a:spLocks noChangeArrowheads="1"/>
        </xdr:cNvSpPr>
      </xdr:nvSpPr>
      <xdr:spPr bwMode="auto">
        <a:xfrm>
          <a:off x="3162300" y="600075"/>
          <a:ext cx="3219450" cy="114300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zadejte funkce do zelených buněk dle zadání</a:t>
          </a:r>
        </a:p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uvažujte,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že se hodnoty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i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Y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mohou měnit...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88900</xdr:rowOff>
        </xdr:from>
        <xdr:to>
          <xdr:col>1</xdr:col>
          <xdr:colOff>901700</xdr:colOff>
          <xdr:row>11</xdr:row>
          <xdr:rowOff>368300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8F9EC49-2138-1166-E450-14AC76430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16</xdr:row>
          <xdr:rowOff>38100</xdr:rowOff>
        </xdr:from>
        <xdr:to>
          <xdr:col>1</xdr:col>
          <xdr:colOff>1143000</xdr:colOff>
          <xdr:row>16</xdr:row>
          <xdr:rowOff>393700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73BCCEF9-29C2-522A-297C-396F6BD1F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33</xdr:row>
      <xdr:rowOff>104775</xdr:rowOff>
    </xdr:from>
    <xdr:to>
      <xdr:col>6</xdr:col>
      <xdr:colOff>568333</xdr:colOff>
      <xdr:row>36</xdr:row>
      <xdr:rowOff>104775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C4DC068E-737B-B709-4EE4-C237BCD5546F}"/>
            </a:ext>
          </a:extLst>
        </xdr:cNvPr>
        <xdr:cNvSpPr txBox="1">
          <a:spLocks noChangeArrowheads="1"/>
        </xdr:cNvSpPr>
      </xdr:nvSpPr>
      <xdr:spPr bwMode="auto">
        <a:xfrm>
          <a:off x="2419350" y="6010275"/>
          <a:ext cx="2819400" cy="50482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vyjádřete patřičné vztahy do žlutých buňek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7</xdr:row>
      <xdr:rowOff>114300</xdr:rowOff>
    </xdr:from>
    <xdr:to>
      <xdr:col>4</xdr:col>
      <xdr:colOff>38107</xdr:colOff>
      <xdr:row>19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3D9E3A7-F568-A964-5661-CB520C59FFD0}"/>
            </a:ext>
          </a:extLst>
        </xdr:cNvPr>
        <xdr:cNvSpPr txBox="1">
          <a:spLocks noChangeArrowheads="1"/>
        </xdr:cNvSpPr>
      </xdr:nvSpPr>
      <xdr:spPr bwMode="auto">
        <a:xfrm>
          <a:off x="638175" y="1247775"/>
          <a:ext cx="1838325" cy="196215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vypočtěte odpovídající cenu k hmotnosti 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G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cenu v Kč přepočtěte dle nalezeného dnešního kurzu k €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na internetu... (případně použijte kurz z listu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kurz.lístek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Uvažujte, že ceník musí být funkční při libovolné změně ceny v buňce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C4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či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změně kurzu v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C5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...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cenu v Kč zaokrouhlete "na padesátník"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cenu v € zaokrouhlete nahoru na jedno desetinné místo</a:t>
          </a: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A8D9-914D-4547-9482-7B60709E770A}">
  <sheetPr>
    <tabColor theme="3" tint="0.39997558519241921"/>
  </sheetPr>
  <dimension ref="A2:E12"/>
  <sheetViews>
    <sheetView zoomScale="160" zoomScaleNormal="160" workbookViewId="0">
      <selection activeCell="D6" sqref="D6"/>
    </sheetView>
  </sheetViews>
  <sheetFormatPr baseColWidth="10" defaultColWidth="8.83203125" defaultRowHeight="13"/>
  <cols>
    <col min="1" max="1" width="4.1640625" customWidth="1"/>
    <col min="2" max="2" width="17.33203125" customWidth="1"/>
    <col min="3" max="3" width="16.33203125" customWidth="1"/>
    <col min="4" max="4" width="8.83203125" customWidth="1"/>
    <col min="5" max="5" width="19" customWidth="1"/>
  </cols>
  <sheetData>
    <row r="2" spans="1:5">
      <c r="A2" s="115"/>
      <c r="B2" s="51" t="s">
        <v>72</v>
      </c>
      <c r="C2" s="51" t="s">
        <v>71</v>
      </c>
      <c r="D2" s="51" t="s">
        <v>70</v>
      </c>
      <c r="E2" s="51" t="s">
        <v>69</v>
      </c>
    </row>
    <row r="3" spans="1:5">
      <c r="A3" s="50">
        <v>1</v>
      </c>
      <c r="B3" t="s">
        <v>68</v>
      </c>
      <c r="C3" s="116">
        <v>125.5</v>
      </c>
      <c r="D3" s="49">
        <v>5</v>
      </c>
      <c r="E3" s="48">
        <f t="shared" ref="E3:E8" si="0">D3*C3</f>
        <v>627.5</v>
      </c>
    </row>
    <row r="4" spans="1:5">
      <c r="A4" s="50">
        <v>2</v>
      </c>
      <c r="B4" t="s">
        <v>67</v>
      </c>
      <c r="C4" s="47">
        <v>1320</v>
      </c>
      <c r="D4" s="49">
        <v>2</v>
      </c>
      <c r="E4" s="48">
        <f t="shared" si="0"/>
        <v>2640</v>
      </c>
    </row>
    <row r="5" spans="1:5">
      <c r="A5" s="50">
        <v>3</v>
      </c>
      <c r="B5" t="s">
        <v>66</v>
      </c>
      <c r="C5" s="47">
        <v>158</v>
      </c>
      <c r="D5" s="49">
        <v>4</v>
      </c>
      <c r="E5" s="48">
        <f t="shared" si="0"/>
        <v>632</v>
      </c>
    </row>
    <row r="6" spans="1:5">
      <c r="A6" s="50">
        <v>4</v>
      </c>
      <c r="B6" t="s">
        <v>65</v>
      </c>
      <c r="C6" s="47">
        <v>68</v>
      </c>
      <c r="D6" s="49">
        <v>3</v>
      </c>
      <c r="E6" s="48">
        <f t="shared" si="0"/>
        <v>204</v>
      </c>
    </row>
    <row r="7" spans="1:5">
      <c r="A7" s="50">
        <v>5</v>
      </c>
      <c r="B7" t="s">
        <v>64</v>
      </c>
      <c r="C7" s="47">
        <v>85</v>
      </c>
      <c r="D7" s="49">
        <v>10</v>
      </c>
      <c r="E7" s="48">
        <f t="shared" si="0"/>
        <v>850</v>
      </c>
    </row>
    <row r="8" spans="1:5">
      <c r="A8" s="50">
        <v>6</v>
      </c>
      <c r="B8" t="s">
        <v>63</v>
      </c>
      <c r="C8" s="47">
        <v>112</v>
      </c>
      <c r="D8" s="49">
        <v>3</v>
      </c>
      <c r="E8" s="48">
        <f t="shared" si="0"/>
        <v>336</v>
      </c>
    </row>
    <row r="9" spans="1:5">
      <c r="E9" s="47"/>
    </row>
    <row r="10" spans="1:5">
      <c r="C10" s="133" t="s">
        <v>62</v>
      </c>
      <c r="D10" s="133"/>
      <c r="E10" s="118">
        <f>SUM(E3:E8)</f>
        <v>5289.5</v>
      </c>
    </row>
    <row r="11" spans="1:5">
      <c r="C11" s="134" t="s">
        <v>61</v>
      </c>
      <c r="D11" s="134"/>
      <c r="E11" s="119">
        <f>E10*19/100</f>
        <v>1005.005</v>
      </c>
    </row>
    <row r="12" spans="1:5">
      <c r="C12" s="135" t="s">
        <v>60</v>
      </c>
      <c r="D12" s="135"/>
      <c r="E12" s="117">
        <f>CEILING(E10+E11,1)</f>
      </c>
    </row>
  </sheetData>
  <mergeCells count="3">
    <mergeCell ref="C10:D10"/>
    <mergeCell ref="C11:D11"/>
    <mergeCell ref="C12:D12"/>
  </mergeCells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1EB2-7DEC-2344-80EE-7FC9F8909A67}">
  <sheetPr>
    <tabColor theme="6" tint="-0.249977111117893"/>
  </sheetPr>
  <dimension ref="C4:O25"/>
  <sheetViews>
    <sheetView zoomScale="130" zoomScaleNormal="130" workbookViewId="0">
      <selection activeCell="G25" sqref="G25"/>
    </sheetView>
  </sheetViews>
  <sheetFormatPr baseColWidth="10" defaultColWidth="8.83203125" defaultRowHeight="13"/>
  <cols>
    <col min="1" max="2" width="8.83203125" customWidth="1"/>
    <col min="3" max="3" width="11.5" bestFit="1" customWidth="1"/>
    <col min="4" max="4" width="8.83203125" customWidth="1"/>
    <col min="5" max="5" width="11.5" bestFit="1" customWidth="1"/>
  </cols>
  <sheetData>
    <row r="4" spans="3:15">
      <c r="C4" s="2">
        <v>2</v>
      </c>
      <c r="J4" s="2">
        <v>1</v>
      </c>
    </row>
    <row r="5" spans="3:15">
      <c r="C5" s="2">
        <v>5</v>
      </c>
      <c r="G5" s="2">
        <v>3</v>
      </c>
      <c r="J5" s="2">
        <v>3</v>
      </c>
    </row>
    <row r="6" spans="3:15">
      <c r="C6" s="2">
        <v>1.5</v>
      </c>
      <c r="G6" s="2">
        <v>3.5</v>
      </c>
      <c r="J6" s="2">
        <v>3.5</v>
      </c>
    </row>
    <row r="7" spans="3:15">
      <c r="C7" s="2">
        <v>4</v>
      </c>
      <c r="G7" s="2">
        <v>4</v>
      </c>
      <c r="J7" s="2">
        <v>1</v>
      </c>
    </row>
    <row r="8" spans="3:15">
      <c r="C8" s="2">
        <v>1</v>
      </c>
      <c r="G8" s="2">
        <v>3</v>
      </c>
      <c r="J8" s="2">
        <v>3</v>
      </c>
    </row>
    <row r="9" spans="3:15">
      <c r="C9" s="2">
        <v>5</v>
      </c>
      <c r="E9">
        <v>0.3</v>
      </c>
      <c r="G9" s="2">
        <v>1</v>
      </c>
      <c r="J9" s="2">
        <v>4</v>
      </c>
    </row>
    <row r="10" spans="3:15">
      <c r="C10" s="2">
        <v>2</v>
      </c>
      <c r="E10">
        <v>0.11</v>
      </c>
      <c r="G10" s="2">
        <v>7.1452999999999998</v>
      </c>
      <c r="J10" s="2">
        <v>3</v>
      </c>
      <c r="O10" s="114"/>
    </row>
    <row r="11" spans="3:15">
      <c r="C11" s="2">
        <v>3.5</v>
      </c>
      <c r="E11">
        <v>0.45600000000000002</v>
      </c>
      <c r="G11" s="2">
        <v>3</v>
      </c>
      <c r="J11" s="2">
        <v>2</v>
      </c>
      <c r="O11" s="114"/>
    </row>
    <row r="12" spans="3:15">
      <c r="C12" s="2">
        <v>3</v>
      </c>
      <c r="E12">
        <v>0.78500000000000003</v>
      </c>
      <c r="G12" s="2">
        <v>4</v>
      </c>
      <c r="J12" s="2">
        <v>3.5</v>
      </c>
      <c r="O12" s="114"/>
    </row>
    <row r="13" spans="3:15">
      <c r="C13" s="2">
        <v>2.8</v>
      </c>
      <c r="E13" s="120">
        <v>0.2</v>
      </c>
      <c r="G13" s="2">
        <v>3.5</v>
      </c>
      <c r="J13" s="2">
        <v>3</v>
      </c>
      <c r="O13" s="114"/>
    </row>
    <row r="14" spans="3:15">
      <c r="C14" s="2">
        <v>2.5</v>
      </c>
      <c r="E14" s="120">
        <v>0.22</v>
      </c>
      <c r="G14" s="2">
        <v>1</v>
      </c>
      <c r="J14" s="2">
        <v>1</v>
      </c>
      <c r="O14" s="114"/>
    </row>
    <row r="15" spans="3:15">
      <c r="C15" s="2">
        <v>1</v>
      </c>
      <c r="E15" s="120">
        <v>0.23400000000000001</v>
      </c>
      <c r="G15" s="2">
        <v>1</v>
      </c>
      <c r="J15" s="2">
        <v>1</v>
      </c>
      <c r="O15" s="114"/>
    </row>
    <row r="16" spans="3:15">
      <c r="C16" s="2">
        <v>2</v>
      </c>
      <c r="E16" s="120">
        <v>0.14000000000000001</v>
      </c>
      <c r="G16" s="2">
        <v>2</v>
      </c>
      <c r="J16" s="2">
        <v>3</v>
      </c>
      <c r="O16" s="114"/>
    </row>
    <row r="17" spans="3:15">
      <c r="C17" s="2">
        <v>2</v>
      </c>
      <c r="E17" s="120">
        <v>0.16</v>
      </c>
      <c r="G17" s="2">
        <v>5</v>
      </c>
      <c r="J17" s="2">
        <v>4</v>
      </c>
      <c r="O17" s="114"/>
    </row>
    <row r="18" spans="3:15">
      <c r="C18" s="2">
        <v>1</v>
      </c>
      <c r="E18" s="120">
        <v>0.78</v>
      </c>
      <c r="G18" s="2">
        <v>3</v>
      </c>
      <c r="J18" s="2">
        <v>1</v>
      </c>
      <c r="O18" s="114"/>
    </row>
    <row r="19" spans="3:15">
      <c r="C19" s="2">
        <v>3</v>
      </c>
      <c r="E19" s="120">
        <v>0.54</v>
      </c>
      <c r="G19" s="2">
        <v>1</v>
      </c>
      <c r="J19" s="2">
        <v>4</v>
      </c>
      <c r="O19" s="114"/>
    </row>
    <row r="20" spans="3:15">
      <c r="C20" s="2">
        <v>3</v>
      </c>
      <c r="E20" s="120">
        <v>2.35</v>
      </c>
      <c r="G20" s="2">
        <v>5</v>
      </c>
      <c r="J20" s="2">
        <v>1</v>
      </c>
    </row>
    <row r="21" spans="3:15">
      <c r="G21" s="2">
        <v>2.5</v>
      </c>
    </row>
    <row r="25" spans="3:15">
      <c r="C25" s="121">
        <f>SUM(C4:C19, indinum, $J$6:$K$16)</f>
        <v>94.945300000000003</v>
      </c>
      <c r="G25" s="132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982F-B59F-094E-9FBF-8F9CBF5CC0A7}">
  <dimension ref="A1:I32"/>
  <sheetViews>
    <sheetView zoomScale="110" zoomScaleNormal="110" workbookViewId="0">
      <selection activeCell="L31" sqref="L31"/>
    </sheetView>
  </sheetViews>
  <sheetFormatPr baseColWidth="10" defaultColWidth="8.83203125" defaultRowHeight="13"/>
  <cols>
    <col min="1" max="1" width="8.83203125" customWidth="1"/>
    <col min="2" max="2" width="9.83203125" customWidth="1"/>
    <col min="3" max="4" width="8.83203125" customWidth="1"/>
    <col min="5" max="5" width="8.33203125" customWidth="1"/>
    <col min="6" max="6" width="15.33203125" customWidth="1"/>
    <col min="7" max="7" width="8.83203125" customWidth="1"/>
    <col min="8" max="8" width="8.33203125" customWidth="1"/>
    <col min="9" max="9" width="15.33203125" customWidth="1"/>
  </cols>
  <sheetData>
    <row r="1" spans="1:9" ht="14" thickBot="1"/>
    <row r="2" spans="1:9">
      <c r="A2" s="136" t="s">
        <v>75</v>
      </c>
      <c r="B2" s="137"/>
      <c r="D2" s="52"/>
      <c r="E2" s="61" t="s">
        <v>73</v>
      </c>
      <c r="F2" s="60" t="s">
        <v>74</v>
      </c>
      <c r="G2" s="59"/>
      <c r="H2" s="58" t="s">
        <v>56</v>
      </c>
      <c r="I2" s="57" t="s">
        <v>74</v>
      </c>
    </row>
    <row r="3" spans="1:9">
      <c r="A3" s="56" t="s">
        <v>73</v>
      </c>
      <c r="B3">
        <v>25.375</v>
      </c>
      <c r="E3" s="53">
        <v>2</v>
      </c>
      <c r="F3" s="122">
        <f>CEILING($B$3*E3,0.5)</f>
        <v>51</v>
      </c>
      <c r="H3" s="53">
        <v>5</v>
      </c>
      <c r="I3" s="122">
        <f>H3*$B$4</f>
        <v>109.80499999999999</v>
      </c>
    </row>
    <row r="4" spans="1:9" ht="14" thickBot="1">
      <c r="A4" s="55" t="s">
        <v>56</v>
      </c>
      <c r="B4" s="54">
        <v>21.960999999999999</v>
      </c>
      <c r="E4" s="107">
        <v>4</v>
      </c>
      <c r="F4" s="122">
        <f t="shared" ref="F4:F32" si="0">CEILING($B$3*E4,0.5)</f>
        <v>101.5</v>
      </c>
      <c r="H4" s="107">
        <v>10</v>
      </c>
      <c r="I4" s="123">
        <f t="shared" ref="I4:I32" si="1">H4*$B$4</f>
        <v>219.60999999999999</v>
      </c>
    </row>
    <row r="5" spans="1:9">
      <c r="E5" s="53">
        <v>6</v>
      </c>
      <c r="F5" s="122">
        <f t="shared" si="0"/>
        <v>152.5</v>
      </c>
      <c r="H5" s="53">
        <v>15</v>
      </c>
      <c r="I5" s="122">
        <f t="shared" si="1"/>
        <v>329.41499999999996</v>
      </c>
    </row>
    <row r="6" spans="1:9">
      <c r="E6" s="107">
        <v>8</v>
      </c>
      <c r="F6" s="122">
        <f t="shared" si="0"/>
        <v>203</v>
      </c>
      <c r="H6" s="107">
        <v>20</v>
      </c>
      <c r="I6" s="123">
        <f t="shared" si="1"/>
        <v>439.21999999999997</v>
      </c>
    </row>
    <row r="7" spans="1:9">
      <c r="E7" s="53">
        <v>10</v>
      </c>
      <c r="F7" s="122">
        <f t="shared" si="0"/>
        <v>254</v>
      </c>
      <c r="H7" s="53">
        <v>25</v>
      </c>
      <c r="I7" s="122">
        <f t="shared" si="1"/>
        <v>549.02499999999998</v>
      </c>
    </row>
    <row r="8" spans="1:9">
      <c r="E8" s="107">
        <v>12</v>
      </c>
      <c r="F8" s="122">
        <f t="shared" si="0"/>
        <v>304.5</v>
      </c>
      <c r="H8" s="107">
        <v>30</v>
      </c>
      <c r="I8" s="123">
        <f t="shared" si="1"/>
        <v>658.82999999999993</v>
      </c>
    </row>
    <row r="9" spans="1:9">
      <c r="E9" s="53">
        <v>14</v>
      </c>
      <c r="F9" s="122">
        <f t="shared" si="0"/>
        <v>355.5</v>
      </c>
      <c r="H9" s="53">
        <v>35</v>
      </c>
      <c r="I9" s="122">
        <f t="shared" si="1"/>
        <v>768.63499999999999</v>
      </c>
    </row>
    <row r="10" spans="1:9">
      <c r="E10" s="107">
        <v>16</v>
      </c>
      <c r="F10" s="122">
        <f t="shared" si="0"/>
        <v>406</v>
      </c>
      <c r="H10" s="107">
        <v>40</v>
      </c>
      <c r="I10" s="123">
        <f t="shared" si="1"/>
        <v>878.43999999999994</v>
      </c>
    </row>
    <row r="11" spans="1:9">
      <c r="E11" s="53">
        <v>18</v>
      </c>
      <c r="F11" s="122">
        <f t="shared" si="0"/>
        <v>457</v>
      </c>
      <c r="H11" s="53">
        <v>45</v>
      </c>
      <c r="I11" s="122">
        <f t="shared" si="1"/>
        <v>988.24499999999989</v>
      </c>
    </row>
    <row r="12" spans="1:9">
      <c r="E12" s="107">
        <v>20</v>
      </c>
      <c r="F12" s="122">
        <f t="shared" si="0"/>
        <v>507.5</v>
      </c>
      <c r="H12" s="107">
        <v>50</v>
      </c>
      <c r="I12" s="123">
        <f t="shared" si="1"/>
        <v>1098.05</v>
      </c>
    </row>
    <row r="13" spans="1:9">
      <c r="E13" s="53">
        <v>22</v>
      </c>
      <c r="F13" s="122">
        <f t="shared" si="0"/>
        <v>558.5</v>
      </c>
      <c r="H13" s="53">
        <v>55</v>
      </c>
      <c r="I13" s="122">
        <f t="shared" si="1"/>
        <v>1207.855</v>
      </c>
    </row>
    <row r="14" spans="1:9">
      <c r="E14" s="107">
        <v>24</v>
      </c>
      <c r="F14" s="122">
        <f t="shared" si="0"/>
        <v>609</v>
      </c>
      <c r="H14" s="107">
        <v>60</v>
      </c>
      <c r="I14" s="123">
        <f t="shared" si="1"/>
        <v>1317.6599999999999</v>
      </c>
    </row>
    <row r="15" spans="1:9">
      <c r="E15" s="53">
        <v>26</v>
      </c>
      <c r="F15" s="122">
        <f t="shared" si="0"/>
        <v>660</v>
      </c>
      <c r="H15" s="53">
        <v>65</v>
      </c>
      <c r="I15" s="122">
        <f t="shared" si="1"/>
        <v>1427.4649999999999</v>
      </c>
    </row>
    <row r="16" spans="1:9">
      <c r="E16" s="107">
        <v>28</v>
      </c>
      <c r="F16" s="122">
        <f t="shared" si="0"/>
        <v>710.5</v>
      </c>
      <c r="H16" s="107">
        <v>70</v>
      </c>
      <c r="I16" s="123">
        <f t="shared" si="1"/>
        <v>1537.27</v>
      </c>
    </row>
    <row r="17" spans="5:9">
      <c r="E17" s="53">
        <v>30</v>
      </c>
      <c r="F17" s="122">
        <f t="shared" si="0"/>
        <v>761.5</v>
      </c>
      <c r="H17" s="53">
        <v>75</v>
      </c>
      <c r="I17" s="122">
        <f t="shared" si="1"/>
        <v>1647.0749999999998</v>
      </c>
    </row>
    <row r="18" spans="5:9">
      <c r="E18" s="107">
        <v>32</v>
      </c>
      <c r="F18" s="122">
        <f t="shared" si="0"/>
        <v>812</v>
      </c>
      <c r="H18" s="107">
        <v>80</v>
      </c>
      <c r="I18" s="123">
        <f t="shared" si="1"/>
        <v>1756.8799999999999</v>
      </c>
    </row>
    <row r="19" spans="5:9">
      <c r="E19" s="53">
        <v>34</v>
      </c>
      <c r="F19" s="122">
        <f t="shared" si="0"/>
        <v>863</v>
      </c>
      <c r="H19" s="53">
        <v>85</v>
      </c>
      <c r="I19" s="122">
        <f t="shared" si="1"/>
        <v>1866.6849999999999</v>
      </c>
    </row>
    <row r="20" spans="5:9">
      <c r="E20" s="107">
        <v>36</v>
      </c>
      <c r="F20" s="122">
        <f t="shared" si="0"/>
        <v>913.5</v>
      </c>
      <c r="H20" s="107">
        <v>90</v>
      </c>
      <c r="I20" s="123">
        <f t="shared" si="1"/>
        <v>1976.4899999999998</v>
      </c>
    </row>
    <row r="21" spans="5:9">
      <c r="E21" s="53">
        <v>38</v>
      </c>
      <c r="F21" s="122">
        <f t="shared" si="0"/>
        <v>964.5</v>
      </c>
      <c r="H21" s="53">
        <v>95</v>
      </c>
      <c r="I21" s="122">
        <f t="shared" si="1"/>
        <v>2086.2950000000001</v>
      </c>
    </row>
    <row r="22" spans="5:9">
      <c r="E22" s="107">
        <v>40</v>
      </c>
      <c r="F22" s="122">
        <f t="shared" si="0"/>
        <v>1015</v>
      </c>
      <c r="H22" s="107">
        <v>100</v>
      </c>
      <c r="I22" s="123">
        <f t="shared" si="1"/>
        <v>2196.1</v>
      </c>
    </row>
    <row r="23" spans="5:9">
      <c r="E23" s="53">
        <v>42</v>
      </c>
      <c r="F23" s="122">
        <f t="shared" si="0"/>
        <v>1066</v>
      </c>
      <c r="H23" s="53">
        <v>105</v>
      </c>
      <c r="I23" s="122">
        <f t="shared" si="1"/>
        <v>2305.9049999999997</v>
      </c>
    </row>
    <row r="24" spans="5:9">
      <c r="E24" s="107">
        <v>44</v>
      </c>
      <c r="F24" s="122">
        <f t="shared" si="0"/>
        <v>1116.5</v>
      </c>
      <c r="H24" s="107">
        <v>110</v>
      </c>
      <c r="I24" s="123">
        <f t="shared" si="1"/>
        <v>2415.71</v>
      </c>
    </row>
    <row r="25" spans="5:9">
      <c r="E25" s="53">
        <v>46</v>
      </c>
      <c r="F25" s="122">
        <f t="shared" si="0"/>
        <v>1167.5</v>
      </c>
      <c r="H25" s="53">
        <v>115</v>
      </c>
      <c r="I25" s="122">
        <f t="shared" si="1"/>
        <v>2525.5149999999999</v>
      </c>
    </row>
    <row r="26" spans="5:9">
      <c r="E26" s="107">
        <v>48</v>
      </c>
      <c r="F26" s="122">
        <f t="shared" si="0"/>
        <v>1218</v>
      </c>
      <c r="H26" s="107">
        <v>120</v>
      </c>
      <c r="I26" s="123">
        <f t="shared" si="1"/>
        <v>2635.3199999999997</v>
      </c>
    </row>
    <row r="27" spans="5:9">
      <c r="E27" s="53">
        <v>50</v>
      </c>
      <c r="F27" s="122">
        <f t="shared" si="0"/>
        <v>1269</v>
      </c>
      <c r="H27" s="53">
        <v>125</v>
      </c>
      <c r="I27" s="122">
        <f t="shared" si="1"/>
        <v>2745.125</v>
      </c>
    </row>
    <row r="28" spans="5:9">
      <c r="E28" s="107">
        <v>52</v>
      </c>
      <c r="F28" s="122">
        <f t="shared" si="0"/>
        <v>1319.5</v>
      </c>
      <c r="H28" s="107">
        <v>130</v>
      </c>
      <c r="I28" s="123">
        <f t="shared" si="1"/>
        <v>2854.93</v>
      </c>
    </row>
    <row r="29" spans="5:9">
      <c r="E29" s="53">
        <v>54</v>
      </c>
      <c r="F29" s="122">
        <f t="shared" si="0"/>
        <v>1370.5</v>
      </c>
      <c r="H29" s="53">
        <v>135</v>
      </c>
      <c r="I29" s="122">
        <f t="shared" si="1"/>
        <v>2964.7349999999997</v>
      </c>
    </row>
    <row r="30" spans="5:9">
      <c r="E30" s="107">
        <v>56</v>
      </c>
      <c r="F30" s="122">
        <f t="shared" si="0"/>
        <v>1421</v>
      </c>
      <c r="H30" s="107">
        <v>140</v>
      </c>
      <c r="I30" s="123">
        <f t="shared" si="1"/>
        <v>3074.54</v>
      </c>
    </row>
    <row r="31" spans="5:9">
      <c r="E31" s="53">
        <v>58</v>
      </c>
      <c r="F31" s="122">
        <f t="shared" si="0"/>
        <v>1472</v>
      </c>
      <c r="H31" s="53">
        <v>145</v>
      </c>
      <c r="I31" s="122">
        <f t="shared" si="1"/>
        <v>3184.3449999999998</v>
      </c>
    </row>
    <row r="32" spans="5:9" ht="14" thickBot="1">
      <c r="E32" s="107">
        <v>60</v>
      </c>
      <c r="F32" s="122">
        <f t="shared" si="0"/>
        <v>1522.5</v>
      </c>
      <c r="H32" s="130">
        <v>150</v>
      </c>
      <c r="I32" s="131">
        <f t="shared" si="1"/>
        <v>3294.1499999999996</v>
      </c>
    </row>
  </sheetData>
  <mergeCells count="1">
    <mergeCell ref="A2:B2"/>
  </mergeCells>
  <pageMargins left="0.78740157499999996" right="0.78740157499999996" top="0.984251969" bottom="0.984251969" header="0.4921259845" footer="0.4921259845"/>
  <pageSetup orientation="portrait" horizontalDpi="300" verticalDpi="30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73C3-4D0C-404C-B065-93AE8609730C}">
  <sheetPr>
    <tabColor theme="3" tint="0.39997558519241921"/>
  </sheetPr>
  <dimension ref="A2:U30"/>
  <sheetViews>
    <sheetView workbookViewId="0">
      <selection activeCell="T33" sqref="T33"/>
    </sheetView>
  </sheetViews>
  <sheetFormatPr baseColWidth="10" defaultColWidth="8.83203125" defaultRowHeight="13"/>
  <cols>
    <col min="1" max="1" width="18.83203125" customWidth="1"/>
    <col min="2" max="20" width="6.33203125" customWidth="1"/>
    <col min="21" max="21" width="10.5" bestFit="1" customWidth="1"/>
  </cols>
  <sheetData>
    <row r="2" spans="1:21" ht="14">
      <c r="A2" s="1" t="s">
        <v>5</v>
      </c>
      <c r="B2" s="2">
        <v>1</v>
      </c>
      <c r="C2" s="2">
        <v>3</v>
      </c>
      <c r="D2" s="2">
        <v>3.5</v>
      </c>
      <c r="E2" s="2">
        <v>5</v>
      </c>
      <c r="F2" s="2">
        <v>3</v>
      </c>
      <c r="G2" s="2">
        <v>1</v>
      </c>
      <c r="H2" s="2"/>
      <c r="I2" s="2">
        <v>4</v>
      </c>
      <c r="J2" s="2">
        <v>1</v>
      </c>
      <c r="K2" s="2">
        <v>1</v>
      </c>
      <c r="L2" s="2">
        <v>3</v>
      </c>
      <c r="M2" s="2">
        <v>3.5</v>
      </c>
      <c r="N2" s="2">
        <v>5</v>
      </c>
      <c r="O2" s="2">
        <v>3</v>
      </c>
      <c r="P2" s="2">
        <v>1</v>
      </c>
      <c r="Q2" s="2">
        <v>3</v>
      </c>
      <c r="R2" s="2">
        <v>3.5</v>
      </c>
      <c r="S2" s="2">
        <v>5</v>
      </c>
      <c r="T2" s="2">
        <v>3</v>
      </c>
      <c r="U2" s="124">
        <f>ROUND(AVERAGE(B2:T2),0)</f>
        <v>3</v>
      </c>
    </row>
    <row r="3" spans="1:21" ht="14">
      <c r="A3" s="1" t="s">
        <v>6</v>
      </c>
      <c r="B3" s="2">
        <v>3</v>
      </c>
      <c r="C3" s="2">
        <v>1</v>
      </c>
      <c r="D3" s="2">
        <v>2</v>
      </c>
      <c r="E3" s="2">
        <v>3</v>
      </c>
      <c r="F3" s="2">
        <v>1</v>
      </c>
      <c r="G3" s="2">
        <v>1</v>
      </c>
      <c r="H3" s="2">
        <v>2.5</v>
      </c>
      <c r="I3" s="2"/>
      <c r="J3" s="2">
        <v>1.5</v>
      </c>
      <c r="K3" s="2">
        <v>3</v>
      </c>
      <c r="L3" s="2">
        <v>1</v>
      </c>
      <c r="M3" s="2">
        <v>2</v>
      </c>
      <c r="N3" s="2">
        <v>3</v>
      </c>
      <c r="O3" s="2">
        <v>1</v>
      </c>
      <c r="P3" s="2">
        <v>3</v>
      </c>
      <c r="Q3" s="2">
        <v>1</v>
      </c>
      <c r="R3" s="2">
        <v>2</v>
      </c>
      <c r="S3" s="2">
        <v>3</v>
      </c>
      <c r="T3" s="2">
        <v>1</v>
      </c>
      <c r="U3" s="124">
        <f t="shared" ref="U3:U29" si="0">ROUND(AVERAGE(B3:T3),0)</f>
        <v>2</v>
      </c>
    </row>
    <row r="4" spans="1:21" ht="14">
      <c r="A4" s="1" t="s">
        <v>7</v>
      </c>
      <c r="B4" s="2">
        <v>5</v>
      </c>
      <c r="C4" s="2">
        <v>4</v>
      </c>
      <c r="D4" s="2">
        <v>5</v>
      </c>
      <c r="E4" s="2">
        <v>3.5</v>
      </c>
      <c r="F4" s="2">
        <v>3</v>
      </c>
      <c r="G4" s="2">
        <v>3.5</v>
      </c>
      <c r="H4" s="2"/>
      <c r="I4" s="2">
        <v>5</v>
      </c>
      <c r="J4" s="2">
        <v>4</v>
      </c>
      <c r="K4" s="2">
        <v>5</v>
      </c>
      <c r="L4" s="2"/>
      <c r="M4" s="2">
        <v>5</v>
      </c>
      <c r="N4" s="2">
        <v>3.5</v>
      </c>
      <c r="O4" s="2">
        <v>3</v>
      </c>
      <c r="P4" s="2">
        <v>5</v>
      </c>
      <c r="Q4" s="2">
        <v>4</v>
      </c>
      <c r="R4" s="2">
        <v>5</v>
      </c>
      <c r="S4" s="2">
        <v>3.5</v>
      </c>
      <c r="T4" s="2">
        <v>3</v>
      </c>
      <c r="U4" s="124">
        <f t="shared" si="0"/>
        <v>4</v>
      </c>
    </row>
    <row r="5" spans="1:21" ht="14">
      <c r="A5" s="1" t="s">
        <v>8</v>
      </c>
      <c r="B5" s="2">
        <v>2</v>
      </c>
      <c r="C5" s="2">
        <v>1.5</v>
      </c>
      <c r="D5" s="2">
        <v>1.5</v>
      </c>
      <c r="E5" s="2">
        <v>4</v>
      </c>
      <c r="F5" s="2">
        <v>3.5</v>
      </c>
      <c r="G5" s="2">
        <v>1</v>
      </c>
      <c r="H5" s="2"/>
      <c r="I5" s="2">
        <v>3</v>
      </c>
      <c r="J5" s="2">
        <v>1</v>
      </c>
      <c r="K5" s="2">
        <v>2</v>
      </c>
      <c r="L5" s="2">
        <v>1.5</v>
      </c>
      <c r="M5" s="2">
        <v>1.5</v>
      </c>
      <c r="N5" s="2">
        <v>4</v>
      </c>
      <c r="O5" s="2">
        <v>3.5</v>
      </c>
      <c r="P5" s="2">
        <v>2</v>
      </c>
      <c r="Q5" s="2">
        <v>1.5</v>
      </c>
      <c r="R5" s="2">
        <v>1.5</v>
      </c>
      <c r="S5" s="2">
        <v>4</v>
      </c>
      <c r="T5" s="2">
        <v>3.5</v>
      </c>
      <c r="U5" s="124">
        <f t="shared" si="0"/>
        <v>2</v>
      </c>
    </row>
    <row r="6" spans="1:21" ht="14">
      <c r="A6" s="3" t="s">
        <v>9</v>
      </c>
      <c r="B6" s="2">
        <v>3</v>
      </c>
      <c r="C6" s="2">
        <v>3.5</v>
      </c>
      <c r="D6" s="2">
        <v>4</v>
      </c>
      <c r="E6" s="2">
        <v>3</v>
      </c>
      <c r="F6" s="2">
        <v>1</v>
      </c>
      <c r="G6" s="2">
        <v>5</v>
      </c>
      <c r="H6" s="2"/>
      <c r="I6" s="2">
        <v>4</v>
      </c>
      <c r="J6" s="2">
        <v>3</v>
      </c>
      <c r="K6" s="2"/>
      <c r="L6" s="2">
        <v>3.5</v>
      </c>
      <c r="M6" s="2">
        <v>4</v>
      </c>
      <c r="N6" s="2">
        <v>3</v>
      </c>
      <c r="O6" s="2">
        <v>1</v>
      </c>
      <c r="P6" s="2">
        <v>3</v>
      </c>
      <c r="Q6" s="2">
        <v>3.5</v>
      </c>
      <c r="R6" s="2">
        <v>4</v>
      </c>
      <c r="S6" s="2">
        <v>3</v>
      </c>
      <c r="T6" s="2">
        <v>1</v>
      </c>
      <c r="U6" s="124">
        <f t="shared" si="0"/>
        <v>3</v>
      </c>
    </row>
    <row r="7" spans="1:21" ht="14">
      <c r="A7" s="1" t="s">
        <v>10</v>
      </c>
      <c r="B7" s="2">
        <v>3</v>
      </c>
      <c r="C7" s="2">
        <v>3</v>
      </c>
      <c r="D7" s="2">
        <v>1</v>
      </c>
      <c r="E7" s="2">
        <v>1</v>
      </c>
      <c r="F7" s="2">
        <v>3</v>
      </c>
      <c r="G7" s="2">
        <v>1</v>
      </c>
      <c r="H7" s="2"/>
      <c r="I7" s="2">
        <v>3</v>
      </c>
      <c r="J7" s="2">
        <v>2</v>
      </c>
      <c r="K7" s="2">
        <v>3</v>
      </c>
      <c r="L7" s="2">
        <v>3</v>
      </c>
      <c r="M7" s="2">
        <v>1</v>
      </c>
      <c r="N7" s="2">
        <v>1</v>
      </c>
      <c r="O7" s="2">
        <v>3</v>
      </c>
      <c r="P7" s="2">
        <v>3</v>
      </c>
      <c r="Q7" s="2"/>
      <c r="R7" s="2">
        <v>1</v>
      </c>
      <c r="S7" s="2">
        <v>1</v>
      </c>
      <c r="T7" s="2">
        <v>3</v>
      </c>
      <c r="U7" s="124">
        <f t="shared" si="0"/>
        <v>2</v>
      </c>
    </row>
    <row r="8" spans="1:21" ht="14">
      <c r="A8" s="1" t="s">
        <v>11</v>
      </c>
      <c r="B8" s="2">
        <v>4</v>
      </c>
      <c r="C8" s="2">
        <v>2</v>
      </c>
      <c r="D8" s="2">
        <v>5</v>
      </c>
      <c r="E8" s="2"/>
      <c r="F8" s="2">
        <v>4</v>
      </c>
      <c r="G8" s="2">
        <v>2</v>
      </c>
      <c r="H8" s="2"/>
      <c r="I8" s="2">
        <v>5</v>
      </c>
      <c r="J8" s="2">
        <v>1</v>
      </c>
      <c r="K8" s="2">
        <v>4</v>
      </c>
      <c r="L8" s="2">
        <v>2</v>
      </c>
      <c r="M8" s="2">
        <v>5</v>
      </c>
      <c r="N8" s="2">
        <v>5</v>
      </c>
      <c r="O8" s="2">
        <v>4</v>
      </c>
      <c r="P8" s="2">
        <v>4</v>
      </c>
      <c r="Q8" s="2">
        <v>2</v>
      </c>
      <c r="R8" s="2">
        <v>5</v>
      </c>
      <c r="S8" s="2">
        <v>5</v>
      </c>
      <c r="T8" s="2">
        <v>4</v>
      </c>
      <c r="U8" s="124">
        <f t="shared" si="0"/>
        <v>4</v>
      </c>
    </row>
    <row r="9" spans="1:21" ht="14">
      <c r="A9" s="1" t="s">
        <v>12</v>
      </c>
      <c r="B9" s="2">
        <v>1</v>
      </c>
      <c r="C9" s="2">
        <v>3.5</v>
      </c>
      <c r="D9" s="2">
        <v>2</v>
      </c>
      <c r="E9" s="2"/>
      <c r="F9" s="2">
        <v>3</v>
      </c>
      <c r="G9" s="2">
        <v>5</v>
      </c>
      <c r="H9" s="2">
        <v>3.5</v>
      </c>
      <c r="I9" s="2">
        <v>4</v>
      </c>
      <c r="J9" s="2"/>
      <c r="K9" s="2">
        <v>1</v>
      </c>
      <c r="L9" s="2">
        <v>3.5</v>
      </c>
      <c r="M9" s="2">
        <v>2</v>
      </c>
      <c r="N9" s="2">
        <v>3.5</v>
      </c>
      <c r="O9" s="2">
        <v>3</v>
      </c>
      <c r="P9" s="2">
        <v>1</v>
      </c>
      <c r="Q9" s="2">
        <v>3.5</v>
      </c>
      <c r="R9" s="2">
        <v>2</v>
      </c>
      <c r="S9" s="2">
        <v>3.5</v>
      </c>
      <c r="T9" s="2">
        <v>3</v>
      </c>
      <c r="U9" s="124">
        <f t="shared" si="0"/>
        <v>3</v>
      </c>
    </row>
    <row r="10" spans="1:21" ht="14">
      <c r="A10" s="1" t="s">
        <v>13</v>
      </c>
      <c r="B10" s="2">
        <v>3</v>
      </c>
      <c r="C10" s="2">
        <v>4</v>
      </c>
      <c r="D10" s="2">
        <v>3.5</v>
      </c>
      <c r="E10" s="2"/>
      <c r="F10" s="2">
        <v>2</v>
      </c>
      <c r="G10" s="2">
        <v>4.5</v>
      </c>
      <c r="H10" s="2"/>
      <c r="I10" s="2">
        <v>5</v>
      </c>
      <c r="J10" s="2">
        <v>2</v>
      </c>
      <c r="K10" s="2">
        <v>3</v>
      </c>
      <c r="L10" s="2">
        <v>4</v>
      </c>
      <c r="M10" s="2">
        <v>3.5</v>
      </c>
      <c r="N10" s="2">
        <v>4</v>
      </c>
      <c r="O10" s="2">
        <v>2</v>
      </c>
      <c r="P10" s="2">
        <v>3</v>
      </c>
      <c r="Q10" s="2">
        <v>4</v>
      </c>
      <c r="R10" s="2">
        <v>3.5</v>
      </c>
      <c r="S10" s="2">
        <v>4</v>
      </c>
      <c r="T10" s="2">
        <v>2</v>
      </c>
      <c r="U10" s="124">
        <f t="shared" si="0"/>
        <v>3</v>
      </c>
    </row>
    <row r="11" spans="1:21" ht="14">
      <c r="A11" s="1" t="s">
        <v>14</v>
      </c>
      <c r="B11" s="2">
        <v>3</v>
      </c>
      <c r="C11" s="2">
        <v>4</v>
      </c>
      <c r="D11" s="2">
        <v>3</v>
      </c>
      <c r="E11" s="2">
        <v>3.5</v>
      </c>
      <c r="F11" s="2">
        <v>3.5</v>
      </c>
      <c r="G11" s="2">
        <v>4</v>
      </c>
      <c r="H11" s="2"/>
      <c r="I11" s="2">
        <v>5</v>
      </c>
      <c r="J11" s="2">
        <v>3</v>
      </c>
      <c r="K11" s="2">
        <v>3</v>
      </c>
      <c r="L11" s="2">
        <v>4</v>
      </c>
      <c r="M11" s="2">
        <v>3</v>
      </c>
      <c r="N11" s="2"/>
      <c r="O11" s="2">
        <v>3.5</v>
      </c>
      <c r="P11" s="2">
        <v>3</v>
      </c>
      <c r="Q11" s="2">
        <v>4</v>
      </c>
      <c r="R11" s="2">
        <v>3</v>
      </c>
      <c r="S11" s="2">
        <v>3.5</v>
      </c>
      <c r="T11" s="2">
        <v>3.5</v>
      </c>
      <c r="U11" s="124">
        <f t="shared" si="0"/>
        <v>4</v>
      </c>
    </row>
    <row r="12" spans="1:21" ht="14">
      <c r="A12" s="1" t="s">
        <v>15</v>
      </c>
      <c r="B12" s="2"/>
      <c r="C12" s="2">
        <v>2.5</v>
      </c>
      <c r="D12" s="2">
        <v>2</v>
      </c>
      <c r="E12" s="2">
        <v>1</v>
      </c>
      <c r="F12" s="2">
        <v>3</v>
      </c>
      <c r="G12" s="2">
        <v>3</v>
      </c>
      <c r="H12" s="2"/>
      <c r="I12" s="2">
        <v>3</v>
      </c>
      <c r="J12" s="2">
        <v>1</v>
      </c>
      <c r="K12" s="2">
        <v>4</v>
      </c>
      <c r="L12" s="2">
        <v>2.5</v>
      </c>
      <c r="M12" s="2">
        <v>2</v>
      </c>
      <c r="N12" s="2">
        <v>1</v>
      </c>
      <c r="O12" s="2">
        <v>3</v>
      </c>
      <c r="P12" s="2">
        <v>4</v>
      </c>
      <c r="Q12" s="2">
        <v>2.5</v>
      </c>
      <c r="R12" s="2"/>
      <c r="S12" s="2">
        <v>1</v>
      </c>
      <c r="T12" s="2">
        <v>3</v>
      </c>
      <c r="U12" s="124">
        <f t="shared" si="0"/>
        <v>2</v>
      </c>
    </row>
    <row r="13" spans="1:21" ht="14">
      <c r="A13" s="3" t="s">
        <v>16</v>
      </c>
      <c r="B13" s="2">
        <v>1</v>
      </c>
      <c r="C13" s="2">
        <v>1.5</v>
      </c>
      <c r="D13" s="2">
        <v>2.5</v>
      </c>
      <c r="E13" s="2">
        <v>1</v>
      </c>
      <c r="F13" s="2">
        <v>1</v>
      </c>
      <c r="G13" s="2">
        <v>1</v>
      </c>
      <c r="H13" s="2"/>
      <c r="I13" s="2">
        <v>3</v>
      </c>
      <c r="J13" s="2">
        <v>2</v>
      </c>
      <c r="K13" s="2">
        <v>1</v>
      </c>
      <c r="L13" s="2">
        <v>1.5</v>
      </c>
      <c r="M13" s="2">
        <v>2.5</v>
      </c>
      <c r="N13" s="2">
        <v>1</v>
      </c>
      <c r="O13" s="2">
        <v>1</v>
      </c>
      <c r="P13" s="2">
        <v>1</v>
      </c>
      <c r="Q13" s="2">
        <v>1.5</v>
      </c>
      <c r="R13" s="2">
        <v>2.5</v>
      </c>
      <c r="S13" s="2">
        <v>1</v>
      </c>
      <c r="T13" s="2">
        <v>1</v>
      </c>
      <c r="U13" s="124">
        <f t="shared" si="0"/>
        <v>2</v>
      </c>
    </row>
    <row r="14" spans="1:21" ht="14">
      <c r="A14" s="1" t="s">
        <v>17</v>
      </c>
      <c r="B14" s="2">
        <v>1</v>
      </c>
      <c r="C14" s="2">
        <v>1</v>
      </c>
      <c r="D14" s="2">
        <v>1</v>
      </c>
      <c r="E14" s="2">
        <v>2</v>
      </c>
      <c r="F14" s="2">
        <v>1</v>
      </c>
      <c r="G14" s="2"/>
      <c r="H14" s="2">
        <v>1</v>
      </c>
      <c r="I14" s="2">
        <v>2</v>
      </c>
      <c r="J14" s="2"/>
      <c r="K14" s="2">
        <v>1</v>
      </c>
      <c r="L14" s="2">
        <v>1</v>
      </c>
      <c r="M14" s="2">
        <v>1</v>
      </c>
      <c r="N14" s="2">
        <v>2</v>
      </c>
      <c r="O14" s="2">
        <v>1</v>
      </c>
      <c r="P14" s="2">
        <v>1</v>
      </c>
      <c r="Q14" s="2">
        <v>1</v>
      </c>
      <c r="R14" s="2">
        <v>1</v>
      </c>
      <c r="S14" s="2">
        <v>2</v>
      </c>
      <c r="T14" s="2">
        <v>1</v>
      </c>
      <c r="U14" s="124">
        <f t="shared" si="0"/>
        <v>1</v>
      </c>
    </row>
    <row r="15" spans="1:21" ht="14">
      <c r="A15" s="1" t="s">
        <v>18</v>
      </c>
      <c r="B15" s="2">
        <v>2</v>
      </c>
      <c r="C15" s="2">
        <v>2</v>
      </c>
      <c r="D15" s="2">
        <v>2</v>
      </c>
      <c r="E15" s="2">
        <v>5</v>
      </c>
      <c r="F15" s="2">
        <v>3</v>
      </c>
      <c r="G15" s="2">
        <v>1.5</v>
      </c>
      <c r="H15" s="2"/>
      <c r="I15" s="2">
        <v>5</v>
      </c>
      <c r="J15" s="2"/>
      <c r="K15" s="2">
        <v>2</v>
      </c>
      <c r="L15" s="2">
        <v>2</v>
      </c>
      <c r="M15" s="2">
        <v>2</v>
      </c>
      <c r="N15" s="2">
        <v>5</v>
      </c>
      <c r="O15" s="2">
        <v>3</v>
      </c>
      <c r="P15" s="2">
        <v>2</v>
      </c>
      <c r="Q15" s="2">
        <v>2</v>
      </c>
      <c r="R15" s="2">
        <v>2</v>
      </c>
      <c r="S15" s="2">
        <v>5</v>
      </c>
      <c r="T15" s="2">
        <v>3</v>
      </c>
      <c r="U15" s="124">
        <f t="shared" si="0"/>
        <v>3</v>
      </c>
    </row>
    <row r="16" spans="1:21" ht="14">
      <c r="A16" s="1" t="s">
        <v>19</v>
      </c>
      <c r="B16" s="2">
        <v>1</v>
      </c>
      <c r="C16" s="2">
        <v>3</v>
      </c>
      <c r="D16" s="2"/>
      <c r="E16" s="2">
        <v>3</v>
      </c>
      <c r="F16" s="2">
        <v>4</v>
      </c>
      <c r="G16" s="2">
        <v>3</v>
      </c>
      <c r="H16" s="2">
        <v>3</v>
      </c>
      <c r="I16" s="2"/>
      <c r="J16" s="2">
        <v>1.5</v>
      </c>
      <c r="K16" s="2">
        <v>1</v>
      </c>
      <c r="L16" s="2">
        <v>3</v>
      </c>
      <c r="M16" s="2">
        <v>2</v>
      </c>
      <c r="N16" s="2">
        <v>3</v>
      </c>
      <c r="O16" s="2">
        <v>4</v>
      </c>
      <c r="P16" s="2">
        <v>1</v>
      </c>
      <c r="Q16" s="2">
        <v>3</v>
      </c>
      <c r="R16" s="2">
        <v>2</v>
      </c>
      <c r="S16" s="2">
        <v>3</v>
      </c>
      <c r="T16" s="2">
        <v>4</v>
      </c>
      <c r="U16" s="124">
        <f t="shared" si="0"/>
        <v>3</v>
      </c>
    </row>
    <row r="17" spans="1:21" ht="14">
      <c r="A17" s="1" t="s">
        <v>20</v>
      </c>
      <c r="B17" s="2">
        <v>1</v>
      </c>
      <c r="C17" s="2">
        <v>3</v>
      </c>
      <c r="D17" s="2">
        <v>1</v>
      </c>
      <c r="E17" s="2">
        <v>1</v>
      </c>
      <c r="F17" s="2">
        <v>1</v>
      </c>
      <c r="G17" s="2">
        <v>1</v>
      </c>
      <c r="H17" s="2">
        <v>2</v>
      </c>
      <c r="I17" s="2">
        <v>2</v>
      </c>
      <c r="J17" s="2">
        <v>1</v>
      </c>
      <c r="K17" s="2">
        <v>1</v>
      </c>
      <c r="L17" s="2">
        <v>3</v>
      </c>
      <c r="M17" s="2"/>
      <c r="N17" s="2">
        <v>1</v>
      </c>
      <c r="O17" s="2">
        <v>1</v>
      </c>
      <c r="P17" s="2">
        <v>1</v>
      </c>
      <c r="Q17" s="2">
        <v>3</v>
      </c>
      <c r="R17" s="2">
        <v>1</v>
      </c>
      <c r="S17" s="2">
        <v>1</v>
      </c>
      <c r="T17" s="2">
        <v>1</v>
      </c>
      <c r="U17" s="124">
        <f t="shared" si="0"/>
        <v>1</v>
      </c>
    </row>
    <row r="18" spans="1:21" ht="14">
      <c r="A18" s="1" t="s">
        <v>21</v>
      </c>
      <c r="B18" s="2">
        <v>4</v>
      </c>
      <c r="C18" s="2">
        <v>3.5</v>
      </c>
      <c r="D18" s="2">
        <v>3</v>
      </c>
      <c r="E18" s="2">
        <v>5</v>
      </c>
      <c r="F18" s="2">
        <v>4</v>
      </c>
      <c r="G18" s="2">
        <v>3</v>
      </c>
      <c r="H18" s="2"/>
      <c r="I18" s="2">
        <v>4.5</v>
      </c>
      <c r="J18" s="2">
        <v>2</v>
      </c>
      <c r="K18" s="2">
        <v>1</v>
      </c>
      <c r="L18" s="2">
        <v>3.5</v>
      </c>
      <c r="M18" s="2">
        <v>3</v>
      </c>
      <c r="N18" s="2">
        <v>5</v>
      </c>
      <c r="O18" s="2">
        <v>4</v>
      </c>
      <c r="P18" s="2">
        <v>1</v>
      </c>
      <c r="Q18" s="2">
        <v>3.5</v>
      </c>
      <c r="R18" s="2"/>
      <c r="S18" s="2">
        <v>5</v>
      </c>
      <c r="T18" s="2">
        <v>4</v>
      </c>
      <c r="U18" s="124">
        <f t="shared" si="0"/>
        <v>3</v>
      </c>
    </row>
    <row r="19" spans="1:21" ht="14">
      <c r="A19" s="1" t="s">
        <v>22</v>
      </c>
      <c r="B19" s="2">
        <v>1</v>
      </c>
      <c r="C19" s="2">
        <v>1.5</v>
      </c>
      <c r="D19" s="2">
        <v>3</v>
      </c>
      <c r="E19" s="2">
        <v>2.5</v>
      </c>
      <c r="F19" s="2">
        <v>1</v>
      </c>
      <c r="G19" s="2">
        <v>1</v>
      </c>
      <c r="H19" s="2"/>
      <c r="I19" s="2">
        <v>4</v>
      </c>
      <c r="J19" s="2">
        <v>1.5</v>
      </c>
      <c r="K19" s="2">
        <v>1</v>
      </c>
      <c r="L19" s="2">
        <v>1.5</v>
      </c>
      <c r="M19" s="2">
        <v>3</v>
      </c>
      <c r="N19" s="2">
        <v>2.5</v>
      </c>
      <c r="O19" s="2">
        <v>1</v>
      </c>
      <c r="P19" s="2">
        <v>1</v>
      </c>
      <c r="Q19" s="2">
        <v>1.5</v>
      </c>
      <c r="R19" s="2">
        <v>3</v>
      </c>
      <c r="S19" s="2">
        <v>2.5</v>
      </c>
      <c r="T19" s="2">
        <v>1</v>
      </c>
      <c r="U19" s="124">
        <f t="shared" si="0"/>
        <v>2</v>
      </c>
    </row>
    <row r="20" spans="1:21" ht="14">
      <c r="A20" s="1" t="s">
        <v>23</v>
      </c>
      <c r="B20" s="2">
        <v>3</v>
      </c>
      <c r="C20" s="2">
        <v>3</v>
      </c>
      <c r="D20" s="2">
        <v>5</v>
      </c>
      <c r="E20" s="2">
        <v>3</v>
      </c>
      <c r="F20" s="2">
        <v>4</v>
      </c>
      <c r="G20" s="2">
        <v>1</v>
      </c>
      <c r="H20" s="2">
        <v>2</v>
      </c>
      <c r="I20" s="2">
        <v>3</v>
      </c>
      <c r="J20" s="2"/>
      <c r="K20" s="2">
        <v>3</v>
      </c>
      <c r="L20" s="2">
        <v>3</v>
      </c>
      <c r="M20" s="2">
        <v>5</v>
      </c>
      <c r="N20" s="2">
        <v>3</v>
      </c>
      <c r="O20" s="2">
        <v>4</v>
      </c>
      <c r="P20" s="2">
        <v>3</v>
      </c>
      <c r="Q20" s="2">
        <v>3</v>
      </c>
      <c r="R20" s="2">
        <v>5</v>
      </c>
      <c r="S20" s="2">
        <v>3</v>
      </c>
      <c r="T20" s="2">
        <v>4</v>
      </c>
      <c r="U20" s="124">
        <f t="shared" si="0"/>
        <v>3</v>
      </c>
    </row>
    <row r="21" spans="1:21" ht="14">
      <c r="A21" s="1" t="s">
        <v>24</v>
      </c>
      <c r="B21" s="2">
        <v>3</v>
      </c>
      <c r="C21" s="2">
        <v>2</v>
      </c>
      <c r="D21" s="2">
        <v>3</v>
      </c>
      <c r="E21" s="2">
        <v>4</v>
      </c>
      <c r="F21" s="2">
        <v>2</v>
      </c>
      <c r="G21" s="2">
        <v>2</v>
      </c>
      <c r="H21" s="2"/>
      <c r="I21" s="2">
        <v>4</v>
      </c>
      <c r="J21" s="2">
        <v>2</v>
      </c>
      <c r="K21" s="2">
        <v>3</v>
      </c>
      <c r="L21" s="2">
        <v>2</v>
      </c>
      <c r="M21" s="2">
        <v>3</v>
      </c>
      <c r="N21" s="2">
        <v>4</v>
      </c>
      <c r="O21" s="2">
        <v>2</v>
      </c>
      <c r="P21" s="2">
        <v>3</v>
      </c>
      <c r="Q21" s="2">
        <v>2</v>
      </c>
      <c r="R21" s="2">
        <v>3</v>
      </c>
      <c r="S21" s="2">
        <v>4</v>
      </c>
      <c r="T21" s="2">
        <v>2</v>
      </c>
      <c r="U21" s="124">
        <f t="shared" si="0"/>
        <v>3</v>
      </c>
    </row>
    <row r="22" spans="1:21" ht="14">
      <c r="A22" s="1" t="s">
        <v>25</v>
      </c>
      <c r="B22" s="2">
        <v>5</v>
      </c>
      <c r="C22" s="2">
        <v>2.5</v>
      </c>
      <c r="D22" s="2">
        <v>5</v>
      </c>
      <c r="E22" s="2">
        <v>4</v>
      </c>
      <c r="F22" s="2">
        <v>4</v>
      </c>
      <c r="G22" s="2"/>
      <c r="H22" s="2"/>
      <c r="I22" s="2">
        <v>4</v>
      </c>
      <c r="J22" s="2">
        <v>1</v>
      </c>
      <c r="K22" s="2">
        <v>5</v>
      </c>
      <c r="L22" s="2">
        <v>2.5</v>
      </c>
      <c r="M22" s="2">
        <v>5</v>
      </c>
      <c r="N22" s="2">
        <v>4</v>
      </c>
      <c r="O22" s="2">
        <v>4</v>
      </c>
      <c r="P22" s="2">
        <v>5</v>
      </c>
      <c r="Q22" s="2">
        <v>2.5</v>
      </c>
      <c r="R22" s="2">
        <v>5</v>
      </c>
      <c r="S22" s="2">
        <v>4</v>
      </c>
      <c r="T22" s="2">
        <v>4</v>
      </c>
      <c r="U22" s="124">
        <f t="shared" si="0"/>
        <v>4</v>
      </c>
    </row>
    <row r="23" spans="1:21" ht="14">
      <c r="A23" s="1" t="s">
        <v>26</v>
      </c>
      <c r="B23" s="2">
        <v>3</v>
      </c>
      <c r="C23" s="2">
        <v>5</v>
      </c>
      <c r="D23" s="2">
        <v>4</v>
      </c>
      <c r="E23" s="2">
        <v>3</v>
      </c>
      <c r="F23" s="2">
        <v>1</v>
      </c>
      <c r="G23" s="2">
        <v>3</v>
      </c>
      <c r="H23" s="2"/>
      <c r="I23" s="2">
        <v>4</v>
      </c>
      <c r="J23" s="2">
        <v>5</v>
      </c>
      <c r="K23" s="2">
        <v>3</v>
      </c>
      <c r="L23" s="2">
        <v>5</v>
      </c>
      <c r="M23" s="2">
        <v>4</v>
      </c>
      <c r="N23" s="2">
        <v>3</v>
      </c>
      <c r="O23" s="2">
        <v>1</v>
      </c>
      <c r="P23" s="2">
        <v>3</v>
      </c>
      <c r="Q23" s="2">
        <v>5</v>
      </c>
      <c r="R23" s="2">
        <v>4</v>
      </c>
      <c r="S23" s="2">
        <v>3</v>
      </c>
      <c r="T23" s="2">
        <v>1</v>
      </c>
      <c r="U23" s="124">
        <f t="shared" si="0"/>
        <v>3</v>
      </c>
    </row>
    <row r="24" spans="1:21" ht="14">
      <c r="A24" s="1" t="s">
        <v>27</v>
      </c>
      <c r="B24" s="2">
        <v>5</v>
      </c>
      <c r="C24" s="2">
        <v>2</v>
      </c>
      <c r="D24" s="2">
        <v>4</v>
      </c>
      <c r="E24" s="2">
        <v>3</v>
      </c>
      <c r="F24" s="2">
        <v>4</v>
      </c>
      <c r="G24" s="2">
        <v>1</v>
      </c>
      <c r="H24" s="2"/>
      <c r="I24" s="2">
        <v>3</v>
      </c>
      <c r="J24" s="2">
        <v>1</v>
      </c>
      <c r="K24" s="2">
        <v>5</v>
      </c>
      <c r="L24" s="2">
        <v>2</v>
      </c>
      <c r="M24" s="2">
        <v>4</v>
      </c>
      <c r="N24" s="2">
        <v>3</v>
      </c>
      <c r="O24" s="2">
        <v>4</v>
      </c>
      <c r="P24" s="2">
        <v>5</v>
      </c>
      <c r="Q24" s="2">
        <v>2</v>
      </c>
      <c r="R24" s="2">
        <v>4</v>
      </c>
      <c r="S24" s="2">
        <v>3</v>
      </c>
      <c r="T24" s="2">
        <v>4</v>
      </c>
      <c r="U24" s="124">
        <f t="shared" si="0"/>
        <v>3</v>
      </c>
    </row>
    <row r="25" spans="1:21" ht="14">
      <c r="A25" s="4" t="s">
        <v>28</v>
      </c>
      <c r="B25" s="2">
        <v>3</v>
      </c>
      <c r="C25" s="2">
        <v>1</v>
      </c>
      <c r="D25" s="2">
        <v>3</v>
      </c>
      <c r="E25" s="2">
        <v>1.5</v>
      </c>
      <c r="F25" s="2">
        <v>2</v>
      </c>
      <c r="G25" s="2">
        <v>1</v>
      </c>
      <c r="H25" s="2">
        <v>2</v>
      </c>
      <c r="I25" s="2">
        <v>3</v>
      </c>
      <c r="J25" s="2"/>
      <c r="K25" s="2">
        <v>3</v>
      </c>
      <c r="L25" s="2">
        <v>1</v>
      </c>
      <c r="M25" s="2">
        <v>3</v>
      </c>
      <c r="N25" s="2">
        <v>1.5</v>
      </c>
      <c r="O25" s="2">
        <v>2</v>
      </c>
      <c r="P25" s="2">
        <v>3</v>
      </c>
      <c r="Q25" s="2">
        <v>1</v>
      </c>
      <c r="R25" s="2">
        <v>3</v>
      </c>
      <c r="S25" s="2"/>
      <c r="T25" s="2">
        <v>2</v>
      </c>
      <c r="U25" s="124">
        <f t="shared" si="0"/>
        <v>2</v>
      </c>
    </row>
    <row r="26" spans="1:21" ht="14">
      <c r="A26" s="5" t="s">
        <v>29</v>
      </c>
      <c r="B26" s="2">
        <v>4</v>
      </c>
      <c r="C26" s="2">
        <v>3</v>
      </c>
      <c r="D26" s="2">
        <v>3</v>
      </c>
      <c r="E26" s="2">
        <v>4</v>
      </c>
      <c r="F26" s="2">
        <v>1</v>
      </c>
      <c r="G26" s="2">
        <v>3</v>
      </c>
      <c r="H26" s="2"/>
      <c r="I26" s="2">
        <v>4</v>
      </c>
      <c r="J26" s="2">
        <v>3</v>
      </c>
      <c r="K26" s="2">
        <v>4</v>
      </c>
      <c r="L26" s="2"/>
      <c r="M26" s="2">
        <v>3</v>
      </c>
      <c r="N26" s="2">
        <v>4</v>
      </c>
      <c r="O26" s="2">
        <v>1</v>
      </c>
      <c r="P26" s="2">
        <v>4</v>
      </c>
      <c r="Q26" s="2">
        <v>3</v>
      </c>
      <c r="R26" s="2">
        <v>3</v>
      </c>
      <c r="S26" s="2">
        <v>4</v>
      </c>
      <c r="T26" s="2">
        <v>1</v>
      </c>
      <c r="U26" s="124">
        <f t="shared" si="0"/>
        <v>3</v>
      </c>
    </row>
    <row r="27" spans="1:21" ht="14">
      <c r="A27" s="5" t="s">
        <v>30</v>
      </c>
      <c r="B27" s="2">
        <v>3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/>
      <c r="I27" s="2">
        <v>4</v>
      </c>
      <c r="J27" s="2">
        <v>1.5</v>
      </c>
      <c r="K27" s="2">
        <v>3</v>
      </c>
      <c r="L27" s="2"/>
      <c r="M27" s="2">
        <v>2</v>
      </c>
      <c r="N27" s="2">
        <v>3</v>
      </c>
      <c r="O27" s="2">
        <v>1</v>
      </c>
      <c r="P27" s="2">
        <v>3</v>
      </c>
      <c r="Q27" s="2">
        <v>3</v>
      </c>
      <c r="R27" s="2">
        <v>2</v>
      </c>
      <c r="S27" s="2">
        <v>3</v>
      </c>
      <c r="T27" s="2">
        <v>1</v>
      </c>
      <c r="U27" s="124">
        <f t="shared" si="0"/>
        <v>2</v>
      </c>
    </row>
    <row r="28" spans="1:21" ht="14">
      <c r="A28" s="4" t="s">
        <v>31</v>
      </c>
      <c r="B28" s="2">
        <v>2.5</v>
      </c>
      <c r="C28" s="2">
        <v>1</v>
      </c>
      <c r="D28" s="2">
        <v>2</v>
      </c>
      <c r="E28" s="2">
        <v>3.5</v>
      </c>
      <c r="F28" s="2">
        <v>1</v>
      </c>
      <c r="G28" s="2">
        <v>1</v>
      </c>
      <c r="H28" s="2"/>
      <c r="I28" s="2">
        <v>4</v>
      </c>
      <c r="J28" s="2">
        <v>1.5</v>
      </c>
      <c r="K28" s="2">
        <v>2.5</v>
      </c>
      <c r="L28" s="2">
        <v>1</v>
      </c>
      <c r="M28" s="2">
        <v>2</v>
      </c>
      <c r="N28" s="2">
        <v>3.5</v>
      </c>
      <c r="O28" s="2">
        <v>1</v>
      </c>
      <c r="P28" s="2">
        <v>2.5</v>
      </c>
      <c r="Q28" s="2">
        <v>1</v>
      </c>
      <c r="R28" s="2">
        <v>2</v>
      </c>
      <c r="S28" s="2">
        <v>3.5</v>
      </c>
      <c r="T28" s="2">
        <v>1</v>
      </c>
      <c r="U28" s="124">
        <f t="shared" si="0"/>
        <v>2</v>
      </c>
    </row>
    <row r="29" spans="1:21" ht="14">
      <c r="A29" s="5" t="s">
        <v>32</v>
      </c>
      <c r="B29" s="2">
        <v>2</v>
      </c>
      <c r="C29" s="2">
        <v>3</v>
      </c>
      <c r="D29" s="2">
        <v>3</v>
      </c>
      <c r="E29" s="2">
        <v>3</v>
      </c>
      <c r="F29" s="2">
        <v>5</v>
      </c>
      <c r="G29" s="2">
        <v>3</v>
      </c>
      <c r="H29" s="2"/>
      <c r="I29" s="2">
        <v>4</v>
      </c>
      <c r="J29" s="2">
        <v>3</v>
      </c>
      <c r="K29" s="2">
        <v>2</v>
      </c>
      <c r="L29" s="2">
        <v>3</v>
      </c>
      <c r="M29" s="2">
        <v>3</v>
      </c>
      <c r="N29" s="2">
        <v>3</v>
      </c>
      <c r="O29" s="2">
        <v>5</v>
      </c>
      <c r="P29" s="2">
        <v>2</v>
      </c>
      <c r="Q29" s="2">
        <v>3</v>
      </c>
      <c r="R29" s="2">
        <v>3</v>
      </c>
      <c r="S29" s="2">
        <v>3</v>
      </c>
      <c r="T29" s="2">
        <v>5</v>
      </c>
      <c r="U29" s="124">
        <f t="shared" si="0"/>
        <v>3</v>
      </c>
    </row>
    <row r="30" spans="1:21">
      <c r="B30" s="8">
        <f>COUNT(B2:B29)</f>
        <v>27</v>
      </c>
      <c r="C30" s="8">
        <f t="shared" ref="C30:T30" si="1">COUNT(C2:C29)</f>
        <v>28</v>
      </c>
      <c r="D30" s="8">
        <f t="shared" si="1"/>
        <v>27</v>
      </c>
      <c r="E30" s="8">
        <f t="shared" si="1"/>
        <v>25</v>
      </c>
      <c r="F30" s="8">
        <f t="shared" si="1"/>
        <v>28</v>
      </c>
      <c r="G30" s="8">
        <f t="shared" si="1"/>
        <v>26</v>
      </c>
      <c r="H30" s="8">
        <f t="shared" si="1"/>
        <v>7</v>
      </c>
      <c r="I30" s="8">
        <f t="shared" si="1"/>
        <v>26</v>
      </c>
      <c r="J30" s="8">
        <f t="shared" si="1"/>
        <v>23</v>
      </c>
      <c r="K30" s="8">
        <f t="shared" si="1"/>
        <v>27</v>
      </c>
      <c r="L30" s="8">
        <f t="shared" si="1"/>
        <v>25</v>
      </c>
      <c r="M30" s="8">
        <f t="shared" si="1"/>
        <v>27</v>
      </c>
      <c r="N30" s="8">
        <f t="shared" si="1"/>
        <v>27</v>
      </c>
      <c r="O30" s="8">
        <f t="shared" si="1"/>
        <v>28</v>
      </c>
      <c r="P30" s="8">
        <f t="shared" si="1"/>
        <v>28</v>
      </c>
      <c r="Q30" s="8">
        <f t="shared" si="1"/>
        <v>27</v>
      </c>
      <c r="R30" s="8">
        <f t="shared" si="1"/>
        <v>26</v>
      </c>
      <c r="S30" s="8">
        <f t="shared" si="1"/>
        <v>27</v>
      </c>
      <c r="T30" s="8">
        <f t="shared" si="1"/>
        <v>28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6552-89D2-8245-8388-5F388A1D9F17}">
  <dimension ref="B1:Y18"/>
  <sheetViews>
    <sheetView zoomScale="85" workbookViewId="0">
      <selection activeCell="D17" sqref="D17"/>
    </sheetView>
  </sheetViews>
  <sheetFormatPr baseColWidth="10" defaultColWidth="9.1640625" defaultRowHeight="13"/>
  <cols>
    <col min="1" max="1" width="12.1640625" style="63" customWidth="1"/>
    <col min="2" max="2" width="17" style="63" bestFit="1" customWidth="1"/>
    <col min="3" max="22" width="5.33203125" style="63" customWidth="1"/>
    <col min="23" max="23" width="10.83203125" style="63" customWidth="1"/>
    <col min="24" max="25" width="16.1640625" style="63" bestFit="1" customWidth="1"/>
    <col min="26" max="16384" width="9.1640625" style="63"/>
  </cols>
  <sheetData>
    <row r="1" spans="2:25" ht="14" thickBot="1"/>
    <row r="2" spans="2:25" ht="24.75" customHeight="1" thickBot="1">
      <c r="B2" s="95" t="s">
        <v>94</v>
      </c>
      <c r="C2" s="138" t="s">
        <v>93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40" t="s">
        <v>92</v>
      </c>
      <c r="X2" s="141"/>
      <c r="Y2" s="94"/>
    </row>
    <row r="3" spans="2:25" ht="15.75" customHeight="1" thickBot="1">
      <c r="B3" s="93" t="s">
        <v>91</v>
      </c>
      <c r="C3" s="92">
        <v>1</v>
      </c>
      <c r="D3" s="92">
        <v>2</v>
      </c>
      <c r="E3" s="92">
        <v>3</v>
      </c>
      <c r="F3" s="92">
        <v>4</v>
      </c>
      <c r="G3" s="92">
        <v>5</v>
      </c>
      <c r="H3" s="92">
        <v>6</v>
      </c>
      <c r="I3" s="92">
        <v>7</v>
      </c>
      <c r="J3" s="92">
        <v>8</v>
      </c>
      <c r="K3" s="92">
        <v>9</v>
      </c>
      <c r="L3" s="92">
        <v>10</v>
      </c>
      <c r="M3" s="92">
        <v>11</v>
      </c>
      <c r="N3" s="92">
        <v>12</v>
      </c>
      <c r="O3" s="92">
        <v>13</v>
      </c>
      <c r="P3" s="92">
        <v>14</v>
      </c>
      <c r="Q3" s="92">
        <v>15</v>
      </c>
      <c r="R3" s="92">
        <v>16</v>
      </c>
      <c r="S3" s="92">
        <v>17</v>
      </c>
      <c r="T3" s="92">
        <v>18</v>
      </c>
      <c r="U3" s="92">
        <v>19</v>
      </c>
      <c r="V3" s="91">
        <v>20</v>
      </c>
      <c r="W3" s="90" t="s">
        <v>77</v>
      </c>
      <c r="X3" s="89" t="s">
        <v>90</v>
      </c>
    </row>
    <row r="4" spans="2:25" ht="15.75" customHeight="1" thickBot="1">
      <c r="B4" s="79" t="s">
        <v>89</v>
      </c>
      <c r="C4" s="88">
        <v>0.6</v>
      </c>
      <c r="D4" s="86">
        <v>0.6</v>
      </c>
      <c r="E4" s="87">
        <v>1</v>
      </c>
      <c r="F4" s="86">
        <v>1</v>
      </c>
      <c r="G4" s="86">
        <v>0.25</v>
      </c>
      <c r="H4" s="87">
        <v>1</v>
      </c>
      <c r="I4" s="86">
        <v>0</v>
      </c>
      <c r="J4" s="86">
        <v>0</v>
      </c>
      <c r="K4" s="87">
        <v>1</v>
      </c>
      <c r="L4" s="86">
        <v>0</v>
      </c>
      <c r="M4" s="86">
        <v>0</v>
      </c>
      <c r="N4" s="87">
        <v>0.5</v>
      </c>
      <c r="O4" s="86">
        <v>1</v>
      </c>
      <c r="P4" s="86">
        <v>0</v>
      </c>
      <c r="Q4" s="87">
        <v>1</v>
      </c>
      <c r="R4" s="86">
        <v>1</v>
      </c>
      <c r="S4" s="86">
        <v>1</v>
      </c>
      <c r="T4" s="87">
        <v>1</v>
      </c>
      <c r="U4" s="86">
        <v>0.6</v>
      </c>
      <c r="V4" s="85">
        <v>1</v>
      </c>
      <c r="W4" s="84">
        <f>SUM(C4:V4)</f>
        <v>12.549999999999999</v>
      </c>
      <c r="X4" s="125">
        <f>W4/20</f>
        <v>0.62749999999999995</v>
      </c>
    </row>
    <row r="5" spans="2:25" ht="15.75" customHeight="1" thickBot="1">
      <c r="B5" s="83" t="s">
        <v>88</v>
      </c>
      <c r="C5" s="82">
        <v>1</v>
      </c>
      <c r="D5" s="81">
        <v>1</v>
      </c>
      <c r="E5" s="81">
        <v>1</v>
      </c>
      <c r="F5" s="81">
        <v>0</v>
      </c>
      <c r="G5" s="81">
        <v>0</v>
      </c>
      <c r="H5" s="81">
        <v>0</v>
      </c>
      <c r="I5" s="81" t="s">
        <v>33</v>
      </c>
      <c r="J5" s="81">
        <v>1</v>
      </c>
      <c r="K5" s="81">
        <v>1</v>
      </c>
      <c r="L5" s="81">
        <v>0</v>
      </c>
      <c r="M5" s="81">
        <v>0</v>
      </c>
      <c r="N5" s="81">
        <v>0</v>
      </c>
      <c r="O5" s="81">
        <v>0.6</v>
      </c>
      <c r="P5" s="81">
        <v>0</v>
      </c>
      <c r="Q5" s="81">
        <v>1</v>
      </c>
      <c r="R5" s="81">
        <v>1</v>
      </c>
      <c r="S5" s="81">
        <v>1</v>
      </c>
      <c r="T5" s="81">
        <v>1</v>
      </c>
      <c r="U5" s="81">
        <v>0.9</v>
      </c>
      <c r="V5" s="80">
        <v>1</v>
      </c>
      <c r="W5" s="84">
        <f t="shared" ref="W5:W15" si="0">SUM(C5:V5)</f>
        <v>11.5</v>
      </c>
      <c r="X5" s="125">
        <f t="shared" ref="X5:X15" si="1">W5/20</f>
        <v>0.57499999999999996</v>
      </c>
    </row>
    <row r="6" spans="2:25" ht="15.75" customHeight="1" thickBot="1">
      <c r="B6" s="79" t="s">
        <v>87</v>
      </c>
      <c r="C6" s="78">
        <v>0.4</v>
      </c>
      <c r="D6" s="76">
        <v>0.6</v>
      </c>
      <c r="E6" s="77">
        <v>1</v>
      </c>
      <c r="F6" s="76">
        <v>0.6</v>
      </c>
      <c r="G6" s="76">
        <v>0.75</v>
      </c>
      <c r="H6" s="77">
        <v>1</v>
      </c>
      <c r="I6" s="76">
        <v>0.5</v>
      </c>
      <c r="J6" s="76">
        <v>1</v>
      </c>
      <c r="K6" s="77">
        <v>1</v>
      </c>
      <c r="L6" s="76" t="s">
        <v>33</v>
      </c>
      <c r="M6" s="76">
        <v>0</v>
      </c>
      <c r="N6" s="77" t="s">
        <v>33</v>
      </c>
      <c r="O6" s="76">
        <v>0.6</v>
      </c>
      <c r="P6" s="76">
        <v>0</v>
      </c>
      <c r="Q6" s="77" t="s">
        <v>33</v>
      </c>
      <c r="R6" s="76">
        <v>0</v>
      </c>
      <c r="S6" s="76">
        <v>1</v>
      </c>
      <c r="T6" s="77">
        <v>0</v>
      </c>
      <c r="U6" s="76">
        <v>0.4</v>
      </c>
      <c r="V6" s="75">
        <v>1</v>
      </c>
      <c r="W6" s="84">
        <f t="shared" si="0"/>
        <v>9.85</v>
      </c>
      <c r="X6" s="125">
        <f t="shared" si="1"/>
        <v>0.49249999999999999</v>
      </c>
    </row>
    <row r="7" spans="2:25" ht="15.75" customHeight="1" thickBot="1">
      <c r="B7" s="83" t="s">
        <v>86</v>
      </c>
      <c r="C7" s="82">
        <v>0.8</v>
      </c>
      <c r="D7" s="81">
        <v>1</v>
      </c>
      <c r="E7" s="81">
        <v>1</v>
      </c>
      <c r="F7" s="81">
        <v>0.6</v>
      </c>
      <c r="G7" s="81">
        <v>1</v>
      </c>
      <c r="H7" s="81">
        <v>1</v>
      </c>
      <c r="I7" s="81" t="s">
        <v>33</v>
      </c>
      <c r="J7" s="81">
        <v>1</v>
      </c>
      <c r="K7" s="81" t="s">
        <v>33</v>
      </c>
      <c r="L7" s="81" t="s">
        <v>33</v>
      </c>
      <c r="M7" s="81">
        <v>0</v>
      </c>
      <c r="N7" s="81">
        <v>0</v>
      </c>
      <c r="O7" s="81">
        <v>1</v>
      </c>
      <c r="P7" s="81">
        <v>0</v>
      </c>
      <c r="Q7" s="81">
        <v>1</v>
      </c>
      <c r="R7" s="81" t="s">
        <v>33</v>
      </c>
      <c r="S7" s="81" t="s">
        <v>33</v>
      </c>
      <c r="T7" s="81">
        <v>1</v>
      </c>
      <c r="U7" s="81">
        <v>0.9</v>
      </c>
      <c r="V7" s="80">
        <v>1</v>
      </c>
      <c r="W7" s="84">
        <f t="shared" si="0"/>
        <v>11.3</v>
      </c>
      <c r="X7" s="125">
        <f t="shared" si="1"/>
        <v>0.56500000000000006</v>
      </c>
    </row>
    <row r="8" spans="2:25" ht="15.75" customHeight="1" thickBot="1">
      <c r="B8" s="79" t="s">
        <v>85</v>
      </c>
      <c r="C8" s="78">
        <v>0.2</v>
      </c>
      <c r="D8" s="76">
        <v>0.6</v>
      </c>
      <c r="E8" s="77">
        <v>1</v>
      </c>
      <c r="F8" s="76">
        <v>0.3</v>
      </c>
      <c r="G8" s="76">
        <v>0</v>
      </c>
      <c r="H8" s="77">
        <v>1</v>
      </c>
      <c r="I8" s="76">
        <v>1</v>
      </c>
      <c r="J8" s="76">
        <v>0</v>
      </c>
      <c r="K8" s="77">
        <v>0</v>
      </c>
      <c r="L8" s="76" t="s">
        <v>33</v>
      </c>
      <c r="M8" s="76">
        <v>0</v>
      </c>
      <c r="N8" s="77">
        <v>0.5</v>
      </c>
      <c r="O8" s="76">
        <v>1</v>
      </c>
      <c r="P8" s="76">
        <v>0</v>
      </c>
      <c r="Q8" s="77">
        <v>1</v>
      </c>
      <c r="R8" s="76">
        <v>1</v>
      </c>
      <c r="S8" s="76">
        <v>1</v>
      </c>
      <c r="T8" s="77">
        <v>1</v>
      </c>
      <c r="U8" s="76">
        <v>0.9</v>
      </c>
      <c r="V8" s="75">
        <v>1</v>
      </c>
      <c r="W8" s="84">
        <f t="shared" si="0"/>
        <v>11.5</v>
      </c>
      <c r="X8" s="125">
        <f t="shared" si="1"/>
        <v>0.57499999999999996</v>
      </c>
    </row>
    <row r="9" spans="2:25" ht="15.75" customHeight="1" thickBot="1">
      <c r="B9" s="83" t="s">
        <v>84</v>
      </c>
      <c r="C9" s="82">
        <v>0.6</v>
      </c>
      <c r="D9" s="81">
        <v>0.3</v>
      </c>
      <c r="E9" s="81">
        <v>0.6</v>
      </c>
      <c r="F9" s="81">
        <v>0.6</v>
      </c>
      <c r="G9" s="81">
        <v>0.5</v>
      </c>
      <c r="H9" s="81">
        <v>1</v>
      </c>
      <c r="I9" s="81">
        <v>1</v>
      </c>
      <c r="J9" s="81">
        <v>1</v>
      </c>
      <c r="K9" s="81">
        <v>0</v>
      </c>
      <c r="L9" s="81">
        <v>0</v>
      </c>
      <c r="M9" s="81">
        <v>0</v>
      </c>
      <c r="N9" s="81" t="s">
        <v>33</v>
      </c>
      <c r="O9" s="81">
        <v>1</v>
      </c>
      <c r="P9" s="81">
        <v>0</v>
      </c>
      <c r="Q9" s="81">
        <v>0</v>
      </c>
      <c r="R9" s="81">
        <v>1</v>
      </c>
      <c r="S9" s="81">
        <v>1</v>
      </c>
      <c r="T9" s="81">
        <v>1</v>
      </c>
      <c r="U9" s="81">
        <v>0.4</v>
      </c>
      <c r="V9" s="80">
        <v>1</v>
      </c>
      <c r="W9" s="84">
        <f t="shared" si="0"/>
        <v>11</v>
      </c>
      <c r="X9" s="125">
        <f t="shared" si="1"/>
        <v>0.55000000000000004</v>
      </c>
    </row>
    <row r="10" spans="2:25" ht="15.75" customHeight="1" thickBot="1">
      <c r="B10" s="79" t="s">
        <v>83</v>
      </c>
      <c r="C10" s="78">
        <v>0</v>
      </c>
      <c r="D10" s="76">
        <v>0.3</v>
      </c>
      <c r="E10" s="77">
        <v>0.3</v>
      </c>
      <c r="F10" s="76">
        <v>0</v>
      </c>
      <c r="G10" s="76">
        <v>0.5</v>
      </c>
      <c r="H10" s="77">
        <v>1</v>
      </c>
      <c r="I10" s="76">
        <v>0</v>
      </c>
      <c r="J10" s="76">
        <v>0</v>
      </c>
      <c r="K10" s="77">
        <v>1</v>
      </c>
      <c r="L10" s="76">
        <v>0</v>
      </c>
      <c r="M10" s="76">
        <v>0</v>
      </c>
      <c r="N10" s="77">
        <v>0</v>
      </c>
      <c r="O10" s="76">
        <v>1</v>
      </c>
      <c r="P10" s="76">
        <v>0</v>
      </c>
      <c r="Q10" s="77">
        <v>1</v>
      </c>
      <c r="R10" s="76">
        <v>1</v>
      </c>
      <c r="S10" s="76">
        <v>1</v>
      </c>
      <c r="T10" s="77">
        <v>0</v>
      </c>
      <c r="U10" s="76">
        <v>0.4</v>
      </c>
      <c r="V10" s="75">
        <v>1</v>
      </c>
      <c r="W10" s="84">
        <f t="shared" si="0"/>
        <v>8.5</v>
      </c>
      <c r="X10" s="125">
        <f t="shared" si="1"/>
        <v>0.42499999999999999</v>
      </c>
    </row>
    <row r="11" spans="2:25" ht="15.75" customHeight="1" thickBot="1">
      <c r="B11" s="83" t="s">
        <v>82</v>
      </c>
      <c r="C11" s="82">
        <v>1</v>
      </c>
      <c r="D11" s="81">
        <v>0.6</v>
      </c>
      <c r="E11" s="81">
        <v>0.6</v>
      </c>
      <c r="F11" s="81">
        <v>0.6</v>
      </c>
      <c r="G11" s="81">
        <v>0.5</v>
      </c>
      <c r="H11" s="81">
        <v>0</v>
      </c>
      <c r="I11" s="81">
        <v>0</v>
      </c>
      <c r="J11" s="81">
        <v>1</v>
      </c>
      <c r="K11" s="81">
        <v>1</v>
      </c>
      <c r="L11" s="81" t="s">
        <v>33</v>
      </c>
      <c r="M11" s="81">
        <v>1</v>
      </c>
      <c r="N11" s="81" t="s">
        <v>33</v>
      </c>
      <c r="O11" s="81">
        <v>1</v>
      </c>
      <c r="P11" s="81">
        <v>1</v>
      </c>
      <c r="Q11" s="81" t="s">
        <v>33</v>
      </c>
      <c r="R11" s="81">
        <v>0</v>
      </c>
      <c r="S11" s="81">
        <v>0</v>
      </c>
      <c r="T11" s="81">
        <v>1</v>
      </c>
      <c r="U11" s="81">
        <v>0.9</v>
      </c>
      <c r="V11" s="80">
        <v>1</v>
      </c>
      <c r="W11" s="84">
        <f t="shared" si="0"/>
        <v>11.200000000000001</v>
      </c>
      <c r="X11" s="125">
        <f t="shared" si="1"/>
        <v>0.56000000000000005</v>
      </c>
    </row>
    <row r="12" spans="2:25" ht="15.75" customHeight="1" thickBot="1">
      <c r="B12" s="79" t="s">
        <v>81</v>
      </c>
      <c r="C12" s="78">
        <v>0.6</v>
      </c>
      <c r="D12" s="76">
        <v>0.3</v>
      </c>
      <c r="E12" s="77">
        <v>1</v>
      </c>
      <c r="F12" s="76">
        <v>0</v>
      </c>
      <c r="G12" s="76">
        <v>0.25</v>
      </c>
      <c r="H12" s="77">
        <v>1</v>
      </c>
      <c r="I12" s="76">
        <v>1</v>
      </c>
      <c r="J12" s="76">
        <v>0</v>
      </c>
      <c r="K12" s="77">
        <v>1</v>
      </c>
      <c r="L12" s="76">
        <v>0</v>
      </c>
      <c r="M12" s="76" t="s">
        <v>33</v>
      </c>
      <c r="N12" s="77" t="s">
        <v>33</v>
      </c>
      <c r="O12" s="76">
        <v>1</v>
      </c>
      <c r="P12" s="76">
        <v>0</v>
      </c>
      <c r="Q12" s="77">
        <v>0.5</v>
      </c>
      <c r="R12" s="76">
        <v>1</v>
      </c>
      <c r="S12" s="76">
        <v>1</v>
      </c>
      <c r="T12" s="77">
        <v>0</v>
      </c>
      <c r="U12" s="76">
        <v>0</v>
      </c>
      <c r="V12" s="75">
        <v>0.75</v>
      </c>
      <c r="W12" s="84">
        <f t="shared" si="0"/>
        <v>9.4</v>
      </c>
      <c r="X12" s="125">
        <f t="shared" si="1"/>
        <v>0.47000000000000003</v>
      </c>
    </row>
    <row r="13" spans="2:25" ht="15.75" customHeight="1" thickBot="1">
      <c r="B13" s="83" t="s">
        <v>80</v>
      </c>
      <c r="C13" s="82">
        <v>0.4</v>
      </c>
      <c r="D13" s="81">
        <v>1</v>
      </c>
      <c r="E13" s="81">
        <v>1</v>
      </c>
      <c r="F13" s="81">
        <v>1</v>
      </c>
      <c r="G13" s="81">
        <v>0.5</v>
      </c>
      <c r="H13" s="81">
        <v>1</v>
      </c>
      <c r="I13" s="81">
        <v>1</v>
      </c>
      <c r="J13" s="81">
        <v>0</v>
      </c>
      <c r="K13" s="81" t="s">
        <v>33</v>
      </c>
      <c r="L13" s="81">
        <v>0</v>
      </c>
      <c r="M13" s="81">
        <v>0</v>
      </c>
      <c r="N13" s="81" t="s">
        <v>33</v>
      </c>
      <c r="O13" s="81">
        <v>1</v>
      </c>
      <c r="P13" s="81">
        <v>0</v>
      </c>
      <c r="Q13" s="81">
        <v>0.5</v>
      </c>
      <c r="R13" s="81">
        <v>0</v>
      </c>
      <c r="S13" s="81">
        <v>0</v>
      </c>
      <c r="T13" s="81">
        <v>0</v>
      </c>
      <c r="U13" s="81">
        <v>0.2</v>
      </c>
      <c r="V13" s="80">
        <v>1</v>
      </c>
      <c r="W13" s="84">
        <f t="shared" si="0"/>
        <v>8.6000000000000014</v>
      </c>
      <c r="X13" s="125">
        <f t="shared" si="1"/>
        <v>0.43000000000000005</v>
      </c>
    </row>
    <row r="14" spans="2:25" ht="15.75" customHeight="1" thickBot="1">
      <c r="B14" s="79" t="s">
        <v>79</v>
      </c>
      <c r="C14" s="78">
        <v>0.6</v>
      </c>
      <c r="D14" s="76">
        <v>0.3</v>
      </c>
      <c r="E14" s="77">
        <v>1</v>
      </c>
      <c r="F14" s="76">
        <v>0.6</v>
      </c>
      <c r="G14" s="76">
        <v>0.75</v>
      </c>
      <c r="H14" s="77">
        <v>1</v>
      </c>
      <c r="I14" s="76">
        <v>1</v>
      </c>
      <c r="J14" s="76">
        <v>1</v>
      </c>
      <c r="K14" s="77">
        <v>1</v>
      </c>
      <c r="L14" s="76">
        <v>0</v>
      </c>
      <c r="M14" s="76">
        <v>1</v>
      </c>
      <c r="N14" s="77">
        <v>0.5</v>
      </c>
      <c r="O14" s="76">
        <v>1</v>
      </c>
      <c r="P14" s="76">
        <v>0</v>
      </c>
      <c r="Q14" s="77" t="s">
        <v>33</v>
      </c>
      <c r="R14" s="76">
        <v>1</v>
      </c>
      <c r="S14" s="76">
        <v>1</v>
      </c>
      <c r="T14" s="77">
        <v>1</v>
      </c>
      <c r="U14" s="76">
        <v>0.2</v>
      </c>
      <c r="V14" s="75">
        <v>1</v>
      </c>
      <c r="W14" s="84">
        <f t="shared" si="0"/>
        <v>13.95</v>
      </c>
      <c r="X14" s="125">
        <f t="shared" si="1"/>
        <v>0.69750000000000001</v>
      </c>
    </row>
    <row r="15" spans="2:25" ht="15.75" customHeight="1" thickBot="1">
      <c r="B15" s="74" t="s">
        <v>78</v>
      </c>
      <c r="C15" s="73">
        <v>1</v>
      </c>
      <c r="D15" s="72">
        <v>1</v>
      </c>
      <c r="E15" s="72">
        <v>1</v>
      </c>
      <c r="F15" s="72">
        <v>0.6</v>
      </c>
      <c r="G15" s="72">
        <v>1</v>
      </c>
      <c r="H15" s="72">
        <v>1</v>
      </c>
      <c r="I15" s="72">
        <v>1</v>
      </c>
      <c r="J15" s="72">
        <v>1</v>
      </c>
      <c r="K15" s="72">
        <v>1</v>
      </c>
      <c r="L15" s="72">
        <v>0</v>
      </c>
      <c r="M15" s="72">
        <v>1</v>
      </c>
      <c r="N15" s="72">
        <v>0.5</v>
      </c>
      <c r="O15" s="72">
        <v>1</v>
      </c>
      <c r="P15" s="72">
        <v>0</v>
      </c>
      <c r="Q15" s="72">
        <v>1</v>
      </c>
      <c r="R15" s="72">
        <v>1</v>
      </c>
      <c r="S15" s="72">
        <v>1</v>
      </c>
      <c r="T15" s="72">
        <v>1</v>
      </c>
      <c r="U15" s="72">
        <v>1</v>
      </c>
      <c r="V15" s="71">
        <v>1</v>
      </c>
      <c r="W15" s="84">
        <f t="shared" si="0"/>
        <v>17.100000000000001</v>
      </c>
      <c r="X15" s="125">
        <f t="shared" si="1"/>
        <v>0.85500000000000009</v>
      </c>
    </row>
    <row r="16" spans="2:25" ht="18" customHeight="1">
      <c r="B16" s="70" t="s">
        <v>77</v>
      </c>
      <c r="C16" s="69">
        <f>SUM(C4:C15)</f>
        <v>7.1999999999999993</v>
      </c>
      <c r="D16" s="69">
        <f t="shared" ref="D16:V16" si="2">SUM(D4:D15)</f>
        <v>7.6</v>
      </c>
      <c r="E16" s="69">
        <f t="shared" si="2"/>
        <v>10.5</v>
      </c>
      <c r="F16" s="69">
        <f t="shared" si="2"/>
        <v>5.8999999999999995</v>
      </c>
      <c r="G16" s="69">
        <f t="shared" si="2"/>
        <v>6</v>
      </c>
      <c r="H16" s="69">
        <f t="shared" si="2"/>
        <v>10</v>
      </c>
      <c r="I16" s="69">
        <f t="shared" si="2"/>
        <v>6.5</v>
      </c>
      <c r="J16" s="69">
        <f t="shared" si="2"/>
        <v>7</v>
      </c>
      <c r="K16" s="69">
        <f t="shared" si="2"/>
        <v>8</v>
      </c>
      <c r="L16" s="69">
        <f t="shared" si="2"/>
        <v>0</v>
      </c>
      <c r="M16" s="69">
        <f t="shared" si="2"/>
        <v>3</v>
      </c>
      <c r="N16" s="69">
        <f t="shared" si="2"/>
        <v>2</v>
      </c>
      <c r="O16" s="69">
        <f t="shared" si="2"/>
        <v>11.2</v>
      </c>
      <c r="P16" s="69">
        <f t="shared" si="2"/>
        <v>1</v>
      </c>
      <c r="Q16" s="69">
        <f t="shared" si="2"/>
        <v>7</v>
      </c>
      <c r="R16" s="69">
        <f t="shared" si="2"/>
        <v>8</v>
      </c>
      <c r="S16" s="69">
        <f t="shared" si="2"/>
        <v>9</v>
      </c>
      <c r="T16" s="69">
        <f t="shared" si="2"/>
        <v>8</v>
      </c>
      <c r="U16" s="69">
        <f t="shared" si="2"/>
        <v>6.8000000000000007</v>
      </c>
      <c r="V16" s="69">
        <f t="shared" si="2"/>
        <v>11.75</v>
      </c>
      <c r="W16" s="108"/>
      <c r="X16" s="109"/>
      <c r="Y16" s="64"/>
    </row>
    <row r="17" spans="2:25" ht="18" customHeight="1">
      <c r="B17" s="68" t="s">
        <v>76</v>
      </c>
      <c r="C17" s="67">
        <f>AVERAGE(C4:C15)</f>
        <v>0.6</v>
      </c>
      <c r="D17" s="67">
        <f t="shared" ref="D17:V17" si="3">AVERAGE(D4:D15)</f>
        <v>0.6333333333333333</v>
      </c>
      <c r="E17" s="67">
        <f t="shared" si="3"/>
        <v>0.875</v>
      </c>
      <c r="F17" s="67">
        <f t="shared" si="3"/>
        <v>0.49166666666666664</v>
      </c>
      <c r="G17" s="67">
        <f t="shared" si="3"/>
        <v>0.5</v>
      </c>
      <c r="H17" s="67">
        <f t="shared" si="3"/>
        <v>0.83333333333333337</v>
      </c>
      <c r="I17" s="67">
        <f t="shared" si="3"/>
        <v>0.65</v>
      </c>
      <c r="J17" s="67">
        <f t="shared" si="3"/>
        <v>0.58333333333333337</v>
      </c>
      <c r="K17" s="67">
        <f t="shared" si="3"/>
        <v>0.8</v>
      </c>
      <c r="L17" s="67">
        <f t="shared" si="3"/>
        <v>0</v>
      </c>
      <c r="M17" s="67">
        <f t="shared" si="3"/>
        <v>0.27272727272727271</v>
      </c>
      <c r="N17" s="67">
        <f t="shared" si="3"/>
        <v>0.2857142857142857</v>
      </c>
      <c r="O17" s="67">
        <f t="shared" si="3"/>
        <v>0.93333333333333324</v>
      </c>
      <c r="P17" s="67">
        <f t="shared" si="3"/>
        <v>8.3333333333333329E-2</v>
      </c>
      <c r="Q17" s="67">
        <f t="shared" si="3"/>
        <v>0.77777777777777779</v>
      </c>
      <c r="R17" s="67">
        <f t="shared" si="3"/>
        <v>0.72727272727272729</v>
      </c>
      <c r="S17" s="67">
        <f t="shared" si="3"/>
        <v>0.81818181818181823</v>
      </c>
      <c r="T17" s="67">
        <f t="shared" si="3"/>
        <v>0.66666666666666663</v>
      </c>
      <c r="U17" s="67">
        <f t="shared" si="3"/>
        <v>0.56666666666666676</v>
      </c>
      <c r="V17" s="67">
        <f t="shared" si="3"/>
        <v>0.97916666666666663</v>
      </c>
      <c r="W17" s="110"/>
      <c r="X17" s="111"/>
      <c r="Y17" s="64"/>
    </row>
    <row r="18" spans="2:25" ht="18" customHeight="1" thickBot="1">
      <c r="B18" s="66" t="s">
        <v>45</v>
      </c>
      <c r="C18" s="65">
        <f>C16/COUNT(C4:C15)</f>
        <v>0.6</v>
      </c>
      <c r="D18" s="65">
        <f t="shared" ref="D18:V18" si="4">D16/COUNT(D4:D15)</f>
        <v>0.6333333333333333</v>
      </c>
      <c r="E18" s="65">
        <f t="shared" si="4"/>
        <v>0.875</v>
      </c>
      <c r="F18" s="65">
        <f t="shared" si="4"/>
        <v>0.49166666666666664</v>
      </c>
      <c r="G18" s="65">
        <f t="shared" si="4"/>
        <v>0.5</v>
      </c>
      <c r="H18" s="65">
        <f t="shared" si="4"/>
        <v>0.83333333333333337</v>
      </c>
      <c r="I18" s="65">
        <f t="shared" si="4"/>
        <v>0.65</v>
      </c>
      <c r="J18" s="65">
        <f t="shared" si="4"/>
        <v>0.58333333333333337</v>
      </c>
      <c r="K18" s="65">
        <f t="shared" si="4"/>
        <v>0.8</v>
      </c>
      <c r="L18" s="65">
        <f t="shared" si="4"/>
        <v>0</v>
      </c>
      <c r="M18" s="65">
        <f t="shared" si="4"/>
        <v>0.27272727272727271</v>
      </c>
      <c r="N18" s="65">
        <f t="shared" si="4"/>
        <v>0.2857142857142857</v>
      </c>
      <c r="O18" s="65">
        <f t="shared" si="4"/>
        <v>0.93333333333333324</v>
      </c>
      <c r="P18" s="65">
        <f t="shared" si="4"/>
        <v>8.3333333333333329E-2</v>
      </c>
      <c r="Q18" s="65">
        <f t="shared" si="4"/>
        <v>0.77777777777777779</v>
      </c>
      <c r="R18" s="65">
        <f t="shared" si="4"/>
        <v>0.72727272727272729</v>
      </c>
      <c r="S18" s="65">
        <f t="shared" si="4"/>
        <v>0.81818181818181823</v>
      </c>
      <c r="T18" s="65">
        <f t="shared" si="4"/>
        <v>0.66666666666666663</v>
      </c>
      <c r="U18" s="65">
        <f t="shared" si="4"/>
        <v>0.56666666666666676</v>
      </c>
      <c r="V18" s="65">
        <f t="shared" si="4"/>
        <v>0.97916666666666663</v>
      </c>
      <c r="W18" s="112"/>
      <c r="X18" s="113"/>
      <c r="Y18" s="64"/>
    </row>
  </sheetData>
  <mergeCells count="2">
    <mergeCell ref="C2:V2"/>
    <mergeCell ref="W2:X2"/>
  </mergeCells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84CA-D167-894E-94AD-7C5F187B5571}">
  <sheetPr>
    <tabColor theme="3" tint="0.39997558519241921"/>
  </sheetPr>
  <dimension ref="A1:C17"/>
  <sheetViews>
    <sheetView workbookViewId="0">
      <selection activeCell="C17" sqref="C17"/>
    </sheetView>
  </sheetViews>
  <sheetFormatPr baseColWidth="10" defaultColWidth="8.83203125" defaultRowHeight="13"/>
  <cols>
    <col min="1" max="1" width="8.83203125" customWidth="1"/>
    <col min="2" max="2" width="17.1640625" customWidth="1"/>
    <col min="3" max="3" width="21.6640625" customWidth="1"/>
  </cols>
  <sheetData>
    <row r="1" spans="1:3">
      <c r="A1" s="62">
        <v>15</v>
      </c>
    </row>
    <row r="2" spans="1:3" ht="14" thickBot="1"/>
    <row r="3" spans="1:3" ht="21.75" customHeight="1">
      <c r="B3" s="15" t="s">
        <v>4</v>
      </c>
      <c r="C3" s="105">
        <v>6</v>
      </c>
    </row>
    <row r="4" spans="1:3" ht="23.25" customHeight="1" thickBot="1">
      <c r="B4" s="16" t="s">
        <v>55</v>
      </c>
      <c r="C4" s="106">
        <v>11</v>
      </c>
    </row>
    <row r="5" spans="1:3" ht="14" thickBot="1">
      <c r="B5" s="6"/>
      <c r="C5" s="6"/>
    </row>
    <row r="6" spans="1:3" ht="21" customHeight="1" thickBot="1">
      <c r="B6" s="19" t="s">
        <v>33</v>
      </c>
      <c r="C6" s="26">
        <f>C3</f>
        <v>6</v>
      </c>
    </row>
    <row r="7" spans="1:3" ht="21" customHeight="1" thickBot="1">
      <c r="B7" s="20">
        <f>CEILING(indivar/3,1)</f>
        <v>5</v>
      </c>
      <c r="C7" s="26">
        <f>5*C3</f>
        <v>30</v>
      </c>
    </row>
    <row r="8" spans="1:3" ht="21" customHeight="1" thickBot="1">
      <c r="B8" s="19" t="s">
        <v>58</v>
      </c>
      <c r="C8" s="26">
        <f>C4^3</f>
        <v>1331</v>
      </c>
    </row>
    <row r="9" spans="1:3" ht="21" customHeight="1" thickBot="1">
      <c r="B9" s="19" t="s">
        <v>51</v>
      </c>
      <c r="C9" s="126">
        <f>C3^9</f>
        <v>10077696</v>
      </c>
    </row>
    <row r="10" spans="1:3" ht="21" customHeight="1" thickBot="1">
      <c r="B10" s="21">
        <f>CEILING(indivar/6,1)</f>
        <v>3</v>
      </c>
      <c r="C10" s="26">
        <f>3/C4</f>
        <v>0.27272727272727271</v>
      </c>
    </row>
    <row r="11" spans="1:3" ht="21" customHeight="1" thickBot="1">
      <c r="B11" s="22" t="s">
        <v>59</v>
      </c>
      <c r="C11" s="26">
        <f>-C4</f>
        <v>-11</v>
      </c>
    </row>
    <row r="12" spans="1:3" ht="33" customHeight="1" thickBot="1">
      <c r="B12" s="17"/>
      <c r="C12" s="26">
        <f>POWER(C3,1/2)</f>
        <v>2.4494897427831779</v>
      </c>
    </row>
    <row r="13" spans="1:3" ht="27" customHeight="1" thickBot="1">
      <c r="B13" s="19" t="s">
        <v>57</v>
      </c>
      <c r="C13" s="26">
        <f>C3-C4</f>
        <v>-5</v>
      </c>
    </row>
    <row r="14" spans="1:3" ht="28.5" customHeight="1" thickBot="1">
      <c r="A14" s="14"/>
      <c r="B14" s="23">
        <f>CEILING(indivar/2+3,1)</f>
        <v>11</v>
      </c>
      <c r="C14" s="26">
        <f>C3*11*C4</f>
        <v>726</v>
      </c>
    </row>
    <row r="15" spans="1:3" ht="30" customHeight="1" thickBot="1">
      <c r="A15" s="13"/>
      <c r="B15" s="24">
        <f>CEILING(indivar/4,1)</f>
        <v>4</v>
      </c>
      <c r="C15" s="26">
        <f>(4*C3)/(2*C4)</f>
        <v>1.0909090909090908</v>
      </c>
    </row>
    <row r="16" spans="1:3" ht="26.25" customHeight="1" thickBot="1">
      <c r="A16" s="13"/>
      <c r="B16" s="25">
        <f>indivar+2</f>
        <v>17</v>
      </c>
      <c r="C16" s="26">
        <f>0.17*C3</f>
        <v>1.02</v>
      </c>
    </row>
    <row r="17" spans="3:3" ht="33.75" customHeight="1" thickBot="1">
      <c r="C17" s="26">
        <f>POWER(C3+C4,1/3)</f>
        <v>2.5712815906582351</v>
      </c>
    </row>
  </sheetData>
  <sheetProtection password="C79A" sheet="1"/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>
              <from>
                <xdr:col>1</xdr:col>
                <xdr:colOff>304800</xdr:colOff>
                <xdr:row>11</xdr:row>
                <xdr:rowOff>88900</xdr:rowOff>
              </from>
              <to>
                <xdr:col>1</xdr:col>
                <xdr:colOff>901700</xdr:colOff>
                <xdr:row>11</xdr:row>
                <xdr:rowOff>368300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122" r:id="rId5">
          <objectPr defaultSize="0" autoPict="0" r:id="rId6">
            <anchor moveWithCells="1">
              <from>
                <xdr:col>1</xdr:col>
                <xdr:colOff>127000</xdr:colOff>
                <xdr:row>16</xdr:row>
                <xdr:rowOff>38100</xdr:rowOff>
              </from>
              <to>
                <xdr:col>1</xdr:col>
                <xdr:colOff>1143000</xdr:colOff>
                <xdr:row>16</xdr:row>
                <xdr:rowOff>393700</xdr:rowOff>
              </to>
            </anchor>
          </objectPr>
        </oleObject>
      </mc:Choice>
      <mc:Fallback>
        <oleObject progId="Equation.3" shapeId="2122" r:id="rId5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4F49-BE16-B149-9A50-27FA3E2909F7}">
  <dimension ref="A2:I34"/>
  <sheetViews>
    <sheetView tabSelected="1" zoomScaleNormal="100" workbookViewId="0">
      <selection activeCell="G32" sqref="G32"/>
    </sheetView>
  </sheetViews>
  <sheetFormatPr baseColWidth="10" defaultColWidth="8.83203125" defaultRowHeight="13"/>
  <cols>
    <col min="1" max="1" width="19.1640625" customWidth="1"/>
    <col min="2" max="2" width="13.1640625" customWidth="1"/>
    <col min="3" max="3" width="12.5" customWidth="1"/>
    <col min="4" max="4" width="12.33203125" customWidth="1"/>
    <col min="5" max="5" width="14.6640625" customWidth="1"/>
    <col min="6" max="7" width="25.6640625" customWidth="1"/>
    <col min="8" max="8" width="27.6640625" customWidth="1"/>
    <col min="9" max="9" width="14.1640625" customWidth="1"/>
  </cols>
  <sheetData>
    <row r="2" spans="1:9" ht="24" customHeight="1">
      <c r="E2" s="31" t="s">
        <v>50</v>
      </c>
      <c r="F2" s="32">
        <f>indivar</f>
        <v>15</v>
      </c>
      <c r="G2" s="32">
        <f>indivar+5</f>
        <v>20</v>
      </c>
      <c r="H2" s="30" t="s">
        <v>34</v>
      </c>
      <c r="I2" s="30" t="s">
        <v>35</v>
      </c>
    </row>
    <row r="3" spans="1:9" s="18" customFormat="1" ht="14">
      <c r="A3" s="27" t="s">
        <v>36</v>
      </c>
      <c r="B3" s="28" t="s">
        <v>37</v>
      </c>
      <c r="C3" s="28" t="s">
        <v>38</v>
      </c>
      <c r="D3" s="28" t="s">
        <v>39</v>
      </c>
      <c r="E3" s="29" t="s">
        <v>48</v>
      </c>
      <c r="F3" s="29" t="s">
        <v>52</v>
      </c>
      <c r="G3" s="29" t="s">
        <v>53</v>
      </c>
      <c r="H3" s="29" t="s">
        <v>54</v>
      </c>
      <c r="I3" s="29" t="s">
        <v>49</v>
      </c>
    </row>
    <row r="4" spans="1:9" ht="14">
      <c r="A4" s="1" t="s">
        <v>5</v>
      </c>
      <c r="B4" s="33">
        <f ca="1">CEILING((RAND()*4000)+5000,1)</f>
        <v>8465</v>
      </c>
      <c r="C4" s="33">
        <f ca="1">CEILING((RAND()*1000)+1000,1)</f>
        <v>1780</v>
      </c>
      <c r="D4" s="33">
        <f ca="1">CEILING((RAND()*700),1)</f>
        <v>154</v>
      </c>
      <c r="E4" s="127">
        <f ca="1">SUM(B4:D4)</f>
        <v>10399</v>
      </c>
      <c r="F4" s="127">
        <f ca="1">0.15*E4</f>
        <v>1559.85</v>
      </c>
      <c r="G4" s="127">
        <f ca="1">0.2*E4</f>
        <v>2079.8000000000002</v>
      </c>
      <c r="H4" s="127">
        <f ca="1">SUM(F4:G4)</f>
        <v>3639.65</v>
      </c>
      <c r="I4" s="127">
        <f ca="1">E4-(SUM(F4:H4))</f>
        <v>3119.7</v>
      </c>
    </row>
    <row r="5" spans="1:9" ht="14">
      <c r="A5" s="1" t="s">
        <v>6</v>
      </c>
      <c r="B5" s="33">
        <f t="shared" ref="B5:B31" ca="1" si="0">CEILING((RAND()*4000)+5000,1)</f>
        <v>8031</v>
      </c>
      <c r="C5" s="33">
        <f t="shared" ref="C5:C31" ca="1" si="1">CEILING((RAND()*1000)+1000,1)</f>
        <v>1920</v>
      </c>
      <c r="D5" s="33">
        <f t="shared" ref="D5:D31" ca="1" si="2">CEILING((RAND()*700),1)</f>
        <v>306</v>
      </c>
      <c r="E5" s="127">
        <f t="shared" ref="E5:E31" ca="1" si="3">SUM(B5:D5)</f>
        <v>10257</v>
      </c>
      <c r="F5" s="127">
        <f t="shared" ref="F5:F31" ca="1" si="4">0.15*E5</f>
        <v>1538.55</v>
      </c>
      <c r="G5" s="127">
        <f t="shared" ref="G5:G31" ca="1" si="5">0.2*E5</f>
        <v>2051.4</v>
      </c>
      <c r="H5" s="127">
        <f t="shared" ref="H5:H31" ca="1" si="6">SUM(F5:G5)</f>
        <v>3589.95</v>
      </c>
      <c r="I5" s="127">
        <f t="shared" ref="I5:I31" ca="1" si="7">E5-(SUM(F5:H5))</f>
        <v>3077.1000000000004</v>
      </c>
    </row>
    <row r="6" spans="1:9" ht="14">
      <c r="A6" s="1" t="s">
        <v>7</v>
      </c>
      <c r="B6" s="33">
        <f t="shared" ca="1" si="0"/>
        <v>6567</v>
      </c>
      <c r="C6" s="33">
        <f t="shared" ca="1" si="1"/>
        <v>1518</v>
      </c>
      <c r="D6" s="33">
        <f t="shared" ca="1" si="2"/>
        <v>484</v>
      </c>
      <c r="E6" s="127">
        <f t="shared" ca="1" si="3"/>
        <v>8569</v>
      </c>
      <c r="F6" s="127">
        <f t="shared" ca="1" si="4"/>
        <v>1285.3499999999999</v>
      </c>
      <c r="G6" s="127">
        <f t="shared" ca="1" si="5"/>
        <v>1713.8000000000002</v>
      </c>
      <c r="H6" s="127">
        <f t="shared" ca="1" si="6"/>
        <v>2999.15</v>
      </c>
      <c r="I6" s="127">
        <f t="shared" ca="1" si="7"/>
        <v>2570.6999999999998</v>
      </c>
    </row>
    <row r="7" spans="1:9" ht="14">
      <c r="A7" s="1" t="s">
        <v>8</v>
      </c>
      <c r="B7" s="33">
        <f t="shared" ca="1" si="0"/>
        <v>5794</v>
      </c>
      <c r="C7" s="33">
        <f t="shared" ca="1" si="1"/>
        <v>1188</v>
      </c>
      <c r="D7" s="33">
        <f t="shared" ca="1" si="2"/>
        <v>384</v>
      </c>
      <c r="E7" s="127">
        <f t="shared" ca="1" si="3"/>
        <v>7366</v>
      </c>
      <c r="F7" s="127">
        <f t="shared" ca="1" si="4"/>
        <v>1104.8999999999999</v>
      </c>
      <c r="G7" s="127">
        <f t="shared" ca="1" si="5"/>
        <v>1473.2</v>
      </c>
      <c r="H7" s="127">
        <f t="shared" ca="1" si="6"/>
        <v>2578.1</v>
      </c>
      <c r="I7" s="127">
        <f t="shared" ca="1" si="7"/>
        <v>2209.8000000000002</v>
      </c>
    </row>
    <row r="8" spans="1:9" ht="14">
      <c r="A8" s="3" t="s">
        <v>9</v>
      </c>
      <c r="B8" s="33">
        <f t="shared" ca="1" si="0"/>
        <v>5998</v>
      </c>
      <c r="C8" s="33">
        <f t="shared" ca="1" si="1"/>
        <v>1363</v>
      </c>
      <c r="D8" s="33">
        <f t="shared" ca="1" si="2"/>
        <v>134</v>
      </c>
      <c r="E8" s="127">
        <f t="shared" ca="1" si="3"/>
        <v>7495</v>
      </c>
      <c r="F8" s="127">
        <f t="shared" ca="1" si="4"/>
        <v>1124.25</v>
      </c>
      <c r="G8" s="127">
        <f t="shared" ca="1" si="5"/>
        <v>1499</v>
      </c>
      <c r="H8" s="127">
        <f t="shared" ca="1" si="6"/>
        <v>2623.25</v>
      </c>
      <c r="I8" s="127">
        <f t="shared" ca="1" si="7"/>
        <v>2248.5</v>
      </c>
    </row>
    <row r="9" spans="1:9" ht="14">
      <c r="A9" s="1" t="s">
        <v>10</v>
      </c>
      <c r="B9" s="33">
        <f t="shared" ca="1" si="0"/>
        <v>7023</v>
      </c>
      <c r="C9" s="33">
        <f t="shared" ca="1" si="1"/>
        <v>1791</v>
      </c>
      <c r="D9" s="33">
        <f t="shared" ca="1" si="2"/>
        <v>332</v>
      </c>
      <c r="E9" s="127">
        <f t="shared" ca="1" si="3"/>
        <v>9146</v>
      </c>
      <c r="F9" s="127">
        <f t="shared" ca="1" si="4"/>
        <v>1371.8999999999999</v>
      </c>
      <c r="G9" s="127">
        <f t="shared" ca="1" si="5"/>
        <v>1829.2</v>
      </c>
      <c r="H9" s="127">
        <f t="shared" ca="1" si="6"/>
        <v>3201.1</v>
      </c>
      <c r="I9" s="127">
        <f t="shared" ca="1" si="7"/>
        <v>2743.8</v>
      </c>
    </row>
    <row r="10" spans="1:9" ht="14">
      <c r="A10" s="1" t="s">
        <v>11</v>
      </c>
      <c r="B10" s="33">
        <f t="shared" ca="1" si="0"/>
        <v>7408</v>
      </c>
      <c r="C10" s="33">
        <f t="shared" ca="1" si="1"/>
        <v>1987</v>
      </c>
      <c r="D10" s="33">
        <f t="shared" ca="1" si="2"/>
        <v>248</v>
      </c>
      <c r="E10" s="127">
        <f t="shared" ca="1" si="3"/>
        <v>9643</v>
      </c>
      <c r="F10" s="127">
        <f t="shared" ca="1" si="4"/>
        <v>1446.45</v>
      </c>
      <c r="G10" s="127">
        <f t="shared" ca="1" si="5"/>
        <v>1928.6000000000001</v>
      </c>
      <c r="H10" s="127">
        <f t="shared" ca="1" si="6"/>
        <v>3375.05</v>
      </c>
      <c r="I10" s="127">
        <f t="shared" ca="1" si="7"/>
        <v>2892.8999999999996</v>
      </c>
    </row>
    <row r="11" spans="1:9" ht="14">
      <c r="A11" s="1" t="s">
        <v>12</v>
      </c>
      <c r="B11" s="33">
        <f t="shared" ca="1" si="0"/>
        <v>6316</v>
      </c>
      <c r="C11" s="33">
        <f t="shared" ca="1" si="1"/>
        <v>1593</v>
      </c>
      <c r="D11" s="33">
        <f t="shared" ca="1" si="2"/>
        <v>212</v>
      </c>
      <c r="E11" s="127">
        <f t="shared" ca="1" si="3"/>
        <v>8121</v>
      </c>
      <c r="F11" s="127">
        <f t="shared" ca="1" si="4"/>
        <v>1218.1499999999999</v>
      </c>
      <c r="G11" s="127">
        <f t="shared" ca="1" si="5"/>
        <v>1624.2</v>
      </c>
      <c r="H11" s="127">
        <f t="shared" ca="1" si="6"/>
        <v>2842.35</v>
      </c>
      <c r="I11" s="127">
        <f t="shared" ca="1" si="7"/>
        <v>2436.3000000000002</v>
      </c>
    </row>
    <row r="12" spans="1:9" ht="14">
      <c r="A12" s="1" t="s">
        <v>13</v>
      </c>
      <c r="B12" s="33">
        <f t="shared" ca="1" si="0"/>
        <v>8635</v>
      </c>
      <c r="C12" s="33">
        <f t="shared" ca="1" si="1"/>
        <v>1028</v>
      </c>
      <c r="D12" s="33">
        <f t="shared" ca="1" si="2"/>
        <v>204</v>
      </c>
      <c r="E12" s="127">
        <f t="shared" ca="1" si="3"/>
        <v>9867</v>
      </c>
      <c r="F12" s="127">
        <f t="shared" ca="1" si="4"/>
        <v>1480.05</v>
      </c>
      <c r="G12" s="127">
        <f t="shared" ca="1" si="5"/>
        <v>1973.4</v>
      </c>
      <c r="H12" s="127">
        <f t="shared" ca="1" si="6"/>
        <v>3453.45</v>
      </c>
      <c r="I12" s="127">
        <f t="shared" ca="1" si="7"/>
        <v>2960.1000000000004</v>
      </c>
    </row>
    <row r="13" spans="1:9" ht="14">
      <c r="A13" s="1" t="s">
        <v>14</v>
      </c>
      <c r="B13" s="33">
        <f t="shared" ca="1" si="0"/>
        <v>5053</v>
      </c>
      <c r="C13" s="33">
        <f t="shared" ca="1" si="1"/>
        <v>1963</v>
      </c>
      <c r="D13" s="33">
        <f t="shared" ca="1" si="2"/>
        <v>514</v>
      </c>
      <c r="E13" s="127">
        <f t="shared" ca="1" si="3"/>
        <v>7530</v>
      </c>
      <c r="F13" s="127">
        <f t="shared" ca="1" si="4"/>
        <v>1129.5</v>
      </c>
      <c r="G13" s="127">
        <f t="shared" ca="1" si="5"/>
        <v>1506</v>
      </c>
      <c r="H13" s="127">
        <f t="shared" ca="1" si="6"/>
        <v>2635.5</v>
      </c>
      <c r="I13" s="127">
        <f t="shared" ca="1" si="7"/>
        <v>2259</v>
      </c>
    </row>
    <row r="14" spans="1:9" ht="14">
      <c r="A14" s="1" t="s">
        <v>15</v>
      </c>
      <c r="B14" s="33">
        <f t="shared" ca="1" si="0"/>
        <v>5032</v>
      </c>
      <c r="C14" s="33">
        <f t="shared" ca="1" si="1"/>
        <v>1739</v>
      </c>
      <c r="D14" s="33">
        <f t="shared" ca="1" si="2"/>
        <v>372</v>
      </c>
      <c r="E14" s="127">
        <f t="shared" ca="1" si="3"/>
        <v>7143</v>
      </c>
      <c r="F14" s="127">
        <f t="shared" ca="1" si="4"/>
        <v>1071.45</v>
      </c>
      <c r="G14" s="127">
        <f t="shared" ca="1" si="5"/>
        <v>1428.6000000000001</v>
      </c>
      <c r="H14" s="127">
        <f t="shared" ca="1" si="6"/>
        <v>2500.0500000000002</v>
      </c>
      <c r="I14" s="127">
        <f t="shared" ca="1" si="7"/>
        <v>2142.8999999999996</v>
      </c>
    </row>
    <row r="15" spans="1:9" ht="14">
      <c r="A15" s="3" t="s">
        <v>16</v>
      </c>
      <c r="B15" s="33">
        <f t="shared" ca="1" si="0"/>
        <v>5495</v>
      </c>
      <c r="C15" s="33">
        <f t="shared" ca="1" si="1"/>
        <v>1754</v>
      </c>
      <c r="D15" s="33">
        <f t="shared" ca="1" si="2"/>
        <v>133</v>
      </c>
      <c r="E15" s="127">
        <f t="shared" ca="1" si="3"/>
        <v>7382</v>
      </c>
      <c r="F15" s="127">
        <f t="shared" ca="1" si="4"/>
        <v>1107.3</v>
      </c>
      <c r="G15" s="127">
        <f t="shared" ca="1" si="5"/>
        <v>1476.4</v>
      </c>
      <c r="H15" s="127">
        <f t="shared" ca="1" si="6"/>
        <v>2583.6999999999998</v>
      </c>
      <c r="I15" s="127">
        <f t="shared" ca="1" si="7"/>
        <v>2214.6000000000004</v>
      </c>
    </row>
    <row r="16" spans="1:9" ht="14">
      <c r="A16" s="1" t="s">
        <v>17</v>
      </c>
      <c r="B16" s="33">
        <f t="shared" ca="1" si="0"/>
        <v>5285</v>
      </c>
      <c r="C16" s="33">
        <f t="shared" ca="1" si="1"/>
        <v>1464</v>
      </c>
      <c r="D16" s="33">
        <f t="shared" ca="1" si="2"/>
        <v>126</v>
      </c>
      <c r="E16" s="127">
        <f t="shared" ca="1" si="3"/>
        <v>6875</v>
      </c>
      <c r="F16" s="127">
        <f t="shared" ca="1" si="4"/>
        <v>1031.25</v>
      </c>
      <c r="G16" s="127">
        <f t="shared" ca="1" si="5"/>
        <v>1375</v>
      </c>
      <c r="H16" s="127">
        <f t="shared" ca="1" si="6"/>
        <v>2406.25</v>
      </c>
      <c r="I16" s="127">
        <f t="shared" ca="1" si="7"/>
        <v>2062.5</v>
      </c>
    </row>
    <row r="17" spans="1:9" ht="14">
      <c r="A17" s="1" t="s">
        <v>18</v>
      </c>
      <c r="B17" s="33">
        <f t="shared" ca="1" si="0"/>
        <v>7215</v>
      </c>
      <c r="C17" s="33">
        <f t="shared" ca="1" si="1"/>
        <v>1514</v>
      </c>
      <c r="D17" s="33">
        <f t="shared" ca="1" si="2"/>
        <v>296</v>
      </c>
      <c r="E17" s="127">
        <f t="shared" ca="1" si="3"/>
        <v>9025</v>
      </c>
      <c r="F17" s="127">
        <f t="shared" ca="1" si="4"/>
        <v>1353.75</v>
      </c>
      <c r="G17" s="127">
        <f t="shared" ca="1" si="5"/>
        <v>1805</v>
      </c>
      <c r="H17" s="127">
        <f t="shared" ca="1" si="6"/>
        <v>3158.75</v>
      </c>
      <c r="I17" s="127">
        <f t="shared" ca="1" si="7"/>
        <v>2707.5</v>
      </c>
    </row>
    <row r="18" spans="1:9" ht="14">
      <c r="A18" s="1" t="s">
        <v>19</v>
      </c>
      <c r="B18" s="33">
        <f t="shared" ca="1" si="0"/>
        <v>7925</v>
      </c>
      <c r="C18" s="33">
        <f t="shared" ca="1" si="1"/>
        <v>1163</v>
      </c>
      <c r="D18" s="33">
        <f t="shared" ca="1" si="2"/>
        <v>371</v>
      </c>
      <c r="E18" s="127">
        <f t="shared" ca="1" si="3"/>
        <v>9459</v>
      </c>
      <c r="F18" s="127">
        <f t="shared" ca="1" si="4"/>
        <v>1418.85</v>
      </c>
      <c r="G18" s="127">
        <f t="shared" ca="1" si="5"/>
        <v>1891.8000000000002</v>
      </c>
      <c r="H18" s="127">
        <f t="shared" ca="1" si="6"/>
        <v>3310.65</v>
      </c>
      <c r="I18" s="127">
        <f t="shared" ca="1" si="7"/>
        <v>2837.7</v>
      </c>
    </row>
    <row r="19" spans="1:9" ht="14">
      <c r="A19" s="1" t="s">
        <v>20</v>
      </c>
      <c r="B19" s="33">
        <f t="shared" ca="1" si="0"/>
        <v>8955</v>
      </c>
      <c r="C19" s="33">
        <f t="shared" ca="1" si="1"/>
        <v>1194</v>
      </c>
      <c r="D19" s="33">
        <f t="shared" ca="1" si="2"/>
        <v>531</v>
      </c>
      <c r="E19" s="127">
        <f t="shared" ca="1" si="3"/>
        <v>10680</v>
      </c>
      <c r="F19" s="127">
        <f t="shared" ca="1" si="4"/>
        <v>1602</v>
      </c>
      <c r="G19" s="127">
        <f t="shared" ca="1" si="5"/>
        <v>2136</v>
      </c>
      <c r="H19" s="127">
        <f t="shared" ca="1" si="6"/>
        <v>3738</v>
      </c>
      <c r="I19" s="127">
        <f t="shared" ca="1" si="7"/>
        <v>3204</v>
      </c>
    </row>
    <row r="20" spans="1:9" ht="14">
      <c r="A20" s="1" t="s">
        <v>21</v>
      </c>
      <c r="B20" s="33">
        <f t="shared" ca="1" si="0"/>
        <v>7140</v>
      </c>
      <c r="C20" s="33">
        <f t="shared" ca="1" si="1"/>
        <v>1616</v>
      </c>
      <c r="D20" s="33">
        <f t="shared" ca="1" si="2"/>
        <v>253</v>
      </c>
      <c r="E20" s="127">
        <f t="shared" ca="1" si="3"/>
        <v>9009</v>
      </c>
      <c r="F20" s="127">
        <f t="shared" ca="1" si="4"/>
        <v>1351.35</v>
      </c>
      <c r="G20" s="127">
        <f t="shared" ca="1" si="5"/>
        <v>1801.8000000000002</v>
      </c>
      <c r="H20" s="127">
        <f t="shared" ca="1" si="6"/>
        <v>3153.15</v>
      </c>
      <c r="I20" s="127">
        <f t="shared" ca="1" si="7"/>
        <v>2702.7</v>
      </c>
    </row>
    <row r="21" spans="1:9" ht="14">
      <c r="A21" s="1" t="s">
        <v>22</v>
      </c>
      <c r="B21" s="33">
        <f t="shared" ca="1" si="0"/>
        <v>5409</v>
      </c>
      <c r="C21" s="33">
        <f t="shared" ca="1" si="1"/>
        <v>1751</v>
      </c>
      <c r="D21" s="33">
        <f t="shared" ca="1" si="2"/>
        <v>250</v>
      </c>
      <c r="E21" s="127">
        <f t="shared" ca="1" si="3"/>
        <v>7410</v>
      </c>
      <c r="F21" s="127">
        <f t="shared" ca="1" si="4"/>
        <v>1111.5</v>
      </c>
      <c r="G21" s="127">
        <f t="shared" ca="1" si="5"/>
        <v>1482</v>
      </c>
      <c r="H21" s="127">
        <f t="shared" ca="1" si="6"/>
        <v>2593.5</v>
      </c>
      <c r="I21" s="127">
        <f t="shared" ca="1" si="7"/>
        <v>2223</v>
      </c>
    </row>
    <row r="22" spans="1:9" ht="14">
      <c r="A22" s="1" t="s">
        <v>23</v>
      </c>
      <c r="B22" s="33">
        <f t="shared" ca="1" si="0"/>
        <v>7659</v>
      </c>
      <c r="C22" s="33">
        <f t="shared" ca="1" si="1"/>
        <v>1966</v>
      </c>
      <c r="D22" s="33">
        <f t="shared" ca="1" si="2"/>
        <v>694</v>
      </c>
      <c r="E22" s="127">
        <f t="shared" ca="1" si="3"/>
        <v>10319</v>
      </c>
      <c r="F22" s="127">
        <f t="shared" ca="1" si="4"/>
        <v>1547.85</v>
      </c>
      <c r="G22" s="127">
        <f t="shared" ca="1" si="5"/>
        <v>2063.8000000000002</v>
      </c>
      <c r="H22" s="127">
        <f t="shared" ca="1" si="6"/>
        <v>3611.65</v>
      </c>
      <c r="I22" s="127">
        <f t="shared" ca="1" si="7"/>
        <v>3095.7</v>
      </c>
    </row>
    <row r="23" spans="1:9" ht="14">
      <c r="A23" s="1" t="s">
        <v>24</v>
      </c>
      <c r="B23" s="33">
        <f t="shared" ca="1" si="0"/>
        <v>6540</v>
      </c>
      <c r="C23" s="33">
        <f t="shared" ca="1" si="1"/>
        <v>1104</v>
      </c>
      <c r="D23" s="33">
        <f t="shared" ca="1" si="2"/>
        <v>310</v>
      </c>
      <c r="E23" s="127">
        <f t="shared" ca="1" si="3"/>
        <v>7954</v>
      </c>
      <c r="F23" s="127">
        <f t="shared" ca="1" si="4"/>
        <v>1193.0999999999999</v>
      </c>
      <c r="G23" s="127">
        <f t="shared" ca="1" si="5"/>
        <v>1590.8000000000002</v>
      </c>
      <c r="H23" s="127">
        <f t="shared" ca="1" si="6"/>
        <v>2783.9</v>
      </c>
      <c r="I23" s="127">
        <f t="shared" ca="1" si="7"/>
        <v>2386.1999999999998</v>
      </c>
    </row>
    <row r="24" spans="1:9" ht="14">
      <c r="A24" s="1" t="s">
        <v>25</v>
      </c>
      <c r="B24" s="33">
        <f t="shared" ca="1" si="0"/>
        <v>8109</v>
      </c>
      <c r="C24" s="33">
        <f t="shared" ca="1" si="1"/>
        <v>1390</v>
      </c>
      <c r="D24" s="33">
        <f t="shared" ca="1" si="2"/>
        <v>194</v>
      </c>
      <c r="E24" s="127">
        <f t="shared" ca="1" si="3"/>
        <v>9693</v>
      </c>
      <c r="F24" s="127">
        <f t="shared" ca="1" si="4"/>
        <v>1453.95</v>
      </c>
      <c r="G24" s="127">
        <f t="shared" ca="1" si="5"/>
        <v>1938.6000000000001</v>
      </c>
      <c r="H24" s="127">
        <f t="shared" ca="1" si="6"/>
        <v>3392.55</v>
      </c>
      <c r="I24" s="127">
        <f t="shared" ca="1" si="7"/>
        <v>2907.8999999999996</v>
      </c>
    </row>
    <row r="25" spans="1:9" ht="14">
      <c r="A25" s="1" t="s">
        <v>26</v>
      </c>
      <c r="B25" s="33">
        <f t="shared" ca="1" si="0"/>
        <v>8627</v>
      </c>
      <c r="C25" s="33">
        <f t="shared" ca="1" si="1"/>
        <v>1173</v>
      </c>
      <c r="D25" s="33">
        <f t="shared" ca="1" si="2"/>
        <v>459</v>
      </c>
      <c r="E25" s="127">
        <f t="shared" ca="1" si="3"/>
        <v>10259</v>
      </c>
      <c r="F25" s="127">
        <f t="shared" ca="1" si="4"/>
        <v>1538.85</v>
      </c>
      <c r="G25" s="127">
        <f t="shared" ca="1" si="5"/>
        <v>2051.8000000000002</v>
      </c>
      <c r="H25" s="127">
        <f t="shared" ca="1" si="6"/>
        <v>3590.65</v>
      </c>
      <c r="I25" s="127">
        <f t="shared" ca="1" si="7"/>
        <v>3077.7</v>
      </c>
    </row>
    <row r="26" spans="1:9" ht="14">
      <c r="A26" s="1" t="s">
        <v>27</v>
      </c>
      <c r="B26" s="33">
        <f t="shared" ca="1" si="0"/>
        <v>8232</v>
      </c>
      <c r="C26" s="33">
        <f t="shared" ca="1" si="1"/>
        <v>1714</v>
      </c>
      <c r="D26" s="33">
        <f t="shared" ca="1" si="2"/>
        <v>416</v>
      </c>
      <c r="E26" s="127">
        <f t="shared" ca="1" si="3"/>
        <v>10362</v>
      </c>
      <c r="F26" s="127">
        <f t="shared" ca="1" si="4"/>
        <v>1554.3</v>
      </c>
      <c r="G26" s="127">
        <f t="shared" ca="1" si="5"/>
        <v>2072.4</v>
      </c>
      <c r="H26" s="127">
        <f t="shared" ca="1" si="6"/>
        <v>3626.7</v>
      </c>
      <c r="I26" s="127">
        <f t="shared" ca="1" si="7"/>
        <v>3108.6000000000004</v>
      </c>
    </row>
    <row r="27" spans="1:9" ht="14">
      <c r="A27" s="4" t="s">
        <v>28</v>
      </c>
      <c r="B27" s="33">
        <f t="shared" ca="1" si="0"/>
        <v>7504</v>
      </c>
      <c r="C27" s="33">
        <f t="shared" ca="1" si="1"/>
        <v>1862</v>
      </c>
      <c r="D27" s="33">
        <f t="shared" ca="1" si="2"/>
        <v>54</v>
      </c>
      <c r="E27" s="127">
        <f t="shared" ca="1" si="3"/>
        <v>9420</v>
      </c>
      <c r="F27" s="127">
        <f t="shared" ca="1" si="4"/>
        <v>1413</v>
      </c>
      <c r="G27" s="127">
        <f t="shared" ca="1" si="5"/>
        <v>1884</v>
      </c>
      <c r="H27" s="127">
        <f t="shared" ca="1" si="6"/>
        <v>3297</v>
      </c>
      <c r="I27" s="127">
        <f t="shared" ca="1" si="7"/>
        <v>2826</v>
      </c>
    </row>
    <row r="28" spans="1:9" ht="14">
      <c r="A28" s="5" t="s">
        <v>29</v>
      </c>
      <c r="B28" s="33">
        <f t="shared" ca="1" si="0"/>
        <v>7343</v>
      </c>
      <c r="C28" s="33">
        <f t="shared" ca="1" si="1"/>
        <v>1729</v>
      </c>
      <c r="D28" s="33">
        <f t="shared" ca="1" si="2"/>
        <v>272</v>
      </c>
      <c r="E28" s="127">
        <f t="shared" ca="1" si="3"/>
        <v>9344</v>
      </c>
      <c r="F28" s="127">
        <f t="shared" ca="1" si="4"/>
        <v>1401.6</v>
      </c>
      <c r="G28" s="127">
        <f t="shared" ca="1" si="5"/>
        <v>1868.8000000000002</v>
      </c>
      <c r="H28" s="127">
        <f t="shared" ca="1" si="6"/>
        <v>3270.4</v>
      </c>
      <c r="I28" s="127">
        <f t="shared" ca="1" si="7"/>
        <v>2803.2</v>
      </c>
    </row>
    <row r="29" spans="1:9" ht="14">
      <c r="A29" s="5" t="s">
        <v>30</v>
      </c>
      <c r="B29" s="33">
        <f t="shared" ca="1" si="0"/>
        <v>6497</v>
      </c>
      <c r="C29" s="33">
        <f t="shared" ca="1" si="1"/>
        <v>1824</v>
      </c>
      <c r="D29" s="33">
        <f t="shared" ca="1" si="2"/>
        <v>296</v>
      </c>
      <c r="E29" s="127">
        <f t="shared" ca="1" si="3"/>
        <v>8617</v>
      </c>
      <c r="F29" s="127">
        <f t="shared" ca="1" si="4"/>
        <v>1292.55</v>
      </c>
      <c r="G29" s="127">
        <f t="shared" ca="1" si="5"/>
        <v>1723.4</v>
      </c>
      <c r="H29" s="127">
        <f t="shared" ca="1" si="6"/>
        <v>3015.95</v>
      </c>
      <c r="I29" s="127">
        <f t="shared" ca="1" si="7"/>
        <v>2585.1000000000004</v>
      </c>
    </row>
    <row r="30" spans="1:9" ht="14">
      <c r="A30" s="4" t="s">
        <v>31</v>
      </c>
      <c r="B30" s="33">
        <f t="shared" ca="1" si="0"/>
        <v>5552</v>
      </c>
      <c r="C30" s="33">
        <f t="shared" ca="1" si="1"/>
        <v>1697</v>
      </c>
      <c r="D30" s="33">
        <f t="shared" ca="1" si="2"/>
        <v>96</v>
      </c>
      <c r="E30" s="127">
        <f t="shared" ca="1" si="3"/>
        <v>7345</v>
      </c>
      <c r="F30" s="127">
        <f t="shared" ca="1" si="4"/>
        <v>1101.75</v>
      </c>
      <c r="G30" s="127">
        <f t="shared" ca="1" si="5"/>
        <v>1469</v>
      </c>
      <c r="H30" s="127">
        <f t="shared" ca="1" si="6"/>
        <v>2570.75</v>
      </c>
      <c r="I30" s="127">
        <f t="shared" ca="1" si="7"/>
        <v>2203.5</v>
      </c>
    </row>
    <row r="31" spans="1:9" ht="14">
      <c r="A31" s="5" t="s">
        <v>32</v>
      </c>
      <c r="B31" s="33">
        <f t="shared" ca="1" si="0"/>
        <v>7183</v>
      </c>
      <c r="C31" s="33">
        <f t="shared" ca="1" si="1"/>
        <v>1974</v>
      </c>
      <c r="D31" s="33">
        <f t="shared" ca="1" si="2"/>
        <v>121</v>
      </c>
      <c r="E31" s="127">
        <f t="shared" ca="1" si="3"/>
        <v>9278</v>
      </c>
      <c r="F31" s="127">
        <f t="shared" ca="1" si="4"/>
        <v>1391.7</v>
      </c>
      <c r="G31" s="127">
        <f ca="1">0.2*E31</f>
        <v>1855.6000000000001</v>
      </c>
      <c r="H31" s="127">
        <f t="shared" ca="1" si="6"/>
        <v>3247.3</v>
      </c>
      <c r="I31" s="127">
        <f t="shared" ca="1" si="7"/>
        <v>2783.3999999999996</v>
      </c>
    </row>
    <row r="32" spans="1:9">
      <c r="B32" s="7"/>
      <c r="C32" s="7"/>
      <c r="E32" s="34"/>
      <c r="F32" s="34"/>
      <c r="G32" s="34"/>
      <c r="H32" s="34"/>
      <c r="I32" s="34"/>
    </row>
    <row r="33" spans="1:9" ht="14">
      <c r="A33" s="12" t="s">
        <v>40</v>
      </c>
      <c r="B33" s="127">
        <f t="shared" ref="B33:I33" ca="1" si="8">AVERAGE(B4:B31)</f>
        <v>6964</v>
      </c>
      <c r="C33" s="127">
        <f t="shared" ca="1" si="8"/>
        <v>1598.5357142857142</v>
      </c>
      <c r="D33" s="127">
        <f t="shared" ca="1" si="8"/>
        <v>293.42857142857144</v>
      </c>
      <c r="E33" s="127">
        <f t="shared" ca="1" si="8"/>
        <v>8855.9642857142862</v>
      </c>
      <c r="F33" s="127">
        <f t="shared" ca="1" si="8"/>
        <v>1328.3946428571423</v>
      </c>
      <c r="G33" s="127">
        <f t="shared" ca="1" si="8"/>
        <v>1771.1928571428575</v>
      </c>
      <c r="H33" s="127">
        <f t="shared" ca="1" si="8"/>
        <v>3099.5875000000001</v>
      </c>
      <c r="I33" s="127">
        <f t="shared" ca="1" si="8"/>
        <v>2656.7892857142856</v>
      </c>
    </row>
    <row r="34" spans="1:9" ht="14.25" customHeight="1"/>
  </sheetData>
  <sheetProtection password="C79A" sheet="1"/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FA3F-73F1-0D41-8703-42A3D7EC2F53}">
  <sheetPr>
    <tabColor theme="3" tint="0.39997558519241921"/>
  </sheetPr>
  <dimension ref="B1:AH60"/>
  <sheetViews>
    <sheetView zoomScaleNormal="100" workbookViewId="0">
      <selection activeCell="AD50" sqref="AD50"/>
    </sheetView>
  </sheetViews>
  <sheetFormatPr baseColWidth="10" defaultColWidth="8.83203125" defaultRowHeight="13"/>
  <cols>
    <col min="1" max="1" width="3.1640625" customWidth="1"/>
    <col min="2" max="25" width="3.33203125" customWidth="1"/>
    <col min="26" max="26" width="5.5" customWidth="1"/>
    <col min="27" max="29" width="8.83203125" customWidth="1"/>
    <col min="30" max="30" width="18.5" customWidth="1"/>
  </cols>
  <sheetData>
    <row r="1" spans="2:34" ht="14" thickBot="1"/>
    <row r="2" spans="2:34" ht="14" thickBot="1">
      <c r="B2" s="35">
        <f t="shared" ref="B2:B29" ca="1" si="0">CEILING((RAND()*16),1)</f>
        <v>2</v>
      </c>
      <c r="C2" s="36">
        <f t="shared" ref="C2:Y13" ca="1" si="1">CEILING((RAND()*16),1)</f>
        <v>15</v>
      </c>
      <c r="D2" s="36">
        <f t="shared" ca="1" si="1"/>
        <v>6</v>
      </c>
      <c r="E2" s="36">
        <f t="shared" ca="1" si="1"/>
        <v>15</v>
      </c>
      <c r="F2" s="36">
        <f t="shared" ca="1" si="1"/>
        <v>1</v>
      </c>
      <c r="G2" s="36">
        <f t="shared" ca="1" si="1"/>
        <v>10</v>
      </c>
      <c r="H2" s="36">
        <f t="shared" ca="1" si="1"/>
        <v>14</v>
      </c>
      <c r="I2" s="36">
        <f t="shared" ca="1" si="1"/>
        <v>14</v>
      </c>
      <c r="J2" s="36">
        <f t="shared" ca="1" si="1"/>
        <v>13</v>
      </c>
      <c r="K2" s="36">
        <f t="shared" ca="1" si="1"/>
        <v>3</v>
      </c>
      <c r="L2" s="36">
        <f t="shared" ca="1" si="1"/>
        <v>8</v>
      </c>
      <c r="M2" s="36">
        <f t="shared" ca="1" si="1"/>
        <v>10</v>
      </c>
      <c r="N2" s="36">
        <f t="shared" ca="1" si="1"/>
        <v>12</v>
      </c>
      <c r="O2" s="36">
        <f t="shared" ca="1" si="1"/>
        <v>3</v>
      </c>
      <c r="P2" s="36">
        <f t="shared" ca="1" si="1"/>
        <v>14</v>
      </c>
      <c r="Q2" s="36">
        <f t="shared" ca="1" si="1"/>
        <v>10</v>
      </c>
      <c r="R2" s="36">
        <f t="shared" ca="1" si="1"/>
        <v>3</v>
      </c>
      <c r="S2" s="36">
        <f t="shared" ca="1" si="1"/>
        <v>13</v>
      </c>
      <c r="T2" s="36">
        <f t="shared" ca="1" si="1"/>
        <v>4</v>
      </c>
      <c r="U2" s="36">
        <f t="shared" ca="1" si="1"/>
        <v>15</v>
      </c>
      <c r="V2" s="36">
        <f t="shared" ca="1" si="1"/>
        <v>2</v>
      </c>
      <c r="W2" s="36">
        <f t="shared" ca="1" si="1"/>
        <v>1</v>
      </c>
      <c r="X2" s="36">
        <f t="shared" ca="1" si="1"/>
        <v>8</v>
      </c>
      <c r="Y2" s="37">
        <f t="shared" ca="1" si="1"/>
        <v>13</v>
      </c>
    </row>
    <row r="3" spans="2:34">
      <c r="B3" s="38">
        <f t="shared" ca="1" si="0"/>
        <v>8</v>
      </c>
      <c r="C3" s="39">
        <f t="shared" ca="1" si="1"/>
        <v>2</v>
      </c>
      <c r="D3" s="39">
        <f t="shared" ca="1" si="1"/>
        <v>9</v>
      </c>
      <c r="E3" s="39">
        <f t="shared" ca="1" si="1"/>
        <v>13</v>
      </c>
      <c r="F3" s="39">
        <f t="shared" ca="1" si="1"/>
        <v>4</v>
      </c>
      <c r="G3" s="39">
        <f t="shared" ca="1" si="1"/>
        <v>6</v>
      </c>
      <c r="H3" s="39">
        <f t="shared" ca="1" si="1"/>
        <v>4</v>
      </c>
      <c r="I3" s="39">
        <f t="shared" ca="1" si="1"/>
        <v>7</v>
      </c>
      <c r="J3" s="39">
        <f t="shared" ca="1" si="1"/>
        <v>6</v>
      </c>
      <c r="K3" s="39">
        <f t="shared" ca="1" si="1"/>
        <v>3</v>
      </c>
      <c r="L3" s="39">
        <f t="shared" ca="1" si="1"/>
        <v>9</v>
      </c>
      <c r="M3" s="39">
        <f t="shared" ca="1" si="1"/>
        <v>6</v>
      </c>
      <c r="N3" s="39">
        <f t="shared" ca="1" si="1"/>
        <v>12</v>
      </c>
      <c r="O3" s="39">
        <f t="shared" ca="1" si="1"/>
        <v>5</v>
      </c>
      <c r="P3" s="39">
        <f t="shared" ca="1" si="1"/>
        <v>13</v>
      </c>
      <c r="Q3" s="39">
        <f t="shared" ca="1" si="1"/>
        <v>3</v>
      </c>
      <c r="R3" s="39">
        <f t="shared" ca="1" si="1"/>
        <v>2</v>
      </c>
      <c r="S3" s="39">
        <f t="shared" ca="1" si="1"/>
        <v>12</v>
      </c>
      <c r="T3" s="39">
        <f t="shared" ca="1" si="1"/>
        <v>3</v>
      </c>
      <c r="U3" s="39">
        <f t="shared" ca="1" si="1"/>
        <v>6</v>
      </c>
      <c r="V3" s="39">
        <f t="shared" ca="1" si="1"/>
        <v>11</v>
      </c>
      <c r="W3" s="39">
        <f t="shared" ca="1" si="1"/>
        <v>5</v>
      </c>
      <c r="X3" s="39">
        <f t="shared" ca="1" si="1"/>
        <v>12</v>
      </c>
      <c r="Y3" s="40">
        <f t="shared" ca="1" si="1"/>
        <v>1</v>
      </c>
      <c r="AA3" s="9" t="s">
        <v>41</v>
      </c>
      <c r="AB3" s="44">
        <f ca="1">SUM(C2:V15,K43:T51)</f>
        <v>3190</v>
      </c>
    </row>
    <row r="4" spans="2:34">
      <c r="B4" s="38">
        <f t="shared" ca="1" si="0"/>
        <v>12</v>
      </c>
      <c r="C4" s="39">
        <f t="shared" ca="1" si="1"/>
        <v>7</v>
      </c>
      <c r="D4" s="39">
        <f t="shared" ca="1" si="1"/>
        <v>4</v>
      </c>
      <c r="E4" s="39">
        <f t="shared" ca="1" si="1"/>
        <v>4</v>
      </c>
      <c r="F4" s="39">
        <f t="shared" ca="1" si="1"/>
        <v>5</v>
      </c>
      <c r="G4" s="39">
        <f t="shared" ca="1" si="1"/>
        <v>10</v>
      </c>
      <c r="H4" s="39">
        <f t="shared" ca="1" si="1"/>
        <v>13</v>
      </c>
      <c r="I4" s="39">
        <f t="shared" ca="1" si="1"/>
        <v>11</v>
      </c>
      <c r="J4" s="39">
        <f t="shared" ca="1" si="1"/>
        <v>1</v>
      </c>
      <c r="K4" s="39">
        <f t="shared" ca="1" si="1"/>
        <v>7</v>
      </c>
      <c r="L4" s="39">
        <f t="shared" ca="1" si="1"/>
        <v>8</v>
      </c>
      <c r="M4" s="39">
        <f t="shared" ca="1" si="1"/>
        <v>5</v>
      </c>
      <c r="N4" s="39">
        <f t="shared" ca="1" si="1"/>
        <v>4</v>
      </c>
      <c r="O4" s="39">
        <f t="shared" ca="1" si="1"/>
        <v>10</v>
      </c>
      <c r="P4" s="39">
        <f t="shared" ca="1" si="1"/>
        <v>7</v>
      </c>
      <c r="Q4" s="39">
        <f t="shared" ca="1" si="1"/>
        <v>3</v>
      </c>
      <c r="R4" s="39">
        <f t="shared" ca="1" si="1"/>
        <v>9</v>
      </c>
      <c r="S4" s="39">
        <f t="shared" ca="1" si="1"/>
        <v>4</v>
      </c>
      <c r="T4" s="39">
        <f t="shared" ca="1" si="1"/>
        <v>2</v>
      </c>
      <c r="U4" s="39">
        <f t="shared" ca="1" si="1"/>
        <v>16</v>
      </c>
      <c r="V4" s="39">
        <f t="shared" ca="1" si="1"/>
        <v>15</v>
      </c>
      <c r="W4" s="39">
        <f t="shared" ca="1" si="1"/>
        <v>1</v>
      </c>
      <c r="X4" s="39">
        <f t="shared" ca="1" si="1"/>
        <v>1</v>
      </c>
      <c r="Y4" s="40">
        <f t="shared" ca="1" si="1"/>
        <v>16</v>
      </c>
      <c r="AA4" s="10" t="s">
        <v>42</v>
      </c>
      <c r="AB4" s="45">
        <f ca="1">MAX(C2:V15,K43:T51)</f>
        <v>16</v>
      </c>
    </row>
    <row r="5" spans="2:34">
      <c r="B5" s="38">
        <f t="shared" ca="1" si="0"/>
        <v>9</v>
      </c>
      <c r="C5" s="39">
        <f t="shared" ca="1" si="1"/>
        <v>16</v>
      </c>
      <c r="D5" s="39">
        <f t="shared" ca="1" si="1"/>
        <v>4</v>
      </c>
      <c r="E5" s="39">
        <f t="shared" ca="1" si="1"/>
        <v>6</v>
      </c>
      <c r="F5" s="39">
        <f t="shared" ca="1" si="1"/>
        <v>14</v>
      </c>
      <c r="G5" s="39">
        <f t="shared" ca="1" si="1"/>
        <v>13</v>
      </c>
      <c r="H5" s="39">
        <f t="shared" ca="1" si="1"/>
        <v>1</v>
      </c>
      <c r="I5" s="39">
        <f t="shared" ca="1" si="1"/>
        <v>15</v>
      </c>
      <c r="J5" s="39">
        <f t="shared" ca="1" si="1"/>
        <v>12</v>
      </c>
      <c r="K5" s="39">
        <f t="shared" ca="1" si="1"/>
        <v>3</v>
      </c>
      <c r="L5" s="39">
        <f t="shared" ca="1" si="1"/>
        <v>11</v>
      </c>
      <c r="M5" s="39">
        <f t="shared" ca="1" si="1"/>
        <v>15</v>
      </c>
      <c r="N5" s="39">
        <f t="shared" ca="1" si="1"/>
        <v>15</v>
      </c>
      <c r="O5" s="39">
        <f t="shared" ca="1" si="1"/>
        <v>12</v>
      </c>
      <c r="P5" s="39">
        <f t="shared" ca="1" si="1"/>
        <v>13</v>
      </c>
      <c r="Q5" s="39">
        <f t="shared" ca="1" si="1"/>
        <v>4</v>
      </c>
      <c r="R5" s="39">
        <f t="shared" ca="1" si="1"/>
        <v>12</v>
      </c>
      <c r="S5" s="39">
        <f t="shared" ca="1" si="1"/>
        <v>13</v>
      </c>
      <c r="T5" s="39">
        <f t="shared" ca="1" si="1"/>
        <v>12</v>
      </c>
      <c r="U5" s="39">
        <f t="shared" ca="1" si="1"/>
        <v>15</v>
      </c>
      <c r="V5" s="39">
        <f t="shared" ca="1" si="1"/>
        <v>3</v>
      </c>
      <c r="W5" s="39">
        <f t="shared" ca="1" si="1"/>
        <v>10</v>
      </c>
      <c r="X5" s="39">
        <f t="shared" ca="1" si="1"/>
        <v>11</v>
      </c>
      <c r="Y5" s="40">
        <f t="shared" ca="1" si="1"/>
        <v>13</v>
      </c>
      <c r="AA5" s="10" t="s">
        <v>43</v>
      </c>
      <c r="AB5" s="45">
        <f ca="1">MIN(C2:V15,K43:T51)</f>
        <v>1</v>
      </c>
    </row>
    <row r="6" spans="2:34">
      <c r="B6" s="38">
        <f t="shared" ca="1" si="0"/>
        <v>3</v>
      </c>
      <c r="C6" s="39">
        <f t="shared" ca="1" si="1"/>
        <v>13</v>
      </c>
      <c r="D6" s="39">
        <f t="shared" ca="1" si="1"/>
        <v>3</v>
      </c>
      <c r="E6" s="39">
        <f t="shared" ca="1" si="1"/>
        <v>14</v>
      </c>
      <c r="F6" s="39">
        <f t="shared" ca="1" si="1"/>
        <v>1</v>
      </c>
      <c r="G6" s="39">
        <f t="shared" ca="1" si="1"/>
        <v>2</v>
      </c>
      <c r="H6" s="39">
        <f t="shared" ca="1" si="1"/>
        <v>10</v>
      </c>
      <c r="I6" s="39">
        <f t="shared" ca="1" si="1"/>
        <v>16</v>
      </c>
      <c r="J6" s="39">
        <f t="shared" ca="1" si="1"/>
        <v>9</v>
      </c>
      <c r="K6" s="39">
        <f t="shared" ca="1" si="1"/>
        <v>16</v>
      </c>
      <c r="L6" s="39">
        <f t="shared" ca="1" si="1"/>
        <v>1</v>
      </c>
      <c r="M6" s="39">
        <f t="shared" ca="1" si="1"/>
        <v>7</v>
      </c>
      <c r="N6" s="39">
        <f t="shared" ca="1" si="1"/>
        <v>13</v>
      </c>
      <c r="O6" s="39">
        <f t="shared" ca="1" si="1"/>
        <v>7</v>
      </c>
      <c r="P6" s="39">
        <f t="shared" ca="1" si="1"/>
        <v>16</v>
      </c>
      <c r="Q6" s="39">
        <f t="shared" ca="1" si="1"/>
        <v>11</v>
      </c>
      <c r="R6" s="39">
        <f t="shared" ca="1" si="1"/>
        <v>3</v>
      </c>
      <c r="S6" s="39">
        <f t="shared" ca="1" si="1"/>
        <v>14</v>
      </c>
      <c r="T6" s="39">
        <f t="shared" ca="1" si="1"/>
        <v>16</v>
      </c>
      <c r="U6" s="39">
        <f t="shared" ca="1" si="1"/>
        <v>10</v>
      </c>
      <c r="V6" s="39">
        <f t="shared" ca="1" si="1"/>
        <v>16</v>
      </c>
      <c r="W6" s="39">
        <f t="shared" ca="1" si="1"/>
        <v>16</v>
      </c>
      <c r="X6" s="39">
        <f t="shared" ca="1" si="1"/>
        <v>7</v>
      </c>
      <c r="Y6" s="40">
        <f t="shared" ca="1" si="1"/>
        <v>8</v>
      </c>
      <c r="AA6" s="10" t="s">
        <v>44</v>
      </c>
      <c r="AB6" s="45">
        <f ca="1">COUNT(C2:V15,K43:T51)</f>
        <v>370</v>
      </c>
    </row>
    <row r="7" spans="2:34" ht="14" thickBot="1">
      <c r="B7" s="38">
        <f t="shared" ca="1" si="0"/>
        <v>6</v>
      </c>
      <c r="C7" s="39">
        <f t="shared" ca="1" si="1"/>
        <v>11</v>
      </c>
      <c r="D7" s="39">
        <f t="shared" ca="1" si="1"/>
        <v>4</v>
      </c>
      <c r="E7" s="39">
        <f t="shared" ca="1" si="1"/>
        <v>7</v>
      </c>
      <c r="F7" s="39">
        <f t="shared" ca="1" si="1"/>
        <v>3</v>
      </c>
      <c r="G7" s="39">
        <f t="shared" ca="1" si="1"/>
        <v>6</v>
      </c>
      <c r="H7" s="39">
        <f t="shared" ca="1" si="1"/>
        <v>13</v>
      </c>
      <c r="I7" s="39">
        <f t="shared" ca="1" si="1"/>
        <v>4</v>
      </c>
      <c r="J7" s="39">
        <f t="shared" ca="1" si="1"/>
        <v>16</v>
      </c>
      <c r="K7" s="39">
        <f t="shared" ca="1" si="1"/>
        <v>5</v>
      </c>
      <c r="L7" s="39">
        <f t="shared" ca="1" si="1"/>
        <v>5</v>
      </c>
      <c r="M7" s="39">
        <f t="shared" ca="1" si="1"/>
        <v>5</v>
      </c>
      <c r="N7" s="39">
        <f t="shared" ca="1" si="1"/>
        <v>10</v>
      </c>
      <c r="O7" s="39">
        <f t="shared" ca="1" si="1"/>
        <v>3</v>
      </c>
      <c r="P7" s="39">
        <f t="shared" ca="1" si="1"/>
        <v>3</v>
      </c>
      <c r="Q7" s="39">
        <f t="shared" ca="1" si="1"/>
        <v>14</v>
      </c>
      <c r="R7" s="39">
        <f t="shared" ca="1" si="1"/>
        <v>9</v>
      </c>
      <c r="S7" s="39">
        <f t="shared" ca="1" si="1"/>
        <v>10</v>
      </c>
      <c r="T7" s="39">
        <f t="shared" ca="1" si="1"/>
        <v>3</v>
      </c>
      <c r="U7" s="39">
        <f t="shared" ca="1" si="1"/>
        <v>12</v>
      </c>
      <c r="V7" s="39">
        <f t="shared" ca="1" si="1"/>
        <v>16</v>
      </c>
      <c r="W7" s="39">
        <f t="shared" ca="1" si="1"/>
        <v>15</v>
      </c>
      <c r="X7" s="39">
        <f t="shared" ca="1" si="1"/>
        <v>12</v>
      </c>
      <c r="Y7" s="40">
        <f t="shared" ca="1" si="1"/>
        <v>13</v>
      </c>
      <c r="AA7" s="11" t="s">
        <v>45</v>
      </c>
      <c r="AB7" s="46">
        <f ca="1">AVERAGE(C2:V15,K43:T51)</f>
        <v>8.621621621621621</v>
      </c>
    </row>
    <row r="8" spans="2:34">
      <c r="B8" s="38">
        <f t="shared" ca="1" si="0"/>
        <v>11</v>
      </c>
      <c r="C8" s="39">
        <f t="shared" ca="1" si="1"/>
        <v>12</v>
      </c>
      <c r="D8" s="39">
        <f t="shared" ca="1" si="1"/>
        <v>5</v>
      </c>
      <c r="E8" s="39">
        <f t="shared" ca="1" si="1"/>
        <v>12</v>
      </c>
      <c r="F8" s="39">
        <f t="shared" ca="1" si="1"/>
        <v>13</v>
      </c>
      <c r="G8" s="39">
        <f t="shared" ca="1" si="1"/>
        <v>2</v>
      </c>
      <c r="H8" s="39">
        <f t="shared" ca="1" si="1"/>
        <v>6</v>
      </c>
      <c r="I8" s="39">
        <f t="shared" ca="1" si="1"/>
        <v>8</v>
      </c>
      <c r="J8" s="39">
        <f t="shared" ca="1" si="1"/>
        <v>13</v>
      </c>
      <c r="K8" s="39">
        <f t="shared" ca="1" si="1"/>
        <v>7</v>
      </c>
      <c r="L8" s="39">
        <f t="shared" ca="1" si="1"/>
        <v>15</v>
      </c>
      <c r="M8" s="39">
        <f t="shared" ca="1" si="1"/>
        <v>15</v>
      </c>
      <c r="N8" s="39">
        <f t="shared" ca="1" si="1"/>
        <v>13</v>
      </c>
      <c r="O8" s="39">
        <f t="shared" ca="1" si="1"/>
        <v>9</v>
      </c>
      <c r="P8" s="39">
        <f t="shared" ca="1" si="1"/>
        <v>9</v>
      </c>
      <c r="Q8" s="39">
        <f t="shared" ca="1" si="1"/>
        <v>1</v>
      </c>
      <c r="R8" s="39">
        <f t="shared" ca="1" si="1"/>
        <v>8</v>
      </c>
      <c r="S8" s="39">
        <f t="shared" ca="1" si="1"/>
        <v>12</v>
      </c>
      <c r="T8" s="39">
        <f t="shared" ca="1" si="1"/>
        <v>5</v>
      </c>
      <c r="U8" s="39">
        <f t="shared" ca="1" si="1"/>
        <v>11</v>
      </c>
      <c r="V8" s="39">
        <f t="shared" ca="1" si="1"/>
        <v>13</v>
      </c>
      <c r="W8" s="39">
        <f t="shared" ca="1" si="1"/>
        <v>11</v>
      </c>
      <c r="X8" s="39">
        <f t="shared" ca="1" si="1"/>
        <v>3</v>
      </c>
      <c r="Y8" s="40">
        <f t="shared" ca="1" si="1"/>
        <v>8</v>
      </c>
    </row>
    <row r="9" spans="2:34">
      <c r="B9" s="38">
        <f t="shared" ca="1" si="0"/>
        <v>11</v>
      </c>
      <c r="C9" s="39">
        <f t="shared" ca="1" si="1"/>
        <v>4</v>
      </c>
      <c r="D9" s="39">
        <f t="shared" ca="1" si="1"/>
        <v>14</v>
      </c>
      <c r="E9" s="39">
        <f t="shared" ca="1" si="1"/>
        <v>9</v>
      </c>
      <c r="F9" s="39">
        <f t="shared" ca="1" si="1"/>
        <v>2</v>
      </c>
      <c r="G9" s="39">
        <f t="shared" ca="1" si="1"/>
        <v>1</v>
      </c>
      <c r="H9" s="39">
        <f t="shared" ca="1" si="1"/>
        <v>11</v>
      </c>
      <c r="I9" s="39">
        <f t="shared" ca="1" si="1"/>
        <v>4</v>
      </c>
      <c r="J9" s="39">
        <f t="shared" ca="1" si="1"/>
        <v>14</v>
      </c>
      <c r="K9" s="39">
        <f t="shared" ca="1" si="1"/>
        <v>6</v>
      </c>
      <c r="L9" s="39">
        <f t="shared" ca="1" si="1"/>
        <v>13</v>
      </c>
      <c r="M9" s="39">
        <f t="shared" ca="1" si="1"/>
        <v>8</v>
      </c>
      <c r="N9" s="39">
        <f t="shared" ca="1" si="1"/>
        <v>16</v>
      </c>
      <c r="O9" s="39">
        <f t="shared" ca="1" si="1"/>
        <v>10</v>
      </c>
      <c r="P9" s="39">
        <f t="shared" ca="1" si="1"/>
        <v>8</v>
      </c>
      <c r="Q9" s="39">
        <f t="shared" ca="1" si="1"/>
        <v>13</v>
      </c>
      <c r="R9" s="39">
        <f t="shared" ca="1" si="1"/>
        <v>2</v>
      </c>
      <c r="S9" s="39">
        <f t="shared" ca="1" si="1"/>
        <v>1</v>
      </c>
      <c r="T9" s="39">
        <f t="shared" ca="1" si="1"/>
        <v>5</v>
      </c>
      <c r="U9" s="39">
        <f t="shared" ca="1" si="1"/>
        <v>14</v>
      </c>
      <c r="V9" s="39">
        <f t="shared" ca="1" si="1"/>
        <v>4</v>
      </c>
      <c r="W9" s="39">
        <f t="shared" ca="1" si="1"/>
        <v>3</v>
      </c>
      <c r="X9" s="39">
        <f t="shared" ca="1" si="1"/>
        <v>16</v>
      </c>
      <c r="Y9" s="40">
        <f t="shared" ca="1" si="1"/>
        <v>3</v>
      </c>
    </row>
    <row r="10" spans="2:34">
      <c r="B10" s="38">
        <f t="shared" ca="1" si="0"/>
        <v>16</v>
      </c>
      <c r="C10" s="39">
        <f t="shared" ca="1" si="1"/>
        <v>6</v>
      </c>
      <c r="D10" s="39">
        <f t="shared" ca="1" si="1"/>
        <v>7</v>
      </c>
      <c r="E10" s="39">
        <f t="shared" ca="1" si="1"/>
        <v>11</v>
      </c>
      <c r="F10" s="39">
        <f t="shared" ca="1" si="1"/>
        <v>8</v>
      </c>
      <c r="G10" s="39">
        <f t="shared" ca="1" si="1"/>
        <v>15</v>
      </c>
      <c r="H10" s="39">
        <f t="shared" ca="1" si="1"/>
        <v>4</v>
      </c>
      <c r="I10" s="39">
        <f t="shared" ca="1" si="1"/>
        <v>2</v>
      </c>
      <c r="J10" s="39">
        <f t="shared" ca="1" si="1"/>
        <v>2</v>
      </c>
      <c r="K10" s="39">
        <f t="shared" ca="1" si="1"/>
        <v>9</v>
      </c>
      <c r="L10" s="39">
        <f t="shared" ca="1" si="1"/>
        <v>16</v>
      </c>
      <c r="M10" s="39">
        <f t="shared" ca="1" si="1"/>
        <v>15</v>
      </c>
      <c r="N10" s="39">
        <f t="shared" ca="1" si="1"/>
        <v>8</v>
      </c>
      <c r="O10" s="39">
        <f t="shared" ca="1" si="1"/>
        <v>10</v>
      </c>
      <c r="P10" s="39">
        <f t="shared" ca="1" si="1"/>
        <v>4</v>
      </c>
      <c r="Q10" s="39">
        <f t="shared" ca="1" si="1"/>
        <v>15</v>
      </c>
      <c r="R10" s="39">
        <f t="shared" ca="1" si="1"/>
        <v>15</v>
      </c>
      <c r="S10" s="39">
        <f t="shared" ca="1" si="1"/>
        <v>4</v>
      </c>
      <c r="T10" s="39">
        <f t="shared" ca="1" si="1"/>
        <v>14</v>
      </c>
      <c r="U10" s="39">
        <f t="shared" ca="1" si="1"/>
        <v>12</v>
      </c>
      <c r="V10" s="39">
        <f t="shared" ca="1" si="1"/>
        <v>10</v>
      </c>
      <c r="W10" s="39">
        <f t="shared" ca="1" si="1"/>
        <v>5</v>
      </c>
      <c r="X10" s="39">
        <f t="shared" ca="1" si="1"/>
        <v>9</v>
      </c>
      <c r="Y10" s="40">
        <f t="shared" ca="1" si="1"/>
        <v>8</v>
      </c>
    </row>
    <row r="11" spans="2:34">
      <c r="B11" s="38">
        <f t="shared" ca="1" si="0"/>
        <v>14</v>
      </c>
      <c r="C11" s="39">
        <f t="shared" ca="1" si="1"/>
        <v>15</v>
      </c>
      <c r="D11" s="39">
        <f t="shared" ca="1" si="1"/>
        <v>13</v>
      </c>
      <c r="E11" s="39">
        <f t="shared" ca="1" si="1"/>
        <v>2</v>
      </c>
      <c r="F11" s="39">
        <f t="shared" ca="1" si="1"/>
        <v>5</v>
      </c>
      <c r="G11" s="39">
        <f t="shared" ca="1" si="1"/>
        <v>13</v>
      </c>
      <c r="H11" s="39">
        <f t="shared" ca="1" si="1"/>
        <v>5</v>
      </c>
      <c r="I11" s="39">
        <f t="shared" ca="1" si="1"/>
        <v>12</v>
      </c>
      <c r="J11" s="39">
        <f t="shared" ca="1" si="1"/>
        <v>3</v>
      </c>
      <c r="K11" s="39">
        <f t="shared" ca="1" si="1"/>
        <v>3</v>
      </c>
      <c r="L11" s="39">
        <f t="shared" ca="1" si="1"/>
        <v>1</v>
      </c>
      <c r="M11" s="39">
        <f t="shared" ca="1" si="1"/>
        <v>1</v>
      </c>
      <c r="N11" s="39">
        <f t="shared" ca="1" si="1"/>
        <v>7</v>
      </c>
      <c r="O11" s="39">
        <f t="shared" ca="1" si="1"/>
        <v>11</v>
      </c>
      <c r="P11" s="39">
        <f t="shared" ca="1" si="1"/>
        <v>5</v>
      </c>
      <c r="Q11" s="39">
        <f t="shared" ca="1" si="1"/>
        <v>10</v>
      </c>
      <c r="R11" s="39">
        <f t="shared" ca="1" si="1"/>
        <v>5</v>
      </c>
      <c r="S11" s="39">
        <f t="shared" ca="1" si="1"/>
        <v>9</v>
      </c>
      <c r="T11" s="39">
        <f t="shared" ca="1" si="1"/>
        <v>12</v>
      </c>
      <c r="U11" s="39">
        <f t="shared" ca="1" si="1"/>
        <v>5</v>
      </c>
      <c r="V11" s="39">
        <f t="shared" ca="1" si="1"/>
        <v>8</v>
      </c>
      <c r="W11" s="39">
        <f t="shared" ca="1" si="1"/>
        <v>5</v>
      </c>
      <c r="X11" s="39">
        <f t="shared" ca="1" si="1"/>
        <v>9</v>
      </c>
      <c r="Y11" s="40">
        <f t="shared" ca="1" si="1"/>
        <v>3</v>
      </c>
      <c r="AA11" s="142">
        <f>indivar</f>
        <v>15</v>
      </c>
      <c r="AB11" s="142"/>
      <c r="AC11" s="142"/>
      <c r="AD11" s="142"/>
      <c r="AE11" s="142"/>
      <c r="AF11" s="142"/>
      <c r="AG11" s="142"/>
      <c r="AH11" s="142"/>
    </row>
    <row r="12" spans="2:34">
      <c r="B12" s="38">
        <f t="shared" ca="1" si="0"/>
        <v>3</v>
      </c>
      <c r="C12" s="39">
        <f t="shared" ca="1" si="1"/>
        <v>14</v>
      </c>
      <c r="D12" s="39">
        <f t="shared" ca="1" si="1"/>
        <v>7</v>
      </c>
      <c r="E12" s="39">
        <f t="shared" ca="1" si="1"/>
        <v>7</v>
      </c>
      <c r="F12" s="39">
        <f t="shared" ca="1" si="1"/>
        <v>1</v>
      </c>
      <c r="G12" s="39">
        <f t="shared" ca="1" si="1"/>
        <v>9</v>
      </c>
      <c r="H12" s="39">
        <f t="shared" ca="1" si="1"/>
        <v>14</v>
      </c>
      <c r="I12" s="39">
        <f t="shared" ca="1" si="1"/>
        <v>9</v>
      </c>
      <c r="J12" s="39">
        <f t="shared" ca="1" si="1"/>
        <v>8</v>
      </c>
      <c r="K12" s="39">
        <f t="shared" ca="1" si="1"/>
        <v>15</v>
      </c>
      <c r="L12" s="39">
        <f t="shared" ca="1" si="1"/>
        <v>13</v>
      </c>
      <c r="M12" s="39">
        <f t="shared" ca="1" si="1"/>
        <v>8</v>
      </c>
      <c r="N12" s="39">
        <f t="shared" ca="1" si="1"/>
        <v>6</v>
      </c>
      <c r="O12" s="39">
        <f t="shared" ca="1" si="1"/>
        <v>12</v>
      </c>
      <c r="P12" s="39">
        <f t="shared" ca="1" si="1"/>
        <v>11</v>
      </c>
      <c r="Q12" s="39">
        <f t="shared" ca="1" si="1"/>
        <v>4</v>
      </c>
      <c r="R12" s="39">
        <f t="shared" ca="1" si="1"/>
        <v>15</v>
      </c>
      <c r="S12" s="39">
        <f t="shared" ca="1" si="1"/>
        <v>4</v>
      </c>
      <c r="T12" s="39">
        <f t="shared" ca="1" si="1"/>
        <v>1</v>
      </c>
      <c r="U12" s="39">
        <f t="shared" ca="1" si="1"/>
        <v>3</v>
      </c>
      <c r="V12" s="39">
        <f t="shared" ca="1" si="1"/>
        <v>6</v>
      </c>
      <c r="W12" s="39">
        <f t="shared" ca="1" si="1"/>
        <v>2</v>
      </c>
      <c r="X12" s="39">
        <f t="shared" ca="1" si="1"/>
        <v>1</v>
      </c>
      <c r="Y12" s="40">
        <f t="shared" ca="1" si="1"/>
        <v>13</v>
      </c>
      <c r="AA12" s="142"/>
      <c r="AB12" s="142"/>
      <c r="AC12" s="142"/>
      <c r="AD12" s="142"/>
      <c r="AE12" s="142"/>
      <c r="AF12" s="142"/>
      <c r="AG12" s="142"/>
      <c r="AH12" s="142"/>
    </row>
    <row r="13" spans="2:34">
      <c r="B13" s="38">
        <f t="shared" ca="1" si="0"/>
        <v>3</v>
      </c>
      <c r="C13" s="39">
        <f t="shared" ca="1" si="1"/>
        <v>14</v>
      </c>
      <c r="D13" s="39">
        <f t="shared" ca="1" si="1"/>
        <v>12</v>
      </c>
      <c r="E13" s="39">
        <f t="shared" ref="E13:T22" ca="1" si="2">CEILING((RAND()*16),1)</f>
        <v>12</v>
      </c>
      <c r="F13" s="39">
        <f t="shared" ca="1" si="2"/>
        <v>7</v>
      </c>
      <c r="G13" s="39">
        <f t="shared" ca="1" si="2"/>
        <v>12</v>
      </c>
      <c r="H13" s="39">
        <f t="shared" ca="1" si="2"/>
        <v>5</v>
      </c>
      <c r="I13" s="39">
        <f t="shared" ca="1" si="2"/>
        <v>14</v>
      </c>
      <c r="J13" s="39">
        <f t="shared" ca="1" si="2"/>
        <v>12</v>
      </c>
      <c r="K13" s="39">
        <f t="shared" ca="1" si="2"/>
        <v>9</v>
      </c>
      <c r="L13" s="39">
        <f t="shared" ca="1" si="2"/>
        <v>10</v>
      </c>
      <c r="M13" s="39">
        <f t="shared" ca="1" si="2"/>
        <v>14</v>
      </c>
      <c r="N13" s="39">
        <f t="shared" ca="1" si="2"/>
        <v>10</v>
      </c>
      <c r="O13" s="39">
        <f t="shared" ca="1" si="2"/>
        <v>5</v>
      </c>
      <c r="P13" s="39">
        <f t="shared" ca="1" si="2"/>
        <v>5</v>
      </c>
      <c r="Q13" s="39">
        <f t="shared" ca="1" si="2"/>
        <v>7</v>
      </c>
      <c r="R13" s="39">
        <f t="shared" ca="1" si="2"/>
        <v>12</v>
      </c>
      <c r="S13" s="39">
        <f t="shared" ca="1" si="2"/>
        <v>7</v>
      </c>
      <c r="T13" s="39">
        <f t="shared" ca="1" si="2"/>
        <v>15</v>
      </c>
      <c r="U13" s="39">
        <f t="shared" ref="U13:Y44" ca="1" si="3">CEILING((RAND()*16),1)</f>
        <v>13</v>
      </c>
      <c r="V13" s="39">
        <f t="shared" ca="1" si="3"/>
        <v>15</v>
      </c>
      <c r="W13" s="39">
        <f t="shared" ca="1" si="3"/>
        <v>9</v>
      </c>
      <c r="X13" s="39">
        <f t="shared" ca="1" si="3"/>
        <v>12</v>
      </c>
      <c r="Y13" s="40">
        <f t="shared" ca="1" si="3"/>
        <v>12</v>
      </c>
      <c r="AA13" s="142"/>
      <c r="AB13" s="142"/>
      <c r="AC13" s="142"/>
      <c r="AD13" s="142"/>
      <c r="AE13" s="142"/>
      <c r="AF13" s="142"/>
      <c r="AG13" s="142"/>
      <c r="AH13" s="142"/>
    </row>
    <row r="14" spans="2:34">
      <c r="B14" s="38">
        <f t="shared" ca="1" si="0"/>
        <v>3</v>
      </c>
      <c r="C14" s="39">
        <f t="shared" ref="C14:D29" ca="1" si="4">CEILING((RAND()*16),1)</f>
        <v>10</v>
      </c>
      <c r="D14" s="39">
        <f t="shared" ca="1" si="4"/>
        <v>5</v>
      </c>
      <c r="E14" s="39">
        <f t="shared" ca="1" si="2"/>
        <v>14</v>
      </c>
      <c r="F14" s="39">
        <f t="shared" ca="1" si="2"/>
        <v>5</v>
      </c>
      <c r="G14" s="39">
        <f t="shared" ca="1" si="2"/>
        <v>11</v>
      </c>
      <c r="H14" s="39">
        <f t="shared" ca="1" si="2"/>
        <v>7</v>
      </c>
      <c r="I14" s="39">
        <f t="shared" ca="1" si="2"/>
        <v>13</v>
      </c>
      <c r="J14" s="39">
        <f t="shared" ca="1" si="2"/>
        <v>6</v>
      </c>
      <c r="K14" s="39">
        <f t="shared" ca="1" si="2"/>
        <v>12</v>
      </c>
      <c r="L14" s="39">
        <f t="shared" ca="1" si="2"/>
        <v>13</v>
      </c>
      <c r="M14" s="39">
        <f t="shared" ca="1" si="2"/>
        <v>5</v>
      </c>
      <c r="N14" s="39">
        <f t="shared" ca="1" si="2"/>
        <v>5</v>
      </c>
      <c r="O14" s="39">
        <f t="shared" ca="1" si="2"/>
        <v>5</v>
      </c>
      <c r="P14" s="39">
        <f t="shared" ca="1" si="2"/>
        <v>10</v>
      </c>
      <c r="Q14" s="39">
        <f t="shared" ca="1" si="2"/>
        <v>10</v>
      </c>
      <c r="R14" s="39">
        <f t="shared" ca="1" si="2"/>
        <v>12</v>
      </c>
      <c r="S14" s="39">
        <f t="shared" ca="1" si="2"/>
        <v>13</v>
      </c>
      <c r="T14" s="39">
        <f t="shared" ca="1" si="2"/>
        <v>12</v>
      </c>
      <c r="U14" s="39">
        <f t="shared" ca="1" si="3"/>
        <v>9</v>
      </c>
      <c r="V14" s="39">
        <f t="shared" ca="1" si="3"/>
        <v>2</v>
      </c>
      <c r="W14" s="39">
        <f t="shared" ca="1" si="3"/>
        <v>2</v>
      </c>
      <c r="X14" s="39">
        <f t="shared" ca="1" si="3"/>
        <v>14</v>
      </c>
      <c r="Y14" s="40">
        <f t="shared" ca="1" si="3"/>
        <v>9</v>
      </c>
      <c r="AA14" s="142"/>
      <c r="AB14" s="142"/>
      <c r="AC14" s="142"/>
      <c r="AD14" s="142"/>
      <c r="AE14" s="142"/>
      <c r="AF14" s="142"/>
      <c r="AG14" s="142"/>
      <c r="AH14" s="142"/>
    </row>
    <row r="15" spans="2:34">
      <c r="B15" s="38">
        <f t="shared" ca="1" si="0"/>
        <v>2</v>
      </c>
      <c r="C15" s="39">
        <f t="shared" ca="1" si="4"/>
        <v>14</v>
      </c>
      <c r="D15" s="39">
        <f t="shared" ca="1" si="4"/>
        <v>1</v>
      </c>
      <c r="E15" s="39">
        <f t="shared" ca="1" si="2"/>
        <v>6</v>
      </c>
      <c r="F15" s="39">
        <f t="shared" ca="1" si="2"/>
        <v>1</v>
      </c>
      <c r="G15" s="39">
        <f t="shared" ca="1" si="2"/>
        <v>11</v>
      </c>
      <c r="H15" s="39">
        <f t="shared" ca="1" si="2"/>
        <v>14</v>
      </c>
      <c r="I15" s="39">
        <f t="shared" ca="1" si="2"/>
        <v>4</v>
      </c>
      <c r="J15" s="39">
        <f t="shared" ca="1" si="2"/>
        <v>2</v>
      </c>
      <c r="K15" s="39">
        <f t="shared" ca="1" si="2"/>
        <v>16</v>
      </c>
      <c r="L15" s="39">
        <f t="shared" ca="1" si="2"/>
        <v>10</v>
      </c>
      <c r="M15" s="39">
        <f t="shared" ca="1" si="2"/>
        <v>8</v>
      </c>
      <c r="N15" s="39">
        <f t="shared" ca="1" si="2"/>
        <v>9</v>
      </c>
      <c r="O15" s="39">
        <f t="shared" ca="1" si="2"/>
        <v>15</v>
      </c>
      <c r="P15" s="39">
        <f t="shared" ca="1" si="2"/>
        <v>1</v>
      </c>
      <c r="Q15" s="39">
        <f t="shared" ca="1" si="2"/>
        <v>8</v>
      </c>
      <c r="R15" s="39">
        <f t="shared" ca="1" si="2"/>
        <v>7</v>
      </c>
      <c r="S15" s="39">
        <f t="shared" ca="1" si="2"/>
        <v>8</v>
      </c>
      <c r="T15" s="39">
        <f t="shared" ca="1" si="2"/>
        <v>6</v>
      </c>
      <c r="U15" s="39">
        <f t="shared" ca="1" si="3"/>
        <v>3</v>
      </c>
      <c r="V15" s="39">
        <f t="shared" ca="1" si="3"/>
        <v>4</v>
      </c>
      <c r="W15" s="39">
        <f t="shared" ca="1" si="3"/>
        <v>8</v>
      </c>
      <c r="X15" s="39">
        <f t="shared" ca="1" si="3"/>
        <v>7</v>
      </c>
      <c r="Y15" s="40">
        <f t="shared" ca="1" si="3"/>
        <v>10</v>
      </c>
    </row>
    <row r="16" spans="2:34">
      <c r="B16" s="38">
        <f t="shared" ca="1" si="0"/>
        <v>6</v>
      </c>
      <c r="C16" s="39">
        <f t="shared" ca="1" si="4"/>
        <v>7</v>
      </c>
      <c r="D16" s="39">
        <f t="shared" ca="1" si="4"/>
        <v>6</v>
      </c>
      <c r="E16" s="39">
        <f t="shared" ca="1" si="2"/>
        <v>3</v>
      </c>
      <c r="F16" s="39">
        <f t="shared" ca="1" si="2"/>
        <v>11</v>
      </c>
      <c r="G16" s="39">
        <f t="shared" ca="1" si="2"/>
        <v>9</v>
      </c>
      <c r="H16" s="39">
        <f t="shared" ca="1" si="2"/>
        <v>15</v>
      </c>
      <c r="I16" s="39">
        <f t="shared" ca="1" si="2"/>
        <v>8</v>
      </c>
      <c r="J16" s="39">
        <f t="shared" ca="1" si="2"/>
        <v>10</v>
      </c>
      <c r="K16" s="39">
        <f t="shared" ca="1" si="2"/>
        <v>2</v>
      </c>
      <c r="L16" s="39">
        <f t="shared" ca="1" si="2"/>
        <v>15</v>
      </c>
      <c r="M16" s="39">
        <f t="shared" ca="1" si="2"/>
        <v>2</v>
      </c>
      <c r="N16" s="39">
        <f t="shared" ca="1" si="2"/>
        <v>5</v>
      </c>
      <c r="O16" s="39">
        <f t="shared" ca="1" si="2"/>
        <v>4</v>
      </c>
      <c r="P16" s="39">
        <f t="shared" ca="1" si="2"/>
        <v>4</v>
      </c>
      <c r="Q16" s="39">
        <f t="shared" ca="1" si="2"/>
        <v>9</v>
      </c>
      <c r="R16" s="39">
        <f t="shared" ca="1" si="2"/>
        <v>7</v>
      </c>
      <c r="S16" s="39">
        <f t="shared" ca="1" si="2"/>
        <v>6</v>
      </c>
      <c r="T16" s="39">
        <f t="shared" ca="1" si="2"/>
        <v>12</v>
      </c>
      <c r="U16" s="39">
        <f t="shared" ca="1" si="3"/>
        <v>8</v>
      </c>
      <c r="V16" s="39">
        <f t="shared" ca="1" si="3"/>
        <v>12</v>
      </c>
      <c r="W16" s="39">
        <f t="shared" ca="1" si="3"/>
        <v>2</v>
      </c>
      <c r="X16" s="39">
        <f t="shared" ca="1" si="3"/>
        <v>7</v>
      </c>
      <c r="Y16" s="40">
        <f t="shared" ca="1" si="3"/>
        <v>12</v>
      </c>
    </row>
    <row r="17" spans="2:25">
      <c r="B17" s="38">
        <f t="shared" ca="1" si="0"/>
        <v>10</v>
      </c>
      <c r="C17" s="39">
        <f t="shared" ca="1" si="4"/>
        <v>10</v>
      </c>
      <c r="D17" s="39">
        <f t="shared" ca="1" si="4"/>
        <v>16</v>
      </c>
      <c r="E17" s="39">
        <f t="shared" ca="1" si="2"/>
        <v>6</v>
      </c>
      <c r="F17" s="39">
        <f t="shared" ca="1" si="2"/>
        <v>13</v>
      </c>
      <c r="G17" s="39">
        <f t="shared" ca="1" si="2"/>
        <v>5</v>
      </c>
      <c r="H17" s="39">
        <f t="shared" ca="1" si="2"/>
        <v>14</v>
      </c>
      <c r="I17" s="39">
        <f t="shared" ca="1" si="2"/>
        <v>14</v>
      </c>
      <c r="J17" s="39">
        <f t="shared" ca="1" si="2"/>
        <v>13</v>
      </c>
      <c r="K17" s="39">
        <f t="shared" ca="1" si="2"/>
        <v>5</v>
      </c>
      <c r="L17" s="39">
        <f t="shared" ca="1" si="2"/>
        <v>15</v>
      </c>
      <c r="M17" s="39">
        <f t="shared" ca="1" si="2"/>
        <v>9</v>
      </c>
      <c r="N17" s="39">
        <f t="shared" ca="1" si="2"/>
        <v>10</v>
      </c>
      <c r="O17" s="39">
        <f t="shared" ca="1" si="2"/>
        <v>1</v>
      </c>
      <c r="P17" s="39">
        <f t="shared" ca="1" si="2"/>
        <v>16</v>
      </c>
      <c r="Q17" s="39">
        <f t="shared" ca="1" si="2"/>
        <v>3</v>
      </c>
      <c r="R17" s="39">
        <f t="shared" ca="1" si="2"/>
        <v>12</v>
      </c>
      <c r="S17" s="39">
        <f t="shared" ca="1" si="2"/>
        <v>11</v>
      </c>
      <c r="T17" s="39">
        <f t="shared" ca="1" si="2"/>
        <v>12</v>
      </c>
      <c r="U17" s="39">
        <f t="shared" ca="1" si="3"/>
        <v>16</v>
      </c>
      <c r="V17" s="39">
        <f t="shared" ca="1" si="3"/>
        <v>2</v>
      </c>
      <c r="W17" s="39">
        <f t="shared" ca="1" si="3"/>
        <v>2</v>
      </c>
      <c r="X17" s="39">
        <f t="shared" ca="1" si="3"/>
        <v>11</v>
      </c>
      <c r="Y17" s="40">
        <f t="shared" ca="1" si="3"/>
        <v>7</v>
      </c>
    </row>
    <row r="18" spans="2:25">
      <c r="B18" s="38">
        <f t="shared" ca="1" si="0"/>
        <v>3</v>
      </c>
      <c r="C18" s="39">
        <f t="shared" ca="1" si="4"/>
        <v>2</v>
      </c>
      <c r="D18" s="39">
        <f t="shared" ca="1" si="4"/>
        <v>8</v>
      </c>
      <c r="E18" s="39">
        <f t="shared" ca="1" si="2"/>
        <v>9</v>
      </c>
      <c r="F18" s="39">
        <f t="shared" ca="1" si="2"/>
        <v>10</v>
      </c>
      <c r="G18" s="39">
        <f t="shared" ca="1" si="2"/>
        <v>10</v>
      </c>
      <c r="H18" s="39">
        <f t="shared" ca="1" si="2"/>
        <v>13</v>
      </c>
      <c r="I18" s="39">
        <f t="shared" ca="1" si="2"/>
        <v>12</v>
      </c>
      <c r="J18" s="39">
        <f t="shared" ca="1" si="2"/>
        <v>9</v>
      </c>
      <c r="K18" s="39">
        <f t="shared" ca="1" si="2"/>
        <v>8</v>
      </c>
      <c r="L18" s="39">
        <f t="shared" ca="1" si="2"/>
        <v>5</v>
      </c>
      <c r="M18" s="39">
        <f t="shared" ca="1" si="2"/>
        <v>1</v>
      </c>
      <c r="N18" s="39">
        <f t="shared" ca="1" si="2"/>
        <v>2</v>
      </c>
      <c r="O18" s="39">
        <f t="shared" ca="1" si="2"/>
        <v>15</v>
      </c>
      <c r="P18" s="39">
        <f t="shared" ca="1" si="2"/>
        <v>12</v>
      </c>
      <c r="Q18" s="39">
        <f t="shared" ca="1" si="2"/>
        <v>3</v>
      </c>
      <c r="R18" s="39">
        <f t="shared" ca="1" si="2"/>
        <v>6</v>
      </c>
      <c r="S18" s="39">
        <f t="shared" ca="1" si="2"/>
        <v>7</v>
      </c>
      <c r="T18" s="39">
        <f t="shared" ca="1" si="2"/>
        <v>13</v>
      </c>
      <c r="U18" s="39">
        <f t="shared" ca="1" si="3"/>
        <v>13</v>
      </c>
      <c r="V18" s="39">
        <f t="shared" ca="1" si="3"/>
        <v>2</v>
      </c>
      <c r="W18" s="39">
        <f t="shared" ca="1" si="3"/>
        <v>3</v>
      </c>
      <c r="X18" s="39">
        <f t="shared" ca="1" si="3"/>
        <v>4</v>
      </c>
      <c r="Y18" s="40">
        <f t="shared" ca="1" si="3"/>
        <v>15</v>
      </c>
    </row>
    <row r="19" spans="2:25">
      <c r="B19" s="38">
        <f t="shared" ca="1" si="0"/>
        <v>6</v>
      </c>
      <c r="C19" s="39">
        <f t="shared" ca="1" si="4"/>
        <v>9</v>
      </c>
      <c r="D19" s="39">
        <f t="shared" ca="1" si="4"/>
        <v>4</v>
      </c>
      <c r="E19" s="39">
        <f t="shared" ca="1" si="2"/>
        <v>13</v>
      </c>
      <c r="F19" s="39">
        <f t="shared" ca="1" si="2"/>
        <v>6</v>
      </c>
      <c r="G19" s="39">
        <f t="shared" ca="1" si="2"/>
        <v>10</v>
      </c>
      <c r="H19" s="39">
        <f t="shared" ca="1" si="2"/>
        <v>4</v>
      </c>
      <c r="I19" s="39">
        <f t="shared" ca="1" si="2"/>
        <v>8</v>
      </c>
      <c r="J19" s="39">
        <f t="shared" ca="1" si="2"/>
        <v>1</v>
      </c>
      <c r="K19" s="39">
        <f t="shared" ca="1" si="2"/>
        <v>13</v>
      </c>
      <c r="L19" s="39">
        <f t="shared" ca="1" si="2"/>
        <v>11</v>
      </c>
      <c r="M19" s="39">
        <f t="shared" ca="1" si="2"/>
        <v>7</v>
      </c>
      <c r="N19" s="39">
        <f t="shared" ca="1" si="2"/>
        <v>8</v>
      </c>
      <c r="O19" s="39">
        <f t="shared" ca="1" si="2"/>
        <v>8</v>
      </c>
      <c r="P19" s="39">
        <f t="shared" ca="1" si="2"/>
        <v>13</v>
      </c>
      <c r="Q19" s="39">
        <f t="shared" ca="1" si="2"/>
        <v>2</v>
      </c>
      <c r="R19" s="39">
        <f t="shared" ca="1" si="2"/>
        <v>14</v>
      </c>
      <c r="S19" s="39">
        <f t="shared" ca="1" si="2"/>
        <v>8</v>
      </c>
      <c r="T19" s="39">
        <f t="shared" ca="1" si="2"/>
        <v>14</v>
      </c>
      <c r="U19" s="39">
        <f t="shared" ca="1" si="3"/>
        <v>13</v>
      </c>
      <c r="V19" s="39">
        <f t="shared" ca="1" si="3"/>
        <v>16</v>
      </c>
      <c r="W19" s="39">
        <f t="shared" ca="1" si="3"/>
        <v>5</v>
      </c>
      <c r="X19" s="39">
        <f t="shared" ca="1" si="3"/>
        <v>2</v>
      </c>
      <c r="Y19" s="40">
        <f t="shared" ca="1" si="3"/>
        <v>13</v>
      </c>
    </row>
    <row r="20" spans="2:25">
      <c r="B20" s="38">
        <f t="shared" ca="1" si="0"/>
        <v>13</v>
      </c>
      <c r="C20" s="39">
        <f t="shared" ca="1" si="4"/>
        <v>6</v>
      </c>
      <c r="D20" s="39">
        <f t="shared" ca="1" si="4"/>
        <v>11</v>
      </c>
      <c r="E20" s="39">
        <f t="shared" ca="1" si="2"/>
        <v>12</v>
      </c>
      <c r="F20" s="39">
        <f t="shared" ca="1" si="2"/>
        <v>14</v>
      </c>
      <c r="G20" s="39">
        <f t="shared" ca="1" si="2"/>
        <v>9</v>
      </c>
      <c r="H20" s="39">
        <f t="shared" ca="1" si="2"/>
        <v>14</v>
      </c>
      <c r="I20" s="39">
        <f t="shared" ca="1" si="2"/>
        <v>14</v>
      </c>
      <c r="J20" s="39">
        <f t="shared" ca="1" si="2"/>
        <v>12</v>
      </c>
      <c r="K20" s="39">
        <f t="shared" ca="1" si="2"/>
        <v>11</v>
      </c>
      <c r="L20" s="39">
        <f t="shared" ca="1" si="2"/>
        <v>9</v>
      </c>
      <c r="M20" s="39">
        <f t="shared" ca="1" si="2"/>
        <v>16</v>
      </c>
      <c r="N20" s="39">
        <f t="shared" ca="1" si="2"/>
        <v>1</v>
      </c>
      <c r="O20" s="39">
        <f t="shared" ca="1" si="2"/>
        <v>8</v>
      </c>
      <c r="P20" s="39">
        <f t="shared" ca="1" si="2"/>
        <v>1</v>
      </c>
      <c r="Q20" s="39">
        <f t="shared" ca="1" si="2"/>
        <v>12</v>
      </c>
      <c r="R20" s="39">
        <f t="shared" ca="1" si="2"/>
        <v>8</v>
      </c>
      <c r="S20" s="39">
        <f t="shared" ca="1" si="2"/>
        <v>4</v>
      </c>
      <c r="T20" s="39">
        <f t="shared" ca="1" si="2"/>
        <v>1</v>
      </c>
      <c r="U20" s="39">
        <f t="shared" ca="1" si="3"/>
        <v>9</v>
      </c>
      <c r="V20" s="39">
        <f t="shared" ca="1" si="3"/>
        <v>15</v>
      </c>
      <c r="W20" s="39">
        <f t="shared" ca="1" si="3"/>
        <v>4</v>
      </c>
      <c r="X20" s="39">
        <f t="shared" ca="1" si="3"/>
        <v>9</v>
      </c>
      <c r="Y20" s="40">
        <f t="shared" ca="1" si="3"/>
        <v>2</v>
      </c>
    </row>
    <row r="21" spans="2:25">
      <c r="B21" s="38">
        <f t="shared" ca="1" si="0"/>
        <v>16</v>
      </c>
      <c r="C21" s="39">
        <f t="shared" ca="1" si="4"/>
        <v>10</v>
      </c>
      <c r="D21" s="39">
        <f t="shared" ca="1" si="4"/>
        <v>14</v>
      </c>
      <c r="E21" s="39">
        <f t="shared" ca="1" si="2"/>
        <v>3</v>
      </c>
      <c r="F21" s="39">
        <f t="shared" ca="1" si="2"/>
        <v>6</v>
      </c>
      <c r="G21" s="39">
        <f t="shared" ca="1" si="2"/>
        <v>4</v>
      </c>
      <c r="H21" s="39">
        <f t="shared" ca="1" si="2"/>
        <v>8</v>
      </c>
      <c r="I21" s="39">
        <f t="shared" ca="1" si="2"/>
        <v>5</v>
      </c>
      <c r="J21" s="39">
        <f t="shared" ca="1" si="2"/>
        <v>6</v>
      </c>
      <c r="K21" s="39">
        <f t="shared" ca="1" si="2"/>
        <v>8</v>
      </c>
      <c r="L21" s="39">
        <f t="shared" ca="1" si="2"/>
        <v>13</v>
      </c>
      <c r="M21" s="39">
        <f t="shared" ca="1" si="2"/>
        <v>7</v>
      </c>
      <c r="N21" s="39">
        <f t="shared" ca="1" si="2"/>
        <v>2</v>
      </c>
      <c r="O21" s="39">
        <f t="shared" ca="1" si="2"/>
        <v>8</v>
      </c>
      <c r="P21" s="39">
        <f t="shared" ca="1" si="2"/>
        <v>10</v>
      </c>
      <c r="Q21" s="39">
        <f t="shared" ca="1" si="2"/>
        <v>15</v>
      </c>
      <c r="R21" s="39">
        <f t="shared" ca="1" si="2"/>
        <v>6</v>
      </c>
      <c r="S21" s="39">
        <f t="shared" ca="1" si="2"/>
        <v>11</v>
      </c>
      <c r="T21" s="39">
        <f t="shared" ca="1" si="2"/>
        <v>6</v>
      </c>
      <c r="U21" s="39">
        <f t="shared" ca="1" si="3"/>
        <v>4</v>
      </c>
      <c r="V21" s="39">
        <f t="shared" ca="1" si="3"/>
        <v>5</v>
      </c>
      <c r="W21" s="39">
        <f t="shared" ca="1" si="3"/>
        <v>14</v>
      </c>
      <c r="X21" s="39">
        <f t="shared" ca="1" si="3"/>
        <v>13</v>
      </c>
      <c r="Y21" s="40">
        <f t="shared" ca="1" si="3"/>
        <v>3</v>
      </c>
    </row>
    <row r="22" spans="2:25">
      <c r="B22" s="38">
        <f t="shared" ca="1" si="0"/>
        <v>6</v>
      </c>
      <c r="C22" s="39">
        <f t="shared" ca="1" si="4"/>
        <v>1</v>
      </c>
      <c r="D22" s="39">
        <f t="shared" ca="1" si="4"/>
        <v>1</v>
      </c>
      <c r="E22" s="39">
        <f t="shared" ca="1" si="2"/>
        <v>3</v>
      </c>
      <c r="F22" s="39">
        <f t="shared" ca="1" si="2"/>
        <v>6</v>
      </c>
      <c r="G22" s="39">
        <f t="shared" ca="1" si="2"/>
        <v>10</v>
      </c>
      <c r="H22" s="39">
        <f t="shared" ca="1" si="2"/>
        <v>1</v>
      </c>
      <c r="I22" s="39">
        <f t="shared" ca="1" si="2"/>
        <v>9</v>
      </c>
      <c r="J22" s="39">
        <f t="shared" ca="1" si="2"/>
        <v>5</v>
      </c>
      <c r="K22" s="39">
        <f t="shared" ca="1" si="2"/>
        <v>6</v>
      </c>
      <c r="L22" s="39">
        <f t="shared" ca="1" si="2"/>
        <v>3</v>
      </c>
      <c r="M22" s="39">
        <f t="shared" ca="1" si="2"/>
        <v>13</v>
      </c>
      <c r="N22" s="39">
        <f t="shared" ca="1" si="2"/>
        <v>8</v>
      </c>
      <c r="O22" s="39">
        <f t="shared" ca="1" si="2"/>
        <v>13</v>
      </c>
      <c r="P22" s="39">
        <f t="shared" ca="1" si="2"/>
        <v>10</v>
      </c>
      <c r="Q22" s="39">
        <f t="shared" ca="1" si="2"/>
        <v>3</v>
      </c>
      <c r="R22" s="39">
        <f t="shared" ca="1" si="2"/>
        <v>5</v>
      </c>
      <c r="S22" s="39">
        <f t="shared" ca="1" si="2"/>
        <v>16</v>
      </c>
      <c r="T22" s="39">
        <f t="shared" ca="1" si="2"/>
        <v>3</v>
      </c>
      <c r="U22" s="39">
        <f t="shared" ca="1" si="3"/>
        <v>13</v>
      </c>
      <c r="V22" s="39">
        <f t="shared" ca="1" si="3"/>
        <v>6</v>
      </c>
      <c r="W22" s="39">
        <f t="shared" ca="1" si="3"/>
        <v>1</v>
      </c>
      <c r="X22" s="39">
        <f t="shared" ca="1" si="3"/>
        <v>13</v>
      </c>
      <c r="Y22" s="40">
        <f t="shared" ca="1" si="3"/>
        <v>10</v>
      </c>
    </row>
    <row r="23" spans="2:25">
      <c r="B23" s="38">
        <f t="shared" ca="1" si="0"/>
        <v>15</v>
      </c>
      <c r="C23" s="39">
        <f t="shared" ca="1" si="4"/>
        <v>13</v>
      </c>
      <c r="D23" s="39">
        <f t="shared" ca="1" si="4"/>
        <v>15</v>
      </c>
      <c r="E23" s="39">
        <f t="shared" ref="E23:T29" ca="1" si="5">CEILING((RAND()*16),1)</f>
        <v>10</v>
      </c>
      <c r="F23" s="39">
        <f t="shared" ca="1" si="5"/>
        <v>8</v>
      </c>
      <c r="G23" s="39">
        <f t="shared" ca="1" si="5"/>
        <v>16</v>
      </c>
      <c r="H23" s="39">
        <f t="shared" ca="1" si="5"/>
        <v>12</v>
      </c>
      <c r="I23" s="39">
        <f t="shared" ca="1" si="5"/>
        <v>13</v>
      </c>
      <c r="J23" s="39">
        <f t="shared" ca="1" si="5"/>
        <v>2</v>
      </c>
      <c r="K23" s="39">
        <f t="shared" ca="1" si="5"/>
        <v>9</v>
      </c>
      <c r="L23" s="39">
        <f t="shared" ca="1" si="5"/>
        <v>14</v>
      </c>
      <c r="M23" s="39">
        <f t="shared" ca="1" si="5"/>
        <v>7</v>
      </c>
      <c r="N23" s="39">
        <f t="shared" ca="1" si="5"/>
        <v>12</v>
      </c>
      <c r="O23" s="39">
        <f t="shared" ca="1" si="5"/>
        <v>4</v>
      </c>
      <c r="P23" s="39">
        <f t="shared" ca="1" si="5"/>
        <v>14</v>
      </c>
      <c r="Q23" s="39">
        <f t="shared" ca="1" si="5"/>
        <v>12</v>
      </c>
      <c r="R23" s="39">
        <f t="shared" ca="1" si="5"/>
        <v>11</v>
      </c>
      <c r="S23" s="39">
        <f t="shared" ca="1" si="5"/>
        <v>14</v>
      </c>
      <c r="T23" s="39">
        <f t="shared" ca="1" si="5"/>
        <v>3</v>
      </c>
      <c r="U23" s="39">
        <f t="shared" ca="1" si="3"/>
        <v>13</v>
      </c>
      <c r="V23" s="39">
        <f t="shared" ca="1" si="3"/>
        <v>13</v>
      </c>
      <c r="W23" s="39">
        <f t="shared" ca="1" si="3"/>
        <v>14</v>
      </c>
      <c r="X23" s="39">
        <f t="shared" ca="1" si="3"/>
        <v>7</v>
      </c>
      <c r="Y23" s="40">
        <f t="shared" ca="1" si="3"/>
        <v>7</v>
      </c>
    </row>
    <row r="24" spans="2:25">
      <c r="B24" s="38">
        <f t="shared" ca="1" si="0"/>
        <v>7</v>
      </c>
      <c r="C24" s="39">
        <f t="shared" ca="1" si="4"/>
        <v>1</v>
      </c>
      <c r="D24" s="39">
        <f t="shared" ca="1" si="4"/>
        <v>4</v>
      </c>
      <c r="E24" s="39">
        <f t="shared" ca="1" si="5"/>
        <v>5</v>
      </c>
      <c r="F24" s="39">
        <f t="shared" ca="1" si="5"/>
        <v>16</v>
      </c>
      <c r="G24" s="39">
        <f t="shared" ca="1" si="5"/>
        <v>7</v>
      </c>
      <c r="H24" s="39">
        <f t="shared" ca="1" si="5"/>
        <v>8</v>
      </c>
      <c r="I24" s="39">
        <f t="shared" ca="1" si="5"/>
        <v>16</v>
      </c>
      <c r="J24" s="39">
        <f t="shared" ca="1" si="5"/>
        <v>16</v>
      </c>
      <c r="K24" s="39">
        <f t="shared" ca="1" si="5"/>
        <v>5</v>
      </c>
      <c r="L24" s="39">
        <f t="shared" ca="1" si="5"/>
        <v>4</v>
      </c>
      <c r="M24" s="39">
        <f t="shared" ca="1" si="5"/>
        <v>7</v>
      </c>
      <c r="N24" s="39">
        <f t="shared" ca="1" si="5"/>
        <v>1</v>
      </c>
      <c r="O24" s="39">
        <f t="shared" ca="1" si="5"/>
        <v>4</v>
      </c>
      <c r="P24" s="39">
        <f t="shared" ca="1" si="5"/>
        <v>12</v>
      </c>
      <c r="Q24" s="39">
        <f t="shared" ca="1" si="5"/>
        <v>15</v>
      </c>
      <c r="R24" s="39">
        <f t="shared" ca="1" si="5"/>
        <v>1</v>
      </c>
      <c r="S24" s="39">
        <f t="shared" ca="1" si="5"/>
        <v>12</v>
      </c>
      <c r="T24" s="39">
        <f t="shared" ca="1" si="5"/>
        <v>1</v>
      </c>
      <c r="U24" s="39">
        <f t="shared" ca="1" si="3"/>
        <v>14</v>
      </c>
      <c r="V24" s="39">
        <f t="shared" ca="1" si="3"/>
        <v>10</v>
      </c>
      <c r="W24" s="39">
        <f t="shared" ca="1" si="3"/>
        <v>4</v>
      </c>
      <c r="X24" s="39">
        <f t="shared" ca="1" si="3"/>
        <v>15</v>
      </c>
      <c r="Y24" s="40">
        <f t="shared" ca="1" si="3"/>
        <v>14</v>
      </c>
    </row>
    <row r="25" spans="2:25">
      <c r="B25" s="38">
        <f t="shared" ca="1" si="0"/>
        <v>2</v>
      </c>
      <c r="C25" s="39">
        <f t="shared" ca="1" si="4"/>
        <v>6</v>
      </c>
      <c r="D25" s="39">
        <f t="shared" ca="1" si="4"/>
        <v>2</v>
      </c>
      <c r="E25" s="39">
        <f t="shared" ca="1" si="5"/>
        <v>2</v>
      </c>
      <c r="F25" s="39">
        <f t="shared" ca="1" si="5"/>
        <v>5</v>
      </c>
      <c r="G25" s="39">
        <f t="shared" ca="1" si="5"/>
        <v>16</v>
      </c>
      <c r="H25" s="39">
        <f t="shared" ca="1" si="5"/>
        <v>2</v>
      </c>
      <c r="I25" s="39">
        <f t="shared" ca="1" si="5"/>
        <v>9</v>
      </c>
      <c r="J25" s="39">
        <f t="shared" ca="1" si="5"/>
        <v>9</v>
      </c>
      <c r="K25" s="39">
        <f t="shared" ca="1" si="5"/>
        <v>9</v>
      </c>
      <c r="L25" s="39">
        <f t="shared" ca="1" si="5"/>
        <v>10</v>
      </c>
      <c r="M25" s="39">
        <f t="shared" ca="1" si="5"/>
        <v>8</v>
      </c>
      <c r="N25" s="39">
        <f t="shared" ca="1" si="5"/>
        <v>9</v>
      </c>
      <c r="O25" s="39">
        <f t="shared" ca="1" si="5"/>
        <v>11</v>
      </c>
      <c r="P25" s="39">
        <f t="shared" ca="1" si="5"/>
        <v>7</v>
      </c>
      <c r="Q25" s="39">
        <f t="shared" ca="1" si="5"/>
        <v>10</v>
      </c>
      <c r="R25" s="39">
        <f t="shared" ca="1" si="5"/>
        <v>5</v>
      </c>
      <c r="S25" s="39">
        <f t="shared" ca="1" si="5"/>
        <v>11</v>
      </c>
      <c r="T25" s="39">
        <f t="shared" ca="1" si="5"/>
        <v>10</v>
      </c>
      <c r="U25" s="39">
        <f t="shared" ca="1" si="3"/>
        <v>15</v>
      </c>
      <c r="V25" s="39">
        <f t="shared" ca="1" si="3"/>
        <v>9</v>
      </c>
      <c r="W25" s="39">
        <f t="shared" ca="1" si="3"/>
        <v>16</v>
      </c>
      <c r="X25" s="39">
        <f t="shared" ca="1" si="3"/>
        <v>6</v>
      </c>
      <c r="Y25" s="40">
        <f t="shared" ca="1" si="3"/>
        <v>3</v>
      </c>
    </row>
    <row r="26" spans="2:25">
      <c r="B26" s="38">
        <f t="shared" ca="1" si="0"/>
        <v>6</v>
      </c>
      <c r="C26" s="39">
        <f t="shared" ca="1" si="4"/>
        <v>2</v>
      </c>
      <c r="D26" s="39">
        <f t="shared" ca="1" si="4"/>
        <v>16</v>
      </c>
      <c r="E26" s="39">
        <f t="shared" ca="1" si="5"/>
        <v>14</v>
      </c>
      <c r="F26" s="39">
        <f t="shared" ca="1" si="5"/>
        <v>12</v>
      </c>
      <c r="G26" s="39">
        <f t="shared" ca="1" si="5"/>
        <v>10</v>
      </c>
      <c r="H26" s="39">
        <f t="shared" ca="1" si="5"/>
        <v>14</v>
      </c>
      <c r="I26" s="39">
        <f t="shared" ca="1" si="5"/>
        <v>8</v>
      </c>
      <c r="J26" s="39">
        <f t="shared" ca="1" si="5"/>
        <v>15</v>
      </c>
      <c r="K26" s="39">
        <f t="shared" ca="1" si="5"/>
        <v>11</v>
      </c>
      <c r="L26" s="39">
        <f t="shared" ca="1" si="5"/>
        <v>11</v>
      </c>
      <c r="M26" s="39">
        <f t="shared" ca="1" si="5"/>
        <v>6</v>
      </c>
      <c r="N26" s="39">
        <f t="shared" ca="1" si="5"/>
        <v>4</v>
      </c>
      <c r="O26" s="39">
        <f t="shared" ca="1" si="5"/>
        <v>9</v>
      </c>
      <c r="P26" s="39">
        <f t="shared" ca="1" si="5"/>
        <v>14</v>
      </c>
      <c r="Q26" s="39">
        <f t="shared" ca="1" si="5"/>
        <v>1</v>
      </c>
      <c r="R26" s="39">
        <f t="shared" ca="1" si="5"/>
        <v>5</v>
      </c>
      <c r="S26" s="39">
        <f t="shared" ca="1" si="5"/>
        <v>5</v>
      </c>
      <c r="T26" s="39">
        <f t="shared" ca="1" si="5"/>
        <v>16</v>
      </c>
      <c r="U26" s="39">
        <f t="shared" ca="1" si="3"/>
        <v>10</v>
      </c>
      <c r="V26" s="39">
        <f t="shared" ca="1" si="3"/>
        <v>13</v>
      </c>
      <c r="W26" s="39">
        <f t="shared" ca="1" si="3"/>
        <v>16</v>
      </c>
      <c r="X26" s="39">
        <f t="shared" ca="1" si="3"/>
        <v>11</v>
      </c>
      <c r="Y26" s="40">
        <f t="shared" ca="1" si="3"/>
        <v>3</v>
      </c>
    </row>
    <row r="27" spans="2:25">
      <c r="B27" s="38">
        <f t="shared" ca="1" si="0"/>
        <v>11</v>
      </c>
      <c r="C27" s="39">
        <f t="shared" ca="1" si="4"/>
        <v>4</v>
      </c>
      <c r="D27" s="39">
        <f t="shared" ca="1" si="4"/>
        <v>5</v>
      </c>
      <c r="E27" s="39">
        <f t="shared" ca="1" si="5"/>
        <v>3</v>
      </c>
      <c r="F27" s="39">
        <f t="shared" ca="1" si="5"/>
        <v>1</v>
      </c>
      <c r="G27" s="39">
        <f t="shared" ca="1" si="5"/>
        <v>1</v>
      </c>
      <c r="H27" s="39">
        <f t="shared" ca="1" si="5"/>
        <v>4</v>
      </c>
      <c r="I27" s="39">
        <f t="shared" ca="1" si="5"/>
        <v>2</v>
      </c>
      <c r="J27" s="39">
        <f t="shared" ca="1" si="5"/>
        <v>9</v>
      </c>
      <c r="K27" s="39">
        <f t="shared" ca="1" si="5"/>
        <v>15</v>
      </c>
      <c r="L27" s="39">
        <f t="shared" ca="1" si="5"/>
        <v>5</v>
      </c>
      <c r="M27" s="39">
        <f t="shared" ca="1" si="5"/>
        <v>15</v>
      </c>
      <c r="N27" s="39">
        <f t="shared" ca="1" si="5"/>
        <v>2</v>
      </c>
      <c r="O27" s="39">
        <f t="shared" ca="1" si="5"/>
        <v>5</v>
      </c>
      <c r="P27" s="39">
        <f t="shared" ca="1" si="5"/>
        <v>11</v>
      </c>
      <c r="Q27" s="39">
        <f t="shared" ca="1" si="5"/>
        <v>13</v>
      </c>
      <c r="R27" s="39">
        <f t="shared" ca="1" si="5"/>
        <v>12</v>
      </c>
      <c r="S27" s="39">
        <f t="shared" ca="1" si="5"/>
        <v>1</v>
      </c>
      <c r="T27" s="39">
        <f t="shared" ca="1" si="5"/>
        <v>5</v>
      </c>
      <c r="U27" s="39">
        <f t="shared" ca="1" si="3"/>
        <v>13</v>
      </c>
      <c r="V27" s="39">
        <f t="shared" ca="1" si="3"/>
        <v>16</v>
      </c>
      <c r="W27" s="39">
        <f t="shared" ca="1" si="3"/>
        <v>8</v>
      </c>
      <c r="X27" s="39">
        <f t="shared" ca="1" si="3"/>
        <v>1</v>
      </c>
      <c r="Y27" s="40">
        <f t="shared" ca="1" si="3"/>
        <v>2</v>
      </c>
    </row>
    <row r="28" spans="2:25">
      <c r="B28" s="38">
        <f t="shared" ca="1" si="0"/>
        <v>10</v>
      </c>
      <c r="C28" s="39">
        <f t="shared" ca="1" si="4"/>
        <v>1</v>
      </c>
      <c r="D28" s="39">
        <f t="shared" ca="1" si="4"/>
        <v>3</v>
      </c>
      <c r="E28" s="39">
        <f t="shared" ca="1" si="5"/>
        <v>1</v>
      </c>
      <c r="F28" s="39">
        <f t="shared" ca="1" si="5"/>
        <v>9</v>
      </c>
      <c r="G28" s="39">
        <f t="shared" ca="1" si="5"/>
        <v>15</v>
      </c>
      <c r="H28" s="39">
        <f t="shared" ca="1" si="5"/>
        <v>10</v>
      </c>
      <c r="I28" s="39">
        <f t="shared" ca="1" si="5"/>
        <v>5</v>
      </c>
      <c r="J28" s="39">
        <f t="shared" ca="1" si="5"/>
        <v>12</v>
      </c>
      <c r="K28" s="39">
        <f t="shared" ca="1" si="5"/>
        <v>11</v>
      </c>
      <c r="L28" s="39">
        <f t="shared" ca="1" si="5"/>
        <v>9</v>
      </c>
      <c r="M28" s="39">
        <f t="shared" ca="1" si="5"/>
        <v>6</v>
      </c>
      <c r="N28" s="39">
        <f t="shared" ca="1" si="5"/>
        <v>8</v>
      </c>
      <c r="O28" s="39">
        <f t="shared" ca="1" si="5"/>
        <v>11</v>
      </c>
      <c r="P28" s="39">
        <f t="shared" ca="1" si="5"/>
        <v>8</v>
      </c>
      <c r="Q28" s="39">
        <f t="shared" ca="1" si="5"/>
        <v>10</v>
      </c>
      <c r="R28" s="39">
        <f t="shared" ca="1" si="5"/>
        <v>16</v>
      </c>
      <c r="S28" s="39">
        <f t="shared" ca="1" si="5"/>
        <v>9</v>
      </c>
      <c r="T28" s="39">
        <f t="shared" ca="1" si="5"/>
        <v>15</v>
      </c>
      <c r="U28" s="39">
        <f t="shared" ca="1" si="3"/>
        <v>9</v>
      </c>
      <c r="V28" s="39">
        <f t="shared" ca="1" si="3"/>
        <v>12</v>
      </c>
      <c r="W28" s="39">
        <f t="shared" ca="1" si="3"/>
        <v>6</v>
      </c>
      <c r="X28" s="39">
        <f t="shared" ca="1" si="3"/>
        <v>15</v>
      </c>
      <c r="Y28" s="40">
        <f t="shared" ca="1" si="3"/>
        <v>5</v>
      </c>
    </row>
    <row r="29" spans="2:25">
      <c r="B29" s="38">
        <f t="shared" ca="1" si="0"/>
        <v>2</v>
      </c>
      <c r="C29" s="39">
        <f t="shared" ca="1" si="4"/>
        <v>10</v>
      </c>
      <c r="D29" s="39">
        <f t="shared" ca="1" si="4"/>
        <v>5</v>
      </c>
      <c r="E29" s="39">
        <f t="shared" ca="1" si="5"/>
        <v>2</v>
      </c>
      <c r="F29" s="39">
        <f t="shared" ca="1" si="5"/>
        <v>14</v>
      </c>
      <c r="G29" s="39">
        <f t="shared" ca="1" si="5"/>
        <v>4</v>
      </c>
      <c r="H29" s="39">
        <f t="shared" ca="1" si="5"/>
        <v>6</v>
      </c>
      <c r="I29" s="39">
        <f t="shared" ca="1" si="5"/>
        <v>13</v>
      </c>
      <c r="J29" s="39">
        <f t="shared" ca="1" si="5"/>
        <v>11</v>
      </c>
      <c r="K29" s="39">
        <f t="shared" ca="1" si="5"/>
        <v>16</v>
      </c>
      <c r="L29" s="39">
        <f t="shared" ca="1" si="5"/>
        <v>3</v>
      </c>
      <c r="M29" s="39">
        <f t="shared" ca="1" si="5"/>
        <v>2</v>
      </c>
      <c r="N29" s="39">
        <f t="shared" ca="1" si="5"/>
        <v>9</v>
      </c>
      <c r="O29" s="39">
        <f t="shared" ca="1" si="5"/>
        <v>14</v>
      </c>
      <c r="P29" s="39">
        <f t="shared" ca="1" si="5"/>
        <v>4</v>
      </c>
      <c r="Q29" s="39">
        <f t="shared" ca="1" si="5"/>
        <v>11</v>
      </c>
      <c r="R29" s="39">
        <f t="shared" ca="1" si="5"/>
        <v>10</v>
      </c>
      <c r="S29" s="39">
        <f t="shared" ca="1" si="5"/>
        <v>1</v>
      </c>
      <c r="T29" s="39">
        <f t="shared" ca="1" si="5"/>
        <v>7</v>
      </c>
      <c r="U29" s="39">
        <f t="shared" ref="U29:U44" ca="1" si="6">CEILING((RAND()*16),1)</f>
        <v>3</v>
      </c>
      <c r="V29" s="39">
        <f t="shared" ca="1" si="3"/>
        <v>9</v>
      </c>
      <c r="W29" s="39">
        <f t="shared" ca="1" si="3"/>
        <v>9</v>
      </c>
      <c r="X29" s="39">
        <f t="shared" ca="1" si="3"/>
        <v>10</v>
      </c>
      <c r="Y29" s="40">
        <f t="shared" ca="1" si="3"/>
        <v>7</v>
      </c>
    </row>
    <row r="30" spans="2:25">
      <c r="B30" s="38">
        <f t="shared" ref="B30:Q45" ca="1" si="7">CEILING((RAND()*16),1)</f>
        <v>4</v>
      </c>
      <c r="C30" s="39">
        <f t="shared" ca="1" si="7"/>
        <v>5</v>
      </c>
      <c r="D30" s="39">
        <f t="shared" ca="1" si="7"/>
        <v>9</v>
      </c>
      <c r="E30" s="39">
        <f t="shared" ca="1" si="7"/>
        <v>13</v>
      </c>
      <c r="F30" s="39">
        <f t="shared" ca="1" si="7"/>
        <v>6</v>
      </c>
      <c r="G30" s="39">
        <f t="shared" ca="1" si="7"/>
        <v>4</v>
      </c>
      <c r="H30" s="39">
        <f t="shared" ca="1" si="7"/>
        <v>12</v>
      </c>
      <c r="I30" s="39">
        <f t="shared" ca="1" si="7"/>
        <v>10</v>
      </c>
      <c r="J30" s="39">
        <f t="shared" ca="1" si="7"/>
        <v>4</v>
      </c>
      <c r="K30" s="39">
        <f t="shared" ca="1" si="7"/>
        <v>9</v>
      </c>
      <c r="L30" s="39">
        <f t="shared" ca="1" si="7"/>
        <v>14</v>
      </c>
      <c r="M30" s="39">
        <f t="shared" ca="1" si="7"/>
        <v>6</v>
      </c>
      <c r="N30" s="39">
        <f t="shared" ca="1" si="7"/>
        <v>8</v>
      </c>
      <c r="O30" s="39">
        <f t="shared" ca="1" si="7"/>
        <v>4</v>
      </c>
      <c r="P30" s="39">
        <f t="shared" ca="1" si="7"/>
        <v>16</v>
      </c>
      <c r="Q30" s="39">
        <f t="shared" ca="1" si="7"/>
        <v>9</v>
      </c>
      <c r="R30" s="39">
        <f t="shared" ref="R30:T44" ca="1" si="8">CEILING((RAND()*16),1)</f>
        <v>7</v>
      </c>
      <c r="S30" s="39">
        <f t="shared" ca="1" si="8"/>
        <v>6</v>
      </c>
      <c r="T30" s="39">
        <f t="shared" ca="1" si="8"/>
        <v>14</v>
      </c>
      <c r="U30" s="39">
        <f t="shared" ca="1" si="6"/>
        <v>6</v>
      </c>
      <c r="V30" s="39">
        <f t="shared" ca="1" si="3"/>
        <v>5</v>
      </c>
      <c r="W30" s="39">
        <f t="shared" ca="1" si="3"/>
        <v>15</v>
      </c>
      <c r="X30" s="39">
        <f t="shared" ca="1" si="3"/>
        <v>8</v>
      </c>
      <c r="Y30" s="40">
        <f t="shared" ca="1" si="3"/>
        <v>13</v>
      </c>
    </row>
    <row r="31" spans="2:25">
      <c r="B31" s="38">
        <f t="shared" ca="1" si="7"/>
        <v>8</v>
      </c>
      <c r="C31" s="39">
        <f t="shared" ca="1" si="7"/>
        <v>8</v>
      </c>
      <c r="D31" s="39">
        <f t="shared" ca="1" si="7"/>
        <v>12</v>
      </c>
      <c r="E31" s="39">
        <f t="shared" ca="1" si="7"/>
        <v>13</v>
      </c>
      <c r="F31" s="39">
        <f t="shared" ca="1" si="7"/>
        <v>1</v>
      </c>
      <c r="G31" s="39">
        <f t="shared" ca="1" si="7"/>
        <v>12</v>
      </c>
      <c r="H31" s="39">
        <f t="shared" ca="1" si="7"/>
        <v>10</v>
      </c>
      <c r="I31" s="39">
        <f t="shared" ca="1" si="7"/>
        <v>2</v>
      </c>
      <c r="J31" s="39">
        <f t="shared" ca="1" si="7"/>
        <v>9</v>
      </c>
      <c r="K31" s="39">
        <f t="shared" ca="1" si="7"/>
        <v>12</v>
      </c>
      <c r="L31" s="39">
        <f t="shared" ca="1" si="7"/>
        <v>8</v>
      </c>
      <c r="M31" s="39">
        <f t="shared" ca="1" si="7"/>
        <v>15</v>
      </c>
      <c r="N31" s="39">
        <f t="shared" ca="1" si="7"/>
        <v>9</v>
      </c>
      <c r="O31" s="39">
        <f t="shared" ca="1" si="7"/>
        <v>4</v>
      </c>
      <c r="P31" s="39">
        <f t="shared" ca="1" si="7"/>
        <v>15</v>
      </c>
      <c r="Q31" s="39">
        <f t="shared" ca="1" si="7"/>
        <v>8</v>
      </c>
      <c r="R31" s="39">
        <f t="shared" ca="1" si="8"/>
        <v>16</v>
      </c>
      <c r="S31" s="39">
        <f t="shared" ca="1" si="8"/>
        <v>9</v>
      </c>
      <c r="T31" s="39">
        <f t="shared" ca="1" si="8"/>
        <v>1</v>
      </c>
      <c r="U31" s="39">
        <f t="shared" ca="1" si="6"/>
        <v>10</v>
      </c>
      <c r="V31" s="39">
        <f t="shared" ca="1" si="3"/>
        <v>9</v>
      </c>
      <c r="W31" s="39">
        <f t="shared" ca="1" si="3"/>
        <v>9</v>
      </c>
      <c r="X31" s="39">
        <f t="shared" ca="1" si="3"/>
        <v>1</v>
      </c>
      <c r="Y31" s="40">
        <f t="shared" ca="1" si="3"/>
        <v>16</v>
      </c>
    </row>
    <row r="32" spans="2:25">
      <c r="B32" s="38">
        <f t="shared" ca="1" si="7"/>
        <v>10</v>
      </c>
      <c r="C32" s="39">
        <f t="shared" ca="1" si="7"/>
        <v>1</v>
      </c>
      <c r="D32" s="39">
        <f t="shared" ca="1" si="7"/>
        <v>7</v>
      </c>
      <c r="E32" s="39">
        <f t="shared" ca="1" si="7"/>
        <v>4</v>
      </c>
      <c r="F32" s="39">
        <f t="shared" ca="1" si="7"/>
        <v>13</v>
      </c>
      <c r="G32" s="39">
        <f t="shared" ca="1" si="7"/>
        <v>16</v>
      </c>
      <c r="H32" s="39">
        <f t="shared" ca="1" si="7"/>
        <v>3</v>
      </c>
      <c r="I32" s="39">
        <f t="shared" ca="1" si="7"/>
        <v>13</v>
      </c>
      <c r="J32" s="39">
        <f t="shared" ca="1" si="7"/>
        <v>15</v>
      </c>
      <c r="K32" s="39">
        <f t="shared" ca="1" si="7"/>
        <v>11</v>
      </c>
      <c r="L32" s="39">
        <f t="shared" ca="1" si="7"/>
        <v>5</v>
      </c>
      <c r="M32" s="39">
        <f t="shared" ca="1" si="7"/>
        <v>10</v>
      </c>
      <c r="N32" s="39">
        <f t="shared" ca="1" si="7"/>
        <v>4</v>
      </c>
      <c r="O32" s="39">
        <f t="shared" ca="1" si="7"/>
        <v>14</v>
      </c>
      <c r="P32" s="39">
        <f t="shared" ca="1" si="7"/>
        <v>15</v>
      </c>
      <c r="Q32" s="39">
        <f t="shared" ca="1" si="7"/>
        <v>11</v>
      </c>
      <c r="R32" s="39">
        <f t="shared" ca="1" si="8"/>
        <v>5</v>
      </c>
      <c r="S32" s="39">
        <f t="shared" ca="1" si="8"/>
        <v>4</v>
      </c>
      <c r="T32" s="39">
        <f t="shared" ca="1" si="8"/>
        <v>6</v>
      </c>
      <c r="U32" s="39">
        <f t="shared" ca="1" si="6"/>
        <v>11</v>
      </c>
      <c r="V32" s="39">
        <f t="shared" ca="1" si="3"/>
        <v>13</v>
      </c>
      <c r="W32" s="39">
        <f t="shared" ca="1" si="3"/>
        <v>15</v>
      </c>
      <c r="X32" s="39">
        <f t="shared" ca="1" si="3"/>
        <v>8</v>
      </c>
      <c r="Y32" s="40">
        <f t="shared" ca="1" si="3"/>
        <v>13</v>
      </c>
    </row>
    <row r="33" spans="2:25">
      <c r="B33" s="38">
        <f t="shared" ca="1" si="7"/>
        <v>5</v>
      </c>
      <c r="C33" s="39">
        <f t="shared" ca="1" si="7"/>
        <v>9</v>
      </c>
      <c r="D33" s="39">
        <f t="shared" ca="1" si="7"/>
        <v>9</v>
      </c>
      <c r="E33" s="39">
        <f t="shared" ca="1" si="7"/>
        <v>10</v>
      </c>
      <c r="F33" s="39">
        <f t="shared" ca="1" si="7"/>
        <v>8</v>
      </c>
      <c r="G33" s="39">
        <f t="shared" ca="1" si="7"/>
        <v>6</v>
      </c>
      <c r="H33" s="39">
        <f t="shared" ca="1" si="7"/>
        <v>14</v>
      </c>
      <c r="I33" s="39">
        <f t="shared" ca="1" si="7"/>
        <v>7</v>
      </c>
      <c r="J33" s="39">
        <f t="shared" ca="1" si="7"/>
        <v>5</v>
      </c>
      <c r="K33" s="39">
        <f t="shared" ca="1" si="7"/>
        <v>7</v>
      </c>
      <c r="L33" s="39">
        <f t="shared" ca="1" si="7"/>
        <v>4</v>
      </c>
      <c r="M33" s="39">
        <f t="shared" ca="1" si="7"/>
        <v>15</v>
      </c>
      <c r="N33" s="39">
        <f t="shared" ca="1" si="7"/>
        <v>7</v>
      </c>
      <c r="O33" s="39">
        <f t="shared" ca="1" si="7"/>
        <v>16</v>
      </c>
      <c r="P33" s="39">
        <f t="shared" ca="1" si="7"/>
        <v>8</v>
      </c>
      <c r="Q33" s="39">
        <f t="shared" ca="1" si="7"/>
        <v>4</v>
      </c>
      <c r="R33" s="39">
        <f t="shared" ca="1" si="8"/>
        <v>8</v>
      </c>
      <c r="S33" s="39">
        <f t="shared" ca="1" si="8"/>
        <v>5</v>
      </c>
      <c r="T33" s="39">
        <f t="shared" ca="1" si="8"/>
        <v>9</v>
      </c>
      <c r="U33" s="39">
        <f t="shared" ca="1" si="6"/>
        <v>3</v>
      </c>
      <c r="V33" s="39">
        <f t="shared" ca="1" si="3"/>
        <v>8</v>
      </c>
      <c r="W33" s="39">
        <f t="shared" ca="1" si="3"/>
        <v>2</v>
      </c>
      <c r="X33" s="39">
        <f t="shared" ca="1" si="3"/>
        <v>5</v>
      </c>
      <c r="Y33" s="40">
        <f t="shared" ca="1" si="3"/>
        <v>2</v>
      </c>
    </row>
    <row r="34" spans="2:25">
      <c r="B34" s="38">
        <f t="shared" ca="1" si="7"/>
        <v>15</v>
      </c>
      <c r="C34" s="39">
        <f t="shared" ca="1" si="7"/>
        <v>12</v>
      </c>
      <c r="D34" s="39">
        <f t="shared" ca="1" si="7"/>
        <v>12</v>
      </c>
      <c r="E34" s="39">
        <f t="shared" ca="1" si="7"/>
        <v>6</v>
      </c>
      <c r="F34" s="39">
        <f t="shared" ca="1" si="7"/>
        <v>3</v>
      </c>
      <c r="G34" s="39">
        <f t="shared" ca="1" si="7"/>
        <v>10</v>
      </c>
      <c r="H34" s="39">
        <f t="shared" ca="1" si="7"/>
        <v>16</v>
      </c>
      <c r="I34" s="39">
        <f t="shared" ca="1" si="7"/>
        <v>10</v>
      </c>
      <c r="J34" s="39">
        <f t="shared" ca="1" si="7"/>
        <v>2</v>
      </c>
      <c r="K34" s="39">
        <f t="shared" ca="1" si="7"/>
        <v>13</v>
      </c>
      <c r="L34" s="39">
        <f t="shared" ca="1" si="7"/>
        <v>11</v>
      </c>
      <c r="M34" s="39">
        <f t="shared" ca="1" si="7"/>
        <v>12</v>
      </c>
      <c r="N34" s="39">
        <f t="shared" ca="1" si="7"/>
        <v>13</v>
      </c>
      <c r="O34" s="39">
        <f t="shared" ca="1" si="7"/>
        <v>13</v>
      </c>
      <c r="P34" s="39">
        <f t="shared" ca="1" si="7"/>
        <v>10</v>
      </c>
      <c r="Q34" s="39">
        <f t="shared" ca="1" si="7"/>
        <v>7</v>
      </c>
      <c r="R34" s="39">
        <f t="shared" ca="1" si="8"/>
        <v>5</v>
      </c>
      <c r="S34" s="39">
        <f t="shared" ca="1" si="8"/>
        <v>2</v>
      </c>
      <c r="T34" s="39">
        <f t="shared" ca="1" si="8"/>
        <v>3</v>
      </c>
      <c r="U34" s="39">
        <f t="shared" ca="1" si="6"/>
        <v>8</v>
      </c>
      <c r="V34" s="39">
        <f t="shared" ca="1" si="3"/>
        <v>1</v>
      </c>
      <c r="W34" s="39">
        <f t="shared" ca="1" si="3"/>
        <v>9</v>
      </c>
      <c r="X34" s="39">
        <f t="shared" ca="1" si="3"/>
        <v>6</v>
      </c>
      <c r="Y34" s="40">
        <f t="shared" ca="1" si="3"/>
        <v>1</v>
      </c>
    </row>
    <row r="35" spans="2:25">
      <c r="B35" s="38">
        <f t="shared" ca="1" si="7"/>
        <v>13</v>
      </c>
      <c r="C35" s="39">
        <f t="shared" ca="1" si="7"/>
        <v>1</v>
      </c>
      <c r="D35" s="39">
        <f t="shared" ca="1" si="7"/>
        <v>6</v>
      </c>
      <c r="E35" s="39">
        <f t="shared" ca="1" si="7"/>
        <v>9</v>
      </c>
      <c r="F35" s="39">
        <f t="shared" ca="1" si="7"/>
        <v>1</v>
      </c>
      <c r="G35" s="39">
        <f t="shared" ca="1" si="7"/>
        <v>15</v>
      </c>
      <c r="H35" s="39">
        <f t="shared" ca="1" si="7"/>
        <v>1</v>
      </c>
      <c r="I35" s="39">
        <f t="shared" ca="1" si="7"/>
        <v>5</v>
      </c>
      <c r="J35" s="39">
        <f t="shared" ca="1" si="7"/>
        <v>5</v>
      </c>
      <c r="K35" s="39">
        <f t="shared" ca="1" si="7"/>
        <v>16</v>
      </c>
      <c r="L35" s="39">
        <f t="shared" ca="1" si="7"/>
        <v>6</v>
      </c>
      <c r="M35" s="39">
        <f t="shared" ca="1" si="7"/>
        <v>6</v>
      </c>
      <c r="N35" s="39">
        <f t="shared" ca="1" si="7"/>
        <v>14</v>
      </c>
      <c r="O35" s="39">
        <f t="shared" ca="1" si="7"/>
        <v>15</v>
      </c>
      <c r="P35" s="39">
        <f t="shared" ca="1" si="7"/>
        <v>9</v>
      </c>
      <c r="Q35" s="39">
        <f t="shared" ca="1" si="7"/>
        <v>11</v>
      </c>
      <c r="R35" s="39">
        <f t="shared" ca="1" si="8"/>
        <v>10</v>
      </c>
      <c r="S35" s="39">
        <f t="shared" ca="1" si="8"/>
        <v>5</v>
      </c>
      <c r="T35" s="39">
        <f t="shared" ca="1" si="8"/>
        <v>12</v>
      </c>
      <c r="U35" s="39">
        <f t="shared" ca="1" si="6"/>
        <v>8</v>
      </c>
      <c r="V35" s="39">
        <f t="shared" ca="1" si="3"/>
        <v>2</v>
      </c>
      <c r="W35" s="39">
        <f t="shared" ca="1" si="3"/>
        <v>4</v>
      </c>
      <c r="X35" s="39">
        <f t="shared" ca="1" si="3"/>
        <v>15</v>
      </c>
      <c r="Y35" s="40">
        <f t="shared" ca="1" si="3"/>
        <v>5</v>
      </c>
    </row>
    <row r="36" spans="2:25">
      <c r="B36" s="38">
        <f t="shared" ca="1" si="7"/>
        <v>5</v>
      </c>
      <c r="C36" s="39">
        <f t="shared" ca="1" si="7"/>
        <v>4</v>
      </c>
      <c r="D36" s="39">
        <f t="shared" ca="1" si="7"/>
        <v>11</v>
      </c>
      <c r="E36" s="39">
        <f t="shared" ca="1" si="7"/>
        <v>11</v>
      </c>
      <c r="F36" s="39">
        <f t="shared" ca="1" si="7"/>
        <v>15</v>
      </c>
      <c r="G36" s="39">
        <f t="shared" ca="1" si="7"/>
        <v>9</v>
      </c>
      <c r="H36" s="39">
        <f t="shared" ca="1" si="7"/>
        <v>6</v>
      </c>
      <c r="I36" s="39">
        <f t="shared" ca="1" si="7"/>
        <v>9</v>
      </c>
      <c r="J36" s="39">
        <f t="shared" ca="1" si="7"/>
        <v>8</v>
      </c>
      <c r="K36" s="39">
        <f t="shared" ca="1" si="7"/>
        <v>4</v>
      </c>
      <c r="L36" s="39">
        <f t="shared" ca="1" si="7"/>
        <v>12</v>
      </c>
      <c r="M36" s="39">
        <f t="shared" ca="1" si="7"/>
        <v>4</v>
      </c>
      <c r="N36" s="39">
        <f t="shared" ca="1" si="7"/>
        <v>12</v>
      </c>
      <c r="O36" s="39">
        <f t="shared" ca="1" si="7"/>
        <v>8</v>
      </c>
      <c r="P36" s="39">
        <f t="shared" ca="1" si="7"/>
        <v>1</v>
      </c>
      <c r="Q36" s="39">
        <f t="shared" ca="1" si="7"/>
        <v>5</v>
      </c>
      <c r="R36" s="39">
        <f t="shared" ca="1" si="8"/>
        <v>4</v>
      </c>
      <c r="S36" s="39">
        <f t="shared" ca="1" si="8"/>
        <v>5</v>
      </c>
      <c r="T36" s="39">
        <f t="shared" ca="1" si="8"/>
        <v>10</v>
      </c>
      <c r="U36" s="39">
        <f t="shared" ca="1" si="6"/>
        <v>7</v>
      </c>
      <c r="V36" s="39">
        <f t="shared" ca="1" si="3"/>
        <v>4</v>
      </c>
      <c r="W36" s="39">
        <f t="shared" ca="1" si="3"/>
        <v>15</v>
      </c>
      <c r="X36" s="39">
        <f t="shared" ca="1" si="3"/>
        <v>4</v>
      </c>
      <c r="Y36" s="40">
        <f t="shared" ca="1" si="3"/>
        <v>16</v>
      </c>
    </row>
    <row r="37" spans="2:25">
      <c r="B37" s="38">
        <f t="shared" ca="1" si="7"/>
        <v>2</v>
      </c>
      <c r="C37" s="39">
        <f t="shared" ca="1" si="7"/>
        <v>10</v>
      </c>
      <c r="D37" s="39">
        <f t="shared" ca="1" si="7"/>
        <v>15</v>
      </c>
      <c r="E37" s="39">
        <f t="shared" ca="1" si="7"/>
        <v>3</v>
      </c>
      <c r="F37" s="39">
        <f t="shared" ca="1" si="7"/>
        <v>16</v>
      </c>
      <c r="G37" s="39">
        <f t="shared" ca="1" si="7"/>
        <v>11</v>
      </c>
      <c r="H37" s="39">
        <f t="shared" ca="1" si="7"/>
        <v>3</v>
      </c>
      <c r="I37" s="39">
        <f t="shared" ca="1" si="7"/>
        <v>10</v>
      </c>
      <c r="J37" s="39">
        <f t="shared" ca="1" si="7"/>
        <v>2</v>
      </c>
      <c r="K37" s="39">
        <f t="shared" ca="1" si="7"/>
        <v>7</v>
      </c>
      <c r="L37" s="39">
        <f t="shared" ca="1" si="7"/>
        <v>5</v>
      </c>
      <c r="M37" s="39">
        <f t="shared" ca="1" si="7"/>
        <v>6</v>
      </c>
      <c r="N37" s="39">
        <f t="shared" ca="1" si="7"/>
        <v>14</v>
      </c>
      <c r="O37" s="39">
        <f t="shared" ca="1" si="7"/>
        <v>13</v>
      </c>
      <c r="P37" s="39">
        <f t="shared" ca="1" si="7"/>
        <v>3</v>
      </c>
      <c r="Q37" s="39">
        <f t="shared" ca="1" si="7"/>
        <v>1</v>
      </c>
      <c r="R37" s="39">
        <f t="shared" ca="1" si="8"/>
        <v>2</v>
      </c>
      <c r="S37" s="39">
        <f t="shared" ca="1" si="8"/>
        <v>8</v>
      </c>
      <c r="T37" s="39">
        <f t="shared" ca="1" si="8"/>
        <v>6</v>
      </c>
      <c r="U37" s="39">
        <f t="shared" ca="1" si="6"/>
        <v>15</v>
      </c>
      <c r="V37" s="39">
        <f t="shared" ca="1" si="3"/>
        <v>3</v>
      </c>
      <c r="W37" s="39">
        <f t="shared" ca="1" si="3"/>
        <v>5</v>
      </c>
      <c r="X37" s="39">
        <f t="shared" ca="1" si="3"/>
        <v>11</v>
      </c>
      <c r="Y37" s="40">
        <f t="shared" ca="1" si="3"/>
        <v>5</v>
      </c>
    </row>
    <row r="38" spans="2:25">
      <c r="B38" s="38">
        <f t="shared" ca="1" si="7"/>
        <v>9</v>
      </c>
      <c r="C38" s="39">
        <f t="shared" ca="1" si="7"/>
        <v>3</v>
      </c>
      <c r="D38" s="39">
        <f t="shared" ca="1" si="7"/>
        <v>12</v>
      </c>
      <c r="E38" s="39">
        <f t="shared" ca="1" si="7"/>
        <v>13</v>
      </c>
      <c r="F38" s="39">
        <f t="shared" ca="1" si="7"/>
        <v>12</v>
      </c>
      <c r="G38" s="39">
        <f t="shared" ca="1" si="7"/>
        <v>16</v>
      </c>
      <c r="H38" s="39">
        <f t="shared" ca="1" si="7"/>
        <v>16</v>
      </c>
      <c r="I38" s="39">
        <f t="shared" ca="1" si="7"/>
        <v>6</v>
      </c>
      <c r="J38" s="39">
        <f t="shared" ca="1" si="7"/>
        <v>10</v>
      </c>
      <c r="K38" s="39">
        <f t="shared" ca="1" si="7"/>
        <v>2</v>
      </c>
      <c r="L38" s="39">
        <f t="shared" ca="1" si="7"/>
        <v>10</v>
      </c>
      <c r="M38" s="39">
        <f t="shared" ca="1" si="7"/>
        <v>4</v>
      </c>
      <c r="N38" s="39">
        <f t="shared" ca="1" si="7"/>
        <v>14</v>
      </c>
      <c r="O38" s="39">
        <f t="shared" ca="1" si="7"/>
        <v>4</v>
      </c>
      <c r="P38" s="39">
        <f t="shared" ca="1" si="7"/>
        <v>16</v>
      </c>
      <c r="Q38" s="39">
        <f t="shared" ca="1" si="7"/>
        <v>14</v>
      </c>
      <c r="R38" s="39">
        <f t="shared" ca="1" si="8"/>
        <v>13</v>
      </c>
      <c r="S38" s="39">
        <f t="shared" ca="1" si="8"/>
        <v>10</v>
      </c>
      <c r="T38" s="39">
        <f t="shared" ca="1" si="8"/>
        <v>6</v>
      </c>
      <c r="U38" s="39">
        <f t="shared" ca="1" si="6"/>
        <v>6</v>
      </c>
      <c r="V38" s="39">
        <f t="shared" ca="1" si="3"/>
        <v>3</v>
      </c>
      <c r="W38" s="39">
        <f t="shared" ca="1" si="3"/>
        <v>16</v>
      </c>
      <c r="X38" s="39">
        <f t="shared" ca="1" si="3"/>
        <v>1</v>
      </c>
      <c r="Y38" s="40">
        <f t="shared" ca="1" si="3"/>
        <v>10</v>
      </c>
    </row>
    <row r="39" spans="2:25">
      <c r="B39" s="38">
        <f t="shared" ca="1" si="7"/>
        <v>9</v>
      </c>
      <c r="C39" s="39">
        <f t="shared" ca="1" si="7"/>
        <v>11</v>
      </c>
      <c r="D39" s="39">
        <f t="shared" ca="1" si="7"/>
        <v>16</v>
      </c>
      <c r="E39" s="39">
        <f t="shared" ca="1" si="7"/>
        <v>3</v>
      </c>
      <c r="F39" s="39">
        <f t="shared" ca="1" si="7"/>
        <v>4</v>
      </c>
      <c r="G39" s="39">
        <f t="shared" ca="1" si="7"/>
        <v>9</v>
      </c>
      <c r="H39" s="39">
        <f t="shared" ca="1" si="7"/>
        <v>7</v>
      </c>
      <c r="I39" s="39">
        <f t="shared" ca="1" si="7"/>
        <v>10</v>
      </c>
      <c r="J39" s="39">
        <f t="shared" ca="1" si="7"/>
        <v>2</v>
      </c>
      <c r="K39" s="39">
        <f t="shared" ca="1" si="7"/>
        <v>15</v>
      </c>
      <c r="L39" s="39">
        <f t="shared" ca="1" si="7"/>
        <v>6</v>
      </c>
      <c r="M39" s="39">
        <f t="shared" ca="1" si="7"/>
        <v>4</v>
      </c>
      <c r="N39" s="39">
        <f t="shared" ca="1" si="7"/>
        <v>12</v>
      </c>
      <c r="O39" s="39">
        <f t="shared" ca="1" si="7"/>
        <v>10</v>
      </c>
      <c r="P39" s="39">
        <f t="shared" ca="1" si="7"/>
        <v>5</v>
      </c>
      <c r="Q39" s="39">
        <f t="shared" ca="1" si="7"/>
        <v>15</v>
      </c>
      <c r="R39" s="39">
        <f t="shared" ca="1" si="8"/>
        <v>11</v>
      </c>
      <c r="S39" s="39">
        <f t="shared" ca="1" si="8"/>
        <v>10</v>
      </c>
      <c r="T39" s="39">
        <f t="shared" ca="1" si="8"/>
        <v>4</v>
      </c>
      <c r="U39" s="39">
        <f t="shared" ca="1" si="6"/>
        <v>13</v>
      </c>
      <c r="V39" s="39">
        <f t="shared" ca="1" si="3"/>
        <v>11</v>
      </c>
      <c r="W39" s="39">
        <f t="shared" ca="1" si="3"/>
        <v>15</v>
      </c>
      <c r="X39" s="39">
        <f t="shared" ca="1" si="3"/>
        <v>4</v>
      </c>
      <c r="Y39" s="40">
        <f t="shared" ca="1" si="3"/>
        <v>11</v>
      </c>
    </row>
    <row r="40" spans="2:25">
      <c r="B40" s="38">
        <f t="shared" ca="1" si="7"/>
        <v>13</v>
      </c>
      <c r="C40" s="39">
        <f t="shared" ca="1" si="7"/>
        <v>3</v>
      </c>
      <c r="D40" s="39">
        <f t="shared" ca="1" si="7"/>
        <v>2</v>
      </c>
      <c r="E40" s="39">
        <f t="shared" ca="1" si="7"/>
        <v>8</v>
      </c>
      <c r="F40" s="39">
        <f t="shared" ca="1" si="7"/>
        <v>1</v>
      </c>
      <c r="G40" s="39">
        <f t="shared" ca="1" si="7"/>
        <v>15</v>
      </c>
      <c r="H40" s="39">
        <f t="shared" ca="1" si="7"/>
        <v>4</v>
      </c>
      <c r="I40" s="39">
        <f t="shared" ca="1" si="7"/>
        <v>5</v>
      </c>
      <c r="J40" s="39">
        <f t="shared" ca="1" si="7"/>
        <v>7</v>
      </c>
      <c r="K40" s="39">
        <f t="shared" ca="1" si="7"/>
        <v>8</v>
      </c>
      <c r="L40" s="39">
        <f t="shared" ca="1" si="7"/>
        <v>9</v>
      </c>
      <c r="M40" s="39">
        <f t="shared" ca="1" si="7"/>
        <v>13</v>
      </c>
      <c r="N40" s="39">
        <f t="shared" ca="1" si="7"/>
        <v>11</v>
      </c>
      <c r="O40" s="39">
        <f t="shared" ca="1" si="7"/>
        <v>8</v>
      </c>
      <c r="P40" s="39">
        <f t="shared" ca="1" si="7"/>
        <v>5</v>
      </c>
      <c r="Q40" s="39">
        <f t="shared" ca="1" si="7"/>
        <v>6</v>
      </c>
      <c r="R40" s="39">
        <f t="shared" ca="1" si="8"/>
        <v>16</v>
      </c>
      <c r="S40" s="39">
        <f t="shared" ca="1" si="8"/>
        <v>13</v>
      </c>
      <c r="T40" s="39">
        <f t="shared" ca="1" si="8"/>
        <v>15</v>
      </c>
      <c r="U40" s="39">
        <f t="shared" ca="1" si="6"/>
        <v>4</v>
      </c>
      <c r="V40" s="39">
        <f t="shared" ca="1" si="3"/>
        <v>9</v>
      </c>
      <c r="W40" s="39">
        <f t="shared" ca="1" si="3"/>
        <v>8</v>
      </c>
      <c r="X40" s="39">
        <f t="shared" ca="1" si="3"/>
        <v>2</v>
      </c>
      <c r="Y40" s="40">
        <f t="shared" ca="1" si="3"/>
        <v>3</v>
      </c>
    </row>
    <row r="41" spans="2:25">
      <c r="B41" s="38">
        <f t="shared" ca="1" si="7"/>
        <v>12</v>
      </c>
      <c r="C41" s="39">
        <f t="shared" ca="1" si="7"/>
        <v>16</v>
      </c>
      <c r="D41" s="39">
        <f t="shared" ca="1" si="7"/>
        <v>13</v>
      </c>
      <c r="E41" s="39">
        <f t="shared" ca="1" si="7"/>
        <v>15</v>
      </c>
      <c r="F41" s="39">
        <f t="shared" ca="1" si="7"/>
        <v>3</v>
      </c>
      <c r="G41" s="39">
        <f t="shared" ca="1" si="7"/>
        <v>4</v>
      </c>
      <c r="H41" s="39">
        <f t="shared" ca="1" si="7"/>
        <v>6</v>
      </c>
      <c r="I41" s="39">
        <f t="shared" ca="1" si="7"/>
        <v>6</v>
      </c>
      <c r="J41" s="39">
        <f t="shared" ca="1" si="7"/>
        <v>4</v>
      </c>
      <c r="K41" s="39">
        <f t="shared" ca="1" si="7"/>
        <v>7</v>
      </c>
      <c r="L41" s="39">
        <f t="shared" ca="1" si="7"/>
        <v>2</v>
      </c>
      <c r="M41" s="39">
        <f t="shared" ca="1" si="7"/>
        <v>4</v>
      </c>
      <c r="N41" s="39">
        <f t="shared" ca="1" si="7"/>
        <v>10</v>
      </c>
      <c r="O41" s="39">
        <f t="shared" ca="1" si="7"/>
        <v>5</v>
      </c>
      <c r="P41" s="39">
        <f t="shared" ca="1" si="7"/>
        <v>5</v>
      </c>
      <c r="Q41" s="39">
        <f t="shared" ca="1" si="7"/>
        <v>16</v>
      </c>
      <c r="R41" s="39">
        <f t="shared" ca="1" si="8"/>
        <v>8</v>
      </c>
      <c r="S41" s="39">
        <f t="shared" ca="1" si="8"/>
        <v>15</v>
      </c>
      <c r="T41" s="39">
        <f t="shared" ca="1" si="8"/>
        <v>8</v>
      </c>
      <c r="U41" s="39">
        <f t="shared" ca="1" si="6"/>
        <v>15</v>
      </c>
      <c r="V41" s="39">
        <f t="shared" ca="1" si="3"/>
        <v>10</v>
      </c>
      <c r="W41" s="39">
        <f t="shared" ca="1" si="3"/>
        <v>9</v>
      </c>
      <c r="X41" s="39">
        <f t="shared" ca="1" si="3"/>
        <v>12</v>
      </c>
      <c r="Y41" s="40">
        <f t="shared" ca="1" si="3"/>
        <v>12</v>
      </c>
    </row>
    <row r="42" spans="2:25">
      <c r="B42" s="38">
        <f t="shared" ca="1" si="7"/>
        <v>14</v>
      </c>
      <c r="C42" s="39">
        <f t="shared" ca="1" si="7"/>
        <v>15</v>
      </c>
      <c r="D42" s="39">
        <f t="shared" ca="1" si="7"/>
        <v>9</v>
      </c>
      <c r="E42" s="39">
        <f t="shared" ca="1" si="7"/>
        <v>2</v>
      </c>
      <c r="F42" s="39">
        <f t="shared" ca="1" si="7"/>
        <v>2</v>
      </c>
      <c r="G42" s="39">
        <f t="shared" ca="1" si="7"/>
        <v>3</v>
      </c>
      <c r="H42" s="39">
        <f t="shared" ca="1" si="7"/>
        <v>9</v>
      </c>
      <c r="I42" s="39">
        <f t="shared" ca="1" si="7"/>
        <v>12</v>
      </c>
      <c r="J42" s="39">
        <f t="shared" ca="1" si="7"/>
        <v>11</v>
      </c>
      <c r="K42" s="39">
        <f t="shared" ca="1" si="7"/>
        <v>15</v>
      </c>
      <c r="L42" s="39">
        <f t="shared" ca="1" si="7"/>
        <v>12</v>
      </c>
      <c r="M42" s="39">
        <f t="shared" ca="1" si="7"/>
        <v>14</v>
      </c>
      <c r="N42" s="39">
        <f t="shared" ca="1" si="7"/>
        <v>16</v>
      </c>
      <c r="O42" s="39">
        <f t="shared" ca="1" si="7"/>
        <v>10</v>
      </c>
      <c r="P42" s="39">
        <f t="shared" ca="1" si="7"/>
        <v>1</v>
      </c>
      <c r="Q42" s="39">
        <f t="shared" ca="1" si="7"/>
        <v>7</v>
      </c>
      <c r="R42" s="39">
        <f t="shared" ca="1" si="8"/>
        <v>4</v>
      </c>
      <c r="S42" s="39">
        <f t="shared" ca="1" si="8"/>
        <v>13</v>
      </c>
      <c r="T42" s="39">
        <f t="shared" ca="1" si="8"/>
        <v>4</v>
      </c>
      <c r="U42" s="39">
        <f t="shared" ca="1" si="6"/>
        <v>12</v>
      </c>
      <c r="V42" s="39">
        <f t="shared" ca="1" si="3"/>
        <v>5</v>
      </c>
      <c r="W42" s="39">
        <f t="shared" ca="1" si="3"/>
        <v>15</v>
      </c>
      <c r="X42" s="39">
        <f t="shared" ca="1" si="3"/>
        <v>4</v>
      </c>
      <c r="Y42" s="40">
        <f t="shared" ca="1" si="3"/>
        <v>11</v>
      </c>
    </row>
    <row r="43" spans="2:25">
      <c r="B43" s="38">
        <f t="shared" ca="1" si="7"/>
        <v>4</v>
      </c>
      <c r="C43" s="39">
        <f t="shared" ca="1" si="7"/>
        <v>15</v>
      </c>
      <c r="D43" s="39">
        <f t="shared" ca="1" si="7"/>
        <v>1</v>
      </c>
      <c r="E43" s="39">
        <f t="shared" ca="1" si="7"/>
        <v>3</v>
      </c>
      <c r="F43" s="39">
        <f t="shared" ca="1" si="7"/>
        <v>15</v>
      </c>
      <c r="G43" s="39">
        <f t="shared" ca="1" si="7"/>
        <v>4</v>
      </c>
      <c r="H43" s="39">
        <f t="shared" ca="1" si="7"/>
        <v>7</v>
      </c>
      <c r="I43" s="39">
        <f t="shared" ca="1" si="7"/>
        <v>2</v>
      </c>
      <c r="J43" s="39">
        <f t="shared" ca="1" si="7"/>
        <v>8</v>
      </c>
      <c r="K43" s="39">
        <f t="shared" ca="1" si="7"/>
        <v>14</v>
      </c>
      <c r="L43" s="39">
        <f t="shared" ca="1" si="7"/>
        <v>13</v>
      </c>
      <c r="M43" s="39">
        <f t="shared" ca="1" si="7"/>
        <v>13</v>
      </c>
      <c r="N43" s="39">
        <f t="shared" ca="1" si="7"/>
        <v>11</v>
      </c>
      <c r="O43" s="39">
        <f t="shared" ca="1" si="7"/>
        <v>14</v>
      </c>
      <c r="P43" s="39">
        <f t="shared" ca="1" si="7"/>
        <v>13</v>
      </c>
      <c r="Q43" s="39">
        <f t="shared" ca="1" si="7"/>
        <v>13</v>
      </c>
      <c r="R43" s="39">
        <f t="shared" ca="1" si="8"/>
        <v>5</v>
      </c>
      <c r="S43" s="39">
        <f t="shared" ca="1" si="8"/>
        <v>1</v>
      </c>
      <c r="T43" s="39">
        <f t="shared" ca="1" si="8"/>
        <v>1</v>
      </c>
      <c r="U43" s="39">
        <f t="shared" ca="1" si="6"/>
        <v>5</v>
      </c>
      <c r="V43" s="39">
        <f t="shared" ca="1" si="3"/>
        <v>5</v>
      </c>
      <c r="W43" s="39">
        <f t="shared" ca="1" si="3"/>
        <v>14</v>
      </c>
      <c r="X43" s="39">
        <f t="shared" ca="1" si="3"/>
        <v>1</v>
      </c>
      <c r="Y43" s="40">
        <f t="shared" ca="1" si="3"/>
        <v>6</v>
      </c>
    </row>
    <row r="44" spans="2:25">
      <c r="B44" s="38">
        <f t="shared" ca="1" si="7"/>
        <v>1</v>
      </c>
      <c r="C44" s="39">
        <f t="shared" ca="1" si="7"/>
        <v>10</v>
      </c>
      <c r="D44" s="39">
        <f t="shared" ca="1" si="7"/>
        <v>3</v>
      </c>
      <c r="E44" s="39">
        <f t="shared" ca="1" si="7"/>
        <v>16</v>
      </c>
      <c r="F44" s="39">
        <f t="shared" ca="1" si="7"/>
        <v>9</v>
      </c>
      <c r="G44" s="39">
        <f t="shared" ca="1" si="7"/>
        <v>6</v>
      </c>
      <c r="H44" s="39">
        <f t="shared" ca="1" si="7"/>
        <v>15</v>
      </c>
      <c r="I44" s="39">
        <f t="shared" ca="1" si="7"/>
        <v>6</v>
      </c>
      <c r="J44" s="39">
        <f t="shared" ca="1" si="7"/>
        <v>9</v>
      </c>
      <c r="K44" s="39">
        <f t="shared" ca="1" si="7"/>
        <v>6</v>
      </c>
      <c r="L44" s="39">
        <f t="shared" ca="1" si="7"/>
        <v>15</v>
      </c>
      <c r="M44" s="39">
        <f t="shared" ca="1" si="7"/>
        <v>1</v>
      </c>
      <c r="N44" s="39">
        <f t="shared" ca="1" si="7"/>
        <v>6</v>
      </c>
      <c r="O44" s="39">
        <f t="shared" ca="1" si="7"/>
        <v>6</v>
      </c>
      <c r="P44" s="39">
        <f t="shared" ca="1" si="7"/>
        <v>6</v>
      </c>
      <c r="Q44" s="39">
        <f t="shared" ca="1" si="7"/>
        <v>8</v>
      </c>
      <c r="R44" s="39">
        <f t="shared" ca="1" si="8"/>
        <v>12</v>
      </c>
      <c r="S44" s="39">
        <f t="shared" ca="1" si="8"/>
        <v>8</v>
      </c>
      <c r="T44" s="39">
        <f t="shared" ca="1" si="8"/>
        <v>16</v>
      </c>
      <c r="U44" s="39">
        <f t="shared" ca="1" si="6"/>
        <v>14</v>
      </c>
      <c r="V44" s="39">
        <f t="shared" ca="1" si="3"/>
        <v>10</v>
      </c>
      <c r="W44" s="39">
        <f t="shared" ca="1" si="3"/>
        <v>16</v>
      </c>
      <c r="X44" s="39">
        <f t="shared" ca="1" si="3"/>
        <v>10</v>
      </c>
      <c r="Y44" s="40">
        <f t="shared" ca="1" si="3"/>
        <v>2</v>
      </c>
    </row>
    <row r="45" spans="2:25">
      <c r="B45" s="38">
        <f t="shared" ca="1" si="7"/>
        <v>10</v>
      </c>
      <c r="C45" s="39">
        <f t="shared" ca="1" si="7"/>
        <v>15</v>
      </c>
      <c r="D45" s="39">
        <f t="shared" ca="1" si="7"/>
        <v>7</v>
      </c>
      <c r="E45" s="39">
        <f t="shared" ca="1" si="7"/>
        <v>2</v>
      </c>
      <c r="F45" s="39">
        <f t="shared" ca="1" si="7"/>
        <v>10</v>
      </c>
      <c r="G45" s="39">
        <f t="shared" ca="1" si="7"/>
        <v>1</v>
      </c>
      <c r="H45" s="39">
        <f t="shared" ca="1" si="7"/>
        <v>10</v>
      </c>
      <c r="I45" s="39">
        <f t="shared" ca="1" si="7"/>
        <v>16</v>
      </c>
      <c r="J45" s="39">
        <f t="shared" ca="1" si="7"/>
        <v>12</v>
      </c>
      <c r="K45" s="39">
        <f t="shared" ca="1" si="7"/>
        <v>9</v>
      </c>
      <c r="L45" s="39">
        <f t="shared" ca="1" si="7"/>
        <v>9</v>
      </c>
      <c r="M45" s="39">
        <f t="shared" ca="1" si="7"/>
        <v>8</v>
      </c>
      <c r="N45" s="39">
        <f t="shared" ca="1" si="7"/>
        <v>10</v>
      </c>
      <c r="O45" s="39">
        <f t="shared" ca="1" si="7"/>
        <v>3</v>
      </c>
      <c r="P45" s="39">
        <f t="shared" ca="1" si="7"/>
        <v>4</v>
      </c>
      <c r="Q45" s="39">
        <f t="shared" ref="Q45:Y60" ca="1" si="9">CEILING((RAND()*16),1)</f>
        <v>6</v>
      </c>
      <c r="R45" s="39">
        <f t="shared" ca="1" si="9"/>
        <v>1</v>
      </c>
      <c r="S45" s="39">
        <f t="shared" ca="1" si="9"/>
        <v>12</v>
      </c>
      <c r="T45" s="39">
        <f t="shared" ca="1" si="9"/>
        <v>13</v>
      </c>
      <c r="U45" s="39">
        <f t="shared" ca="1" si="9"/>
        <v>9</v>
      </c>
      <c r="V45" s="39">
        <f t="shared" ca="1" si="9"/>
        <v>9</v>
      </c>
      <c r="W45" s="39">
        <f t="shared" ca="1" si="9"/>
        <v>5</v>
      </c>
      <c r="X45" s="39">
        <f t="shared" ca="1" si="9"/>
        <v>3</v>
      </c>
      <c r="Y45" s="40">
        <f t="shared" ca="1" si="9"/>
        <v>9</v>
      </c>
    </row>
    <row r="46" spans="2:25">
      <c r="B46" s="38">
        <f t="shared" ref="B46:Q60" ca="1" si="10">CEILING((RAND()*16),1)</f>
        <v>8</v>
      </c>
      <c r="C46" s="39">
        <f t="shared" ca="1" si="10"/>
        <v>9</v>
      </c>
      <c r="D46" s="39">
        <f t="shared" ca="1" si="10"/>
        <v>8</v>
      </c>
      <c r="E46" s="39">
        <f t="shared" ca="1" si="10"/>
        <v>9</v>
      </c>
      <c r="F46" s="39">
        <f t="shared" ca="1" si="10"/>
        <v>15</v>
      </c>
      <c r="G46" s="39">
        <f t="shared" ca="1" si="10"/>
        <v>6</v>
      </c>
      <c r="H46" s="39">
        <f t="shared" ca="1" si="10"/>
        <v>2</v>
      </c>
      <c r="I46" s="39">
        <f t="shared" ca="1" si="10"/>
        <v>13</v>
      </c>
      <c r="J46" s="39">
        <f t="shared" ca="1" si="10"/>
        <v>16</v>
      </c>
      <c r="K46" s="39">
        <f t="shared" ca="1" si="10"/>
        <v>5</v>
      </c>
      <c r="L46" s="39">
        <f t="shared" ca="1" si="10"/>
        <v>9</v>
      </c>
      <c r="M46" s="39">
        <f t="shared" ca="1" si="10"/>
        <v>10</v>
      </c>
      <c r="N46" s="39">
        <f t="shared" ca="1" si="10"/>
        <v>8</v>
      </c>
      <c r="O46" s="39">
        <f t="shared" ca="1" si="10"/>
        <v>5</v>
      </c>
      <c r="P46" s="39">
        <f t="shared" ca="1" si="10"/>
        <v>15</v>
      </c>
      <c r="Q46" s="39">
        <f t="shared" ca="1" si="10"/>
        <v>8</v>
      </c>
      <c r="R46" s="39">
        <f t="shared" ca="1" si="9"/>
        <v>12</v>
      </c>
      <c r="S46" s="39">
        <f t="shared" ca="1" si="9"/>
        <v>10</v>
      </c>
      <c r="T46" s="39">
        <f t="shared" ca="1" si="9"/>
        <v>13</v>
      </c>
      <c r="U46" s="39">
        <f t="shared" ca="1" si="9"/>
        <v>14</v>
      </c>
      <c r="V46" s="39">
        <f t="shared" ca="1" si="9"/>
        <v>14</v>
      </c>
      <c r="W46" s="39">
        <f t="shared" ca="1" si="9"/>
        <v>15</v>
      </c>
      <c r="X46" s="39">
        <f t="shared" ca="1" si="9"/>
        <v>11</v>
      </c>
      <c r="Y46" s="40">
        <f t="shared" ca="1" si="9"/>
        <v>6</v>
      </c>
    </row>
    <row r="47" spans="2:25">
      <c r="B47" s="38">
        <f t="shared" ca="1" si="10"/>
        <v>10</v>
      </c>
      <c r="C47" s="39">
        <f t="shared" ca="1" si="10"/>
        <v>12</v>
      </c>
      <c r="D47" s="39">
        <f t="shared" ca="1" si="10"/>
        <v>1</v>
      </c>
      <c r="E47" s="39">
        <f t="shared" ca="1" si="10"/>
        <v>6</v>
      </c>
      <c r="F47" s="39">
        <f t="shared" ca="1" si="10"/>
        <v>16</v>
      </c>
      <c r="G47" s="39">
        <f t="shared" ca="1" si="10"/>
        <v>9</v>
      </c>
      <c r="H47" s="39">
        <f t="shared" ca="1" si="10"/>
        <v>7</v>
      </c>
      <c r="I47" s="39">
        <f t="shared" ca="1" si="10"/>
        <v>14</v>
      </c>
      <c r="J47" s="39">
        <f t="shared" ca="1" si="10"/>
        <v>15</v>
      </c>
      <c r="K47" s="39">
        <f t="shared" ca="1" si="10"/>
        <v>16</v>
      </c>
      <c r="L47" s="39">
        <f t="shared" ca="1" si="10"/>
        <v>2</v>
      </c>
      <c r="M47" s="39">
        <f t="shared" ca="1" si="10"/>
        <v>10</v>
      </c>
      <c r="N47" s="39">
        <f t="shared" ca="1" si="10"/>
        <v>2</v>
      </c>
      <c r="O47" s="39">
        <f t="shared" ca="1" si="10"/>
        <v>5</v>
      </c>
      <c r="P47" s="39">
        <f t="shared" ca="1" si="10"/>
        <v>16</v>
      </c>
      <c r="Q47" s="39">
        <f t="shared" ca="1" si="10"/>
        <v>10</v>
      </c>
      <c r="R47" s="39">
        <f t="shared" ca="1" si="9"/>
        <v>5</v>
      </c>
      <c r="S47" s="39">
        <f t="shared" ca="1" si="9"/>
        <v>7</v>
      </c>
      <c r="T47" s="39">
        <f t="shared" ca="1" si="9"/>
        <v>11</v>
      </c>
      <c r="U47" s="39">
        <f t="shared" ca="1" si="9"/>
        <v>14</v>
      </c>
      <c r="V47" s="39">
        <f t="shared" ca="1" si="9"/>
        <v>10</v>
      </c>
      <c r="W47" s="39">
        <f t="shared" ca="1" si="9"/>
        <v>15</v>
      </c>
      <c r="X47" s="39">
        <f t="shared" ca="1" si="9"/>
        <v>14</v>
      </c>
      <c r="Y47" s="40">
        <f t="shared" ca="1" si="9"/>
        <v>1</v>
      </c>
    </row>
    <row r="48" spans="2:25">
      <c r="B48" s="38">
        <f t="shared" ca="1" si="10"/>
        <v>2</v>
      </c>
      <c r="C48" s="39">
        <f t="shared" ca="1" si="10"/>
        <v>7</v>
      </c>
      <c r="D48" s="39">
        <f t="shared" ca="1" si="10"/>
        <v>11</v>
      </c>
      <c r="E48" s="39">
        <f t="shared" ca="1" si="10"/>
        <v>11</v>
      </c>
      <c r="F48" s="39">
        <f t="shared" ca="1" si="10"/>
        <v>11</v>
      </c>
      <c r="G48" s="39">
        <f t="shared" ca="1" si="10"/>
        <v>3</v>
      </c>
      <c r="H48" s="39">
        <f t="shared" ca="1" si="10"/>
        <v>13</v>
      </c>
      <c r="I48" s="39">
        <f t="shared" ca="1" si="10"/>
        <v>13</v>
      </c>
      <c r="J48" s="39">
        <f t="shared" ca="1" si="10"/>
        <v>6</v>
      </c>
      <c r="K48" s="39">
        <f t="shared" ca="1" si="10"/>
        <v>4</v>
      </c>
      <c r="L48" s="39">
        <f t="shared" ca="1" si="10"/>
        <v>12</v>
      </c>
      <c r="M48" s="39">
        <f t="shared" ca="1" si="10"/>
        <v>5</v>
      </c>
      <c r="N48" s="39">
        <f t="shared" ca="1" si="10"/>
        <v>10</v>
      </c>
      <c r="O48" s="39">
        <f t="shared" ca="1" si="10"/>
        <v>16</v>
      </c>
      <c r="P48" s="39">
        <f t="shared" ca="1" si="10"/>
        <v>15</v>
      </c>
      <c r="Q48" s="39">
        <f t="shared" ca="1" si="10"/>
        <v>7</v>
      </c>
      <c r="R48" s="39">
        <f t="shared" ca="1" si="9"/>
        <v>10</v>
      </c>
      <c r="S48" s="39">
        <f t="shared" ca="1" si="9"/>
        <v>10</v>
      </c>
      <c r="T48" s="39">
        <f t="shared" ca="1" si="9"/>
        <v>11</v>
      </c>
      <c r="U48" s="39">
        <f t="shared" ca="1" si="9"/>
        <v>7</v>
      </c>
      <c r="V48" s="39">
        <f t="shared" ca="1" si="9"/>
        <v>15</v>
      </c>
      <c r="W48" s="39">
        <f t="shared" ca="1" si="9"/>
        <v>2</v>
      </c>
      <c r="X48" s="39">
        <f t="shared" ca="1" si="9"/>
        <v>16</v>
      </c>
      <c r="Y48" s="40">
        <f t="shared" ca="1" si="9"/>
        <v>1</v>
      </c>
    </row>
    <row r="49" spans="2:25">
      <c r="B49" s="38">
        <f t="shared" ca="1" si="10"/>
        <v>6</v>
      </c>
      <c r="C49" s="39">
        <f t="shared" ca="1" si="10"/>
        <v>14</v>
      </c>
      <c r="D49" s="39">
        <f t="shared" ca="1" si="10"/>
        <v>15</v>
      </c>
      <c r="E49" s="39">
        <f t="shared" ca="1" si="10"/>
        <v>1</v>
      </c>
      <c r="F49" s="39">
        <f t="shared" ca="1" si="10"/>
        <v>10</v>
      </c>
      <c r="G49" s="39">
        <f t="shared" ca="1" si="10"/>
        <v>14</v>
      </c>
      <c r="H49" s="39">
        <f t="shared" ca="1" si="10"/>
        <v>3</v>
      </c>
      <c r="I49" s="39">
        <f t="shared" ca="1" si="10"/>
        <v>8</v>
      </c>
      <c r="J49" s="39">
        <f t="shared" ca="1" si="10"/>
        <v>9</v>
      </c>
      <c r="K49" s="39">
        <f t="shared" ca="1" si="10"/>
        <v>13</v>
      </c>
      <c r="L49" s="39">
        <f t="shared" ca="1" si="10"/>
        <v>7</v>
      </c>
      <c r="M49" s="39">
        <f t="shared" ca="1" si="10"/>
        <v>3</v>
      </c>
      <c r="N49" s="39">
        <f t="shared" ca="1" si="10"/>
        <v>7</v>
      </c>
      <c r="O49" s="39">
        <f t="shared" ca="1" si="10"/>
        <v>6</v>
      </c>
      <c r="P49" s="39">
        <f t="shared" ca="1" si="10"/>
        <v>6</v>
      </c>
      <c r="Q49" s="39">
        <f t="shared" ca="1" si="10"/>
        <v>5</v>
      </c>
      <c r="R49" s="39">
        <f t="shared" ca="1" si="9"/>
        <v>10</v>
      </c>
      <c r="S49" s="39">
        <f t="shared" ca="1" si="9"/>
        <v>1</v>
      </c>
      <c r="T49" s="39">
        <f t="shared" ca="1" si="9"/>
        <v>14</v>
      </c>
      <c r="U49" s="39">
        <f t="shared" ca="1" si="9"/>
        <v>15</v>
      </c>
      <c r="V49" s="39">
        <f t="shared" ca="1" si="9"/>
        <v>13</v>
      </c>
      <c r="W49" s="39">
        <f t="shared" ca="1" si="9"/>
        <v>6</v>
      </c>
      <c r="X49" s="39">
        <f t="shared" ca="1" si="9"/>
        <v>8</v>
      </c>
      <c r="Y49" s="40">
        <f t="shared" ca="1" si="9"/>
        <v>1</v>
      </c>
    </row>
    <row r="50" spans="2:25">
      <c r="B50" s="38">
        <f t="shared" ca="1" si="10"/>
        <v>11</v>
      </c>
      <c r="C50" s="39">
        <f t="shared" ca="1" si="10"/>
        <v>10</v>
      </c>
      <c r="D50" s="39">
        <f t="shared" ca="1" si="10"/>
        <v>8</v>
      </c>
      <c r="E50" s="39">
        <f t="shared" ca="1" si="10"/>
        <v>13</v>
      </c>
      <c r="F50" s="39">
        <f t="shared" ca="1" si="10"/>
        <v>4</v>
      </c>
      <c r="G50" s="39">
        <f t="shared" ca="1" si="10"/>
        <v>10</v>
      </c>
      <c r="H50" s="39">
        <f t="shared" ca="1" si="10"/>
        <v>15</v>
      </c>
      <c r="I50" s="39">
        <f t="shared" ca="1" si="10"/>
        <v>1</v>
      </c>
      <c r="J50" s="39">
        <f t="shared" ca="1" si="10"/>
        <v>14</v>
      </c>
      <c r="K50" s="39">
        <f t="shared" ca="1" si="10"/>
        <v>16</v>
      </c>
      <c r="L50" s="39">
        <f t="shared" ca="1" si="10"/>
        <v>1</v>
      </c>
      <c r="M50" s="39">
        <f t="shared" ca="1" si="10"/>
        <v>2</v>
      </c>
      <c r="N50" s="39">
        <f t="shared" ca="1" si="10"/>
        <v>13</v>
      </c>
      <c r="O50" s="39">
        <f t="shared" ca="1" si="10"/>
        <v>4</v>
      </c>
      <c r="P50" s="39">
        <f t="shared" ca="1" si="10"/>
        <v>16</v>
      </c>
      <c r="Q50" s="39">
        <f t="shared" ca="1" si="10"/>
        <v>2</v>
      </c>
      <c r="R50" s="39">
        <f t="shared" ca="1" si="9"/>
        <v>12</v>
      </c>
      <c r="S50" s="39">
        <f t="shared" ca="1" si="9"/>
        <v>11</v>
      </c>
      <c r="T50" s="39">
        <f t="shared" ca="1" si="9"/>
        <v>2</v>
      </c>
      <c r="U50" s="39">
        <f t="shared" ca="1" si="9"/>
        <v>12</v>
      </c>
      <c r="V50" s="39">
        <f t="shared" ca="1" si="9"/>
        <v>14</v>
      </c>
      <c r="W50" s="39">
        <f t="shared" ca="1" si="9"/>
        <v>8</v>
      </c>
      <c r="X50" s="39">
        <f t="shared" ca="1" si="9"/>
        <v>15</v>
      </c>
      <c r="Y50" s="40">
        <f t="shared" ca="1" si="9"/>
        <v>1</v>
      </c>
    </row>
    <row r="51" spans="2:25">
      <c r="B51" s="38">
        <f t="shared" ca="1" si="10"/>
        <v>4</v>
      </c>
      <c r="C51" s="39">
        <f t="shared" ca="1" si="10"/>
        <v>6</v>
      </c>
      <c r="D51" s="39">
        <f t="shared" ca="1" si="10"/>
        <v>8</v>
      </c>
      <c r="E51" s="39">
        <f t="shared" ca="1" si="10"/>
        <v>6</v>
      </c>
      <c r="F51" s="39">
        <f t="shared" ca="1" si="10"/>
        <v>8</v>
      </c>
      <c r="G51" s="39">
        <f t="shared" ca="1" si="10"/>
        <v>1</v>
      </c>
      <c r="H51" s="39">
        <f t="shared" ca="1" si="10"/>
        <v>10</v>
      </c>
      <c r="I51" s="39">
        <f t="shared" ca="1" si="10"/>
        <v>5</v>
      </c>
      <c r="J51" s="39">
        <f t="shared" ca="1" si="10"/>
        <v>9</v>
      </c>
      <c r="K51" s="39">
        <f t="shared" ca="1" si="10"/>
        <v>10</v>
      </c>
      <c r="L51" s="39">
        <f t="shared" ca="1" si="10"/>
        <v>3</v>
      </c>
      <c r="M51" s="39">
        <f t="shared" ca="1" si="10"/>
        <v>1</v>
      </c>
      <c r="N51" s="39">
        <f t="shared" ca="1" si="10"/>
        <v>15</v>
      </c>
      <c r="O51" s="39">
        <f t="shared" ca="1" si="10"/>
        <v>1</v>
      </c>
      <c r="P51" s="39">
        <f t="shared" ca="1" si="10"/>
        <v>5</v>
      </c>
      <c r="Q51" s="39">
        <f t="shared" ca="1" si="10"/>
        <v>12</v>
      </c>
      <c r="R51" s="39">
        <f t="shared" ca="1" si="9"/>
        <v>11</v>
      </c>
      <c r="S51" s="39">
        <f t="shared" ca="1" si="9"/>
        <v>15</v>
      </c>
      <c r="T51" s="39">
        <f t="shared" ca="1" si="9"/>
        <v>14</v>
      </c>
      <c r="U51" s="39">
        <f t="shared" ca="1" si="9"/>
        <v>13</v>
      </c>
      <c r="V51" s="39">
        <f t="shared" ca="1" si="9"/>
        <v>10</v>
      </c>
      <c r="W51" s="39">
        <f t="shared" ca="1" si="9"/>
        <v>10</v>
      </c>
      <c r="X51" s="39">
        <f t="shared" ca="1" si="9"/>
        <v>11</v>
      </c>
      <c r="Y51" s="40">
        <f t="shared" ca="1" si="9"/>
        <v>4</v>
      </c>
    </row>
    <row r="52" spans="2:25">
      <c r="B52" s="38">
        <f t="shared" ca="1" si="10"/>
        <v>9</v>
      </c>
      <c r="C52" s="39">
        <f t="shared" ca="1" si="10"/>
        <v>5</v>
      </c>
      <c r="D52" s="39">
        <f t="shared" ca="1" si="10"/>
        <v>6</v>
      </c>
      <c r="E52" s="39">
        <f t="shared" ca="1" si="10"/>
        <v>10</v>
      </c>
      <c r="F52" s="39">
        <f t="shared" ca="1" si="10"/>
        <v>9</v>
      </c>
      <c r="G52" s="39">
        <f t="shared" ca="1" si="10"/>
        <v>1</v>
      </c>
      <c r="H52" s="39">
        <f t="shared" ca="1" si="10"/>
        <v>10</v>
      </c>
      <c r="I52" s="39">
        <f t="shared" ca="1" si="10"/>
        <v>15</v>
      </c>
      <c r="J52" s="39">
        <f t="shared" ca="1" si="10"/>
        <v>9</v>
      </c>
      <c r="K52" s="39">
        <f t="shared" ca="1" si="10"/>
        <v>3</v>
      </c>
      <c r="L52" s="39">
        <f t="shared" ca="1" si="10"/>
        <v>15</v>
      </c>
      <c r="M52" s="39">
        <f t="shared" ca="1" si="10"/>
        <v>7</v>
      </c>
      <c r="N52" s="39">
        <f t="shared" ca="1" si="10"/>
        <v>10</v>
      </c>
      <c r="O52" s="39">
        <f t="shared" ca="1" si="10"/>
        <v>3</v>
      </c>
      <c r="P52" s="39">
        <f t="shared" ca="1" si="10"/>
        <v>16</v>
      </c>
      <c r="Q52" s="39">
        <f t="shared" ca="1" si="10"/>
        <v>8</v>
      </c>
      <c r="R52" s="39">
        <f t="shared" ca="1" si="9"/>
        <v>4</v>
      </c>
      <c r="S52" s="39">
        <f t="shared" ca="1" si="9"/>
        <v>6</v>
      </c>
      <c r="T52" s="39">
        <f t="shared" ca="1" si="9"/>
        <v>10</v>
      </c>
      <c r="U52" s="39">
        <f t="shared" ca="1" si="9"/>
        <v>8</v>
      </c>
      <c r="V52" s="39">
        <f t="shared" ca="1" si="9"/>
        <v>10</v>
      </c>
      <c r="W52" s="39">
        <f t="shared" ca="1" si="9"/>
        <v>6</v>
      </c>
      <c r="X52" s="39">
        <f t="shared" ca="1" si="9"/>
        <v>5</v>
      </c>
      <c r="Y52" s="40">
        <f t="shared" ca="1" si="9"/>
        <v>11</v>
      </c>
    </row>
    <row r="53" spans="2:25">
      <c r="B53" s="38">
        <f t="shared" ca="1" si="10"/>
        <v>9</v>
      </c>
      <c r="C53" s="39">
        <f t="shared" ca="1" si="10"/>
        <v>11</v>
      </c>
      <c r="D53" s="39">
        <f t="shared" ca="1" si="10"/>
        <v>14</v>
      </c>
      <c r="E53" s="39">
        <f t="shared" ca="1" si="10"/>
        <v>7</v>
      </c>
      <c r="F53" s="39">
        <f t="shared" ca="1" si="10"/>
        <v>16</v>
      </c>
      <c r="G53" s="39">
        <f t="shared" ca="1" si="10"/>
        <v>9</v>
      </c>
      <c r="H53" s="39">
        <f t="shared" ca="1" si="10"/>
        <v>5</v>
      </c>
      <c r="I53" s="39">
        <f t="shared" ca="1" si="10"/>
        <v>12</v>
      </c>
      <c r="J53" s="39">
        <f t="shared" ca="1" si="10"/>
        <v>13</v>
      </c>
      <c r="K53" s="39">
        <f t="shared" ca="1" si="10"/>
        <v>16</v>
      </c>
      <c r="L53" s="39">
        <f t="shared" ca="1" si="10"/>
        <v>7</v>
      </c>
      <c r="M53" s="39">
        <f t="shared" ca="1" si="10"/>
        <v>9</v>
      </c>
      <c r="N53" s="39">
        <f t="shared" ca="1" si="10"/>
        <v>5</v>
      </c>
      <c r="O53" s="39">
        <f t="shared" ca="1" si="10"/>
        <v>14</v>
      </c>
      <c r="P53" s="39">
        <f t="shared" ca="1" si="10"/>
        <v>1</v>
      </c>
      <c r="Q53" s="39">
        <f t="shared" ca="1" si="10"/>
        <v>3</v>
      </c>
      <c r="R53" s="39">
        <f t="shared" ca="1" si="9"/>
        <v>15</v>
      </c>
      <c r="S53" s="39">
        <f t="shared" ca="1" si="9"/>
        <v>14</v>
      </c>
      <c r="T53" s="39">
        <f t="shared" ca="1" si="9"/>
        <v>4</v>
      </c>
      <c r="U53" s="39">
        <f t="shared" ca="1" si="9"/>
        <v>11</v>
      </c>
      <c r="V53" s="39">
        <f t="shared" ca="1" si="9"/>
        <v>4</v>
      </c>
      <c r="W53" s="39">
        <f t="shared" ca="1" si="9"/>
        <v>1</v>
      </c>
      <c r="X53" s="39">
        <f t="shared" ca="1" si="9"/>
        <v>16</v>
      </c>
      <c r="Y53" s="40">
        <f t="shared" ca="1" si="9"/>
        <v>8</v>
      </c>
    </row>
    <row r="54" spans="2:25">
      <c r="B54" s="38">
        <f t="shared" ca="1" si="10"/>
        <v>4</v>
      </c>
      <c r="C54" s="39">
        <f t="shared" ca="1" si="10"/>
        <v>10</v>
      </c>
      <c r="D54" s="39">
        <f t="shared" ca="1" si="10"/>
        <v>5</v>
      </c>
      <c r="E54" s="39">
        <f t="shared" ca="1" si="10"/>
        <v>3</v>
      </c>
      <c r="F54" s="39">
        <f t="shared" ca="1" si="10"/>
        <v>7</v>
      </c>
      <c r="G54" s="39">
        <f t="shared" ca="1" si="10"/>
        <v>15</v>
      </c>
      <c r="H54" s="39">
        <f t="shared" ca="1" si="10"/>
        <v>2</v>
      </c>
      <c r="I54" s="39">
        <f t="shared" ca="1" si="10"/>
        <v>15</v>
      </c>
      <c r="J54" s="39">
        <f t="shared" ca="1" si="10"/>
        <v>16</v>
      </c>
      <c r="K54" s="39">
        <f t="shared" ca="1" si="10"/>
        <v>12</v>
      </c>
      <c r="L54" s="39">
        <f t="shared" ca="1" si="10"/>
        <v>9</v>
      </c>
      <c r="M54" s="39">
        <f t="shared" ca="1" si="10"/>
        <v>10</v>
      </c>
      <c r="N54" s="39">
        <f t="shared" ca="1" si="10"/>
        <v>4</v>
      </c>
      <c r="O54" s="39">
        <f t="shared" ca="1" si="10"/>
        <v>11</v>
      </c>
      <c r="P54" s="39">
        <f t="shared" ca="1" si="10"/>
        <v>1</v>
      </c>
      <c r="Q54" s="39">
        <f t="shared" ca="1" si="10"/>
        <v>6</v>
      </c>
      <c r="R54" s="39">
        <f t="shared" ca="1" si="9"/>
        <v>15</v>
      </c>
      <c r="S54" s="39">
        <f t="shared" ca="1" si="9"/>
        <v>15</v>
      </c>
      <c r="T54" s="39">
        <f t="shared" ca="1" si="9"/>
        <v>13</v>
      </c>
      <c r="U54" s="39">
        <f t="shared" ca="1" si="9"/>
        <v>6</v>
      </c>
      <c r="V54" s="39">
        <f t="shared" ca="1" si="9"/>
        <v>1</v>
      </c>
      <c r="W54" s="39">
        <f t="shared" ca="1" si="9"/>
        <v>2</v>
      </c>
      <c r="X54" s="39">
        <f t="shared" ca="1" si="9"/>
        <v>4</v>
      </c>
      <c r="Y54" s="40">
        <f t="shared" ca="1" si="9"/>
        <v>14</v>
      </c>
    </row>
    <row r="55" spans="2:25">
      <c r="B55" s="38">
        <f t="shared" ca="1" si="10"/>
        <v>15</v>
      </c>
      <c r="C55" s="39">
        <f t="shared" ca="1" si="10"/>
        <v>3</v>
      </c>
      <c r="D55" s="39">
        <f t="shared" ca="1" si="10"/>
        <v>15</v>
      </c>
      <c r="E55" s="39">
        <f t="shared" ca="1" si="10"/>
        <v>4</v>
      </c>
      <c r="F55" s="39">
        <f t="shared" ca="1" si="10"/>
        <v>2</v>
      </c>
      <c r="G55" s="39">
        <f t="shared" ca="1" si="10"/>
        <v>2</v>
      </c>
      <c r="H55" s="39">
        <f t="shared" ca="1" si="10"/>
        <v>4</v>
      </c>
      <c r="I55" s="39">
        <f t="shared" ca="1" si="10"/>
        <v>3</v>
      </c>
      <c r="J55" s="39">
        <f t="shared" ca="1" si="10"/>
        <v>1</v>
      </c>
      <c r="K55" s="39">
        <f t="shared" ca="1" si="10"/>
        <v>6</v>
      </c>
      <c r="L55" s="39">
        <f t="shared" ca="1" si="10"/>
        <v>10</v>
      </c>
      <c r="M55" s="39">
        <f t="shared" ca="1" si="10"/>
        <v>12</v>
      </c>
      <c r="N55" s="39">
        <f t="shared" ca="1" si="10"/>
        <v>13</v>
      </c>
      <c r="O55" s="39">
        <f t="shared" ca="1" si="10"/>
        <v>8</v>
      </c>
      <c r="P55" s="39">
        <f t="shared" ca="1" si="10"/>
        <v>13</v>
      </c>
      <c r="Q55" s="39">
        <f t="shared" ca="1" si="10"/>
        <v>12</v>
      </c>
      <c r="R55" s="39">
        <f t="shared" ca="1" si="9"/>
        <v>9</v>
      </c>
      <c r="S55" s="39">
        <f t="shared" ca="1" si="9"/>
        <v>6</v>
      </c>
      <c r="T55" s="39">
        <f t="shared" ca="1" si="9"/>
        <v>3</v>
      </c>
      <c r="U55" s="39">
        <f t="shared" ca="1" si="9"/>
        <v>14</v>
      </c>
      <c r="V55" s="39">
        <f t="shared" ca="1" si="9"/>
        <v>12</v>
      </c>
      <c r="W55" s="39">
        <f t="shared" ca="1" si="9"/>
        <v>9</v>
      </c>
      <c r="X55" s="39">
        <f t="shared" ca="1" si="9"/>
        <v>8</v>
      </c>
      <c r="Y55" s="40">
        <f t="shared" ca="1" si="9"/>
        <v>7</v>
      </c>
    </row>
    <row r="56" spans="2:25">
      <c r="B56" s="38">
        <f t="shared" ca="1" si="10"/>
        <v>16</v>
      </c>
      <c r="C56" s="39">
        <f t="shared" ca="1" si="10"/>
        <v>1</v>
      </c>
      <c r="D56" s="39">
        <f t="shared" ca="1" si="10"/>
        <v>2</v>
      </c>
      <c r="E56" s="39">
        <f t="shared" ca="1" si="10"/>
        <v>14</v>
      </c>
      <c r="F56" s="39">
        <f t="shared" ca="1" si="10"/>
        <v>5</v>
      </c>
      <c r="G56" s="39">
        <f t="shared" ca="1" si="10"/>
        <v>11</v>
      </c>
      <c r="H56" s="39">
        <f t="shared" ca="1" si="10"/>
        <v>1</v>
      </c>
      <c r="I56" s="39">
        <f t="shared" ca="1" si="10"/>
        <v>15</v>
      </c>
      <c r="J56" s="39">
        <f t="shared" ca="1" si="10"/>
        <v>4</v>
      </c>
      <c r="K56" s="39">
        <f t="shared" ca="1" si="10"/>
        <v>3</v>
      </c>
      <c r="L56" s="39">
        <f t="shared" ca="1" si="10"/>
        <v>5</v>
      </c>
      <c r="M56" s="39">
        <f t="shared" ca="1" si="10"/>
        <v>4</v>
      </c>
      <c r="N56" s="39">
        <f t="shared" ca="1" si="10"/>
        <v>7</v>
      </c>
      <c r="O56" s="39">
        <f t="shared" ca="1" si="10"/>
        <v>4</v>
      </c>
      <c r="P56" s="39">
        <f t="shared" ca="1" si="10"/>
        <v>1</v>
      </c>
      <c r="Q56" s="39">
        <f t="shared" ca="1" si="10"/>
        <v>7</v>
      </c>
      <c r="R56" s="39">
        <f t="shared" ca="1" si="9"/>
        <v>13</v>
      </c>
      <c r="S56" s="39">
        <f t="shared" ca="1" si="9"/>
        <v>6</v>
      </c>
      <c r="T56" s="39">
        <f t="shared" ca="1" si="9"/>
        <v>6</v>
      </c>
      <c r="U56" s="39">
        <f t="shared" ca="1" si="9"/>
        <v>13</v>
      </c>
      <c r="V56" s="39">
        <f t="shared" ca="1" si="9"/>
        <v>16</v>
      </c>
      <c r="W56" s="39">
        <f t="shared" ca="1" si="9"/>
        <v>14</v>
      </c>
      <c r="X56" s="39">
        <f t="shared" ca="1" si="9"/>
        <v>2</v>
      </c>
      <c r="Y56" s="40">
        <f t="shared" ca="1" si="9"/>
        <v>6</v>
      </c>
    </row>
    <row r="57" spans="2:25">
      <c r="B57" s="38">
        <f t="shared" ca="1" si="10"/>
        <v>8</v>
      </c>
      <c r="C57" s="39">
        <f t="shared" ca="1" si="10"/>
        <v>11</v>
      </c>
      <c r="D57" s="39">
        <f t="shared" ca="1" si="10"/>
        <v>6</v>
      </c>
      <c r="E57" s="39">
        <f t="shared" ca="1" si="10"/>
        <v>13</v>
      </c>
      <c r="F57" s="39">
        <f t="shared" ca="1" si="10"/>
        <v>3</v>
      </c>
      <c r="G57" s="39">
        <f t="shared" ca="1" si="10"/>
        <v>13</v>
      </c>
      <c r="H57" s="39">
        <f t="shared" ca="1" si="10"/>
        <v>16</v>
      </c>
      <c r="I57" s="39">
        <f t="shared" ca="1" si="10"/>
        <v>2</v>
      </c>
      <c r="J57" s="39">
        <f t="shared" ca="1" si="10"/>
        <v>10</v>
      </c>
      <c r="K57" s="39">
        <f t="shared" ca="1" si="10"/>
        <v>13</v>
      </c>
      <c r="L57" s="39">
        <f t="shared" ca="1" si="10"/>
        <v>13</v>
      </c>
      <c r="M57" s="39">
        <f t="shared" ca="1" si="10"/>
        <v>4</v>
      </c>
      <c r="N57" s="39">
        <f t="shared" ca="1" si="10"/>
        <v>6</v>
      </c>
      <c r="O57" s="39">
        <f t="shared" ca="1" si="10"/>
        <v>5</v>
      </c>
      <c r="P57" s="39">
        <f t="shared" ca="1" si="10"/>
        <v>4</v>
      </c>
      <c r="Q57" s="39">
        <f t="shared" ca="1" si="10"/>
        <v>3</v>
      </c>
      <c r="R57" s="39">
        <f t="shared" ca="1" si="9"/>
        <v>9</v>
      </c>
      <c r="S57" s="39">
        <f t="shared" ca="1" si="9"/>
        <v>15</v>
      </c>
      <c r="T57" s="39">
        <f t="shared" ca="1" si="9"/>
        <v>4</v>
      </c>
      <c r="U57" s="39">
        <f t="shared" ca="1" si="9"/>
        <v>3</v>
      </c>
      <c r="V57" s="39">
        <f t="shared" ca="1" si="9"/>
        <v>5</v>
      </c>
      <c r="W57" s="39">
        <f t="shared" ca="1" si="9"/>
        <v>11</v>
      </c>
      <c r="X57" s="39">
        <f t="shared" ca="1" si="9"/>
        <v>15</v>
      </c>
      <c r="Y57" s="40">
        <f t="shared" ca="1" si="9"/>
        <v>9</v>
      </c>
    </row>
    <row r="58" spans="2:25">
      <c r="B58" s="38">
        <f t="shared" ca="1" si="10"/>
        <v>14</v>
      </c>
      <c r="C58" s="39">
        <f t="shared" ca="1" si="10"/>
        <v>11</v>
      </c>
      <c r="D58" s="39">
        <f t="shared" ca="1" si="10"/>
        <v>10</v>
      </c>
      <c r="E58" s="39">
        <f t="shared" ca="1" si="10"/>
        <v>8</v>
      </c>
      <c r="F58" s="39">
        <f t="shared" ca="1" si="10"/>
        <v>2</v>
      </c>
      <c r="G58" s="39">
        <f t="shared" ca="1" si="10"/>
        <v>14</v>
      </c>
      <c r="H58" s="39">
        <f t="shared" ca="1" si="10"/>
        <v>12</v>
      </c>
      <c r="I58" s="39">
        <f t="shared" ca="1" si="10"/>
        <v>11</v>
      </c>
      <c r="J58" s="39">
        <f t="shared" ca="1" si="10"/>
        <v>6</v>
      </c>
      <c r="K58" s="39">
        <f t="shared" ca="1" si="10"/>
        <v>1</v>
      </c>
      <c r="L58" s="39">
        <f t="shared" ca="1" si="10"/>
        <v>11</v>
      </c>
      <c r="M58" s="39">
        <f t="shared" ca="1" si="10"/>
        <v>5</v>
      </c>
      <c r="N58" s="39">
        <f t="shared" ca="1" si="10"/>
        <v>12</v>
      </c>
      <c r="O58" s="39">
        <f t="shared" ca="1" si="10"/>
        <v>7</v>
      </c>
      <c r="P58" s="39">
        <f t="shared" ca="1" si="10"/>
        <v>9</v>
      </c>
      <c r="Q58" s="39">
        <f t="shared" ca="1" si="10"/>
        <v>14</v>
      </c>
      <c r="R58" s="39">
        <f t="shared" ca="1" si="9"/>
        <v>4</v>
      </c>
      <c r="S58" s="39">
        <f t="shared" ca="1" si="9"/>
        <v>11</v>
      </c>
      <c r="T58" s="39">
        <f t="shared" ca="1" si="9"/>
        <v>10</v>
      </c>
      <c r="U58" s="39">
        <f t="shared" ca="1" si="9"/>
        <v>1</v>
      </c>
      <c r="V58" s="39">
        <f t="shared" ca="1" si="9"/>
        <v>8</v>
      </c>
      <c r="W58" s="39">
        <f t="shared" ca="1" si="9"/>
        <v>2</v>
      </c>
      <c r="X58" s="39">
        <f t="shared" ca="1" si="9"/>
        <v>2</v>
      </c>
      <c r="Y58" s="40">
        <f t="shared" ca="1" si="9"/>
        <v>2</v>
      </c>
    </row>
    <row r="59" spans="2:25">
      <c r="B59" s="38">
        <f t="shared" ca="1" si="10"/>
        <v>15</v>
      </c>
      <c r="C59" s="39">
        <f t="shared" ca="1" si="10"/>
        <v>6</v>
      </c>
      <c r="D59" s="39">
        <f t="shared" ca="1" si="10"/>
        <v>15</v>
      </c>
      <c r="E59" s="39">
        <f t="shared" ca="1" si="10"/>
        <v>15</v>
      </c>
      <c r="F59" s="39">
        <f t="shared" ca="1" si="10"/>
        <v>12</v>
      </c>
      <c r="G59" s="39">
        <f t="shared" ca="1" si="10"/>
        <v>6</v>
      </c>
      <c r="H59" s="39">
        <f t="shared" ca="1" si="10"/>
        <v>8</v>
      </c>
      <c r="I59" s="39">
        <f t="shared" ca="1" si="10"/>
        <v>9</v>
      </c>
      <c r="J59" s="39">
        <f t="shared" ca="1" si="10"/>
        <v>11</v>
      </c>
      <c r="K59" s="39">
        <f t="shared" ca="1" si="10"/>
        <v>3</v>
      </c>
      <c r="L59" s="39">
        <f t="shared" ca="1" si="10"/>
        <v>1</v>
      </c>
      <c r="M59" s="39">
        <f t="shared" ca="1" si="10"/>
        <v>3</v>
      </c>
      <c r="N59" s="39">
        <f t="shared" ca="1" si="10"/>
        <v>9</v>
      </c>
      <c r="O59" s="39">
        <f t="shared" ca="1" si="10"/>
        <v>6</v>
      </c>
      <c r="P59" s="39">
        <f t="shared" ca="1" si="10"/>
        <v>3</v>
      </c>
      <c r="Q59" s="39">
        <f t="shared" ca="1" si="10"/>
        <v>6</v>
      </c>
      <c r="R59" s="39">
        <f t="shared" ca="1" si="9"/>
        <v>3</v>
      </c>
      <c r="S59" s="39">
        <f t="shared" ca="1" si="9"/>
        <v>9</v>
      </c>
      <c r="T59" s="39">
        <f t="shared" ca="1" si="9"/>
        <v>15</v>
      </c>
      <c r="U59" s="39">
        <f t="shared" ca="1" si="9"/>
        <v>11</v>
      </c>
      <c r="V59" s="39">
        <f t="shared" ca="1" si="9"/>
        <v>14</v>
      </c>
      <c r="W59" s="39">
        <f t="shared" ca="1" si="9"/>
        <v>6</v>
      </c>
      <c r="X59" s="39">
        <f t="shared" ca="1" si="9"/>
        <v>6</v>
      </c>
      <c r="Y59" s="40">
        <f t="shared" ca="1" si="9"/>
        <v>3</v>
      </c>
    </row>
    <row r="60" spans="2:25" ht="14" thickBot="1">
      <c r="B60" s="41">
        <f t="shared" ca="1" si="10"/>
        <v>7</v>
      </c>
      <c r="C60" s="42">
        <f t="shared" ca="1" si="10"/>
        <v>15</v>
      </c>
      <c r="D60" s="42">
        <f t="shared" ca="1" si="10"/>
        <v>6</v>
      </c>
      <c r="E60" s="42">
        <f t="shared" ca="1" si="10"/>
        <v>1</v>
      </c>
      <c r="F60" s="42">
        <f t="shared" ca="1" si="10"/>
        <v>14</v>
      </c>
      <c r="G60" s="42">
        <f t="shared" ca="1" si="10"/>
        <v>6</v>
      </c>
      <c r="H60" s="42">
        <f t="shared" ca="1" si="10"/>
        <v>8</v>
      </c>
      <c r="I60" s="42">
        <f t="shared" ca="1" si="10"/>
        <v>14</v>
      </c>
      <c r="J60" s="42">
        <f t="shared" ca="1" si="10"/>
        <v>13</v>
      </c>
      <c r="K60" s="42">
        <f t="shared" ca="1" si="10"/>
        <v>3</v>
      </c>
      <c r="L60" s="42">
        <f t="shared" ca="1" si="10"/>
        <v>4</v>
      </c>
      <c r="M60" s="42">
        <f t="shared" ca="1" si="10"/>
        <v>4</v>
      </c>
      <c r="N60" s="42">
        <f t="shared" ca="1" si="10"/>
        <v>11</v>
      </c>
      <c r="O60" s="42">
        <f t="shared" ca="1" si="10"/>
        <v>13</v>
      </c>
      <c r="P60" s="42">
        <f t="shared" ca="1" si="10"/>
        <v>7</v>
      </c>
      <c r="Q60" s="42">
        <f t="shared" ca="1" si="10"/>
        <v>6</v>
      </c>
      <c r="R60" s="42">
        <f t="shared" ca="1" si="9"/>
        <v>16</v>
      </c>
      <c r="S60" s="42">
        <f t="shared" ca="1" si="9"/>
        <v>9</v>
      </c>
      <c r="T60" s="42">
        <f t="shared" ca="1" si="9"/>
        <v>15</v>
      </c>
      <c r="U60" s="42">
        <f t="shared" ca="1" si="9"/>
        <v>5</v>
      </c>
      <c r="V60" s="42">
        <f t="shared" ca="1" si="9"/>
        <v>7</v>
      </c>
      <c r="W60" s="42">
        <f t="shared" ca="1" si="9"/>
        <v>8</v>
      </c>
      <c r="X60" s="42">
        <f t="shared" ca="1" si="9"/>
        <v>14</v>
      </c>
      <c r="Y60" s="43">
        <f t="shared" ca="1" si="9"/>
        <v>16</v>
      </c>
    </row>
  </sheetData>
  <sheetProtection password="C79A" sheet="1"/>
  <mergeCells count="1">
    <mergeCell ref="AA11:AH14"/>
  </mergeCells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54D0-B076-F746-AD28-853070F41E28}">
  <dimension ref="B2:G204"/>
  <sheetViews>
    <sheetView workbookViewId="0">
      <selection activeCell="D7" sqref="D7"/>
    </sheetView>
  </sheetViews>
  <sheetFormatPr baseColWidth="10" defaultColWidth="9.1640625" defaultRowHeight="13"/>
  <cols>
    <col min="1" max="1" width="3.1640625" style="96" customWidth="1"/>
    <col min="2" max="2" width="19.5" style="96" customWidth="1"/>
    <col min="3" max="3" width="11.6640625" style="96" customWidth="1"/>
    <col min="4" max="4" width="41.6640625" style="96" customWidth="1"/>
    <col min="5" max="5" width="11.5" style="96" customWidth="1"/>
    <col min="6" max="7" width="17.5" style="96" customWidth="1"/>
    <col min="8" max="16384" width="9.1640625" style="96"/>
  </cols>
  <sheetData>
    <row r="2" spans="2:7" ht="16">
      <c r="B2" s="104" t="s">
        <v>0</v>
      </c>
    </row>
    <row r="4" spans="2:7">
      <c r="B4" s="103" t="s">
        <v>1</v>
      </c>
      <c r="C4" s="102">
        <f>153.5</f>
        <v>153.5</v>
      </c>
      <c r="D4" s="101"/>
      <c r="E4" s="100" t="s">
        <v>2</v>
      </c>
      <c r="F4" s="100" t="s">
        <v>3</v>
      </c>
      <c r="G4" s="100" t="s">
        <v>46</v>
      </c>
    </row>
    <row r="5" spans="2:7">
      <c r="B5" s="99" t="s">
        <v>47</v>
      </c>
      <c r="C5" s="98">
        <v>25.375</v>
      </c>
      <c r="E5" s="97">
        <v>0.01</v>
      </c>
      <c r="F5" s="128">
        <f>CEILING($C$4*10*E5,0.5)</f>
        <v>15.5</v>
      </c>
      <c r="G5" s="129">
        <f>ROUND(F5/$C$5,1)</f>
        <v>0.6</v>
      </c>
    </row>
    <row r="6" spans="2:7">
      <c r="E6" s="97">
        <v>0.02</v>
      </c>
      <c r="F6" s="128">
        <f t="shared" ref="F6:F69" si="0">CEILING($C$4*10*E6,0.5)</f>
        <v>31</v>
      </c>
      <c r="G6" s="129">
        <f t="shared" ref="G6:G69" si="1">ROUND(F6/$C$5,1)</f>
        <v>1.2</v>
      </c>
    </row>
    <row r="7" spans="2:7">
      <c r="E7" s="97">
        <v>0.03</v>
      </c>
      <c r="F7" s="128">
        <f t="shared" si="0"/>
        <v>46.5</v>
      </c>
      <c r="G7" s="129">
        <f t="shared" si="1"/>
        <v>1.8</v>
      </c>
    </row>
    <row r="8" spans="2:7">
      <c r="E8" s="97">
        <v>0.04</v>
      </c>
      <c r="F8" s="128">
        <f t="shared" si="0"/>
        <v>61.5</v>
      </c>
      <c r="G8" s="129">
        <f t="shared" si="1"/>
        <v>2.4</v>
      </c>
    </row>
    <row r="9" spans="2:7">
      <c r="E9" s="97">
        <v>0.05</v>
      </c>
      <c r="F9" s="128">
        <f t="shared" si="0"/>
        <v>77</v>
      </c>
      <c r="G9" s="129">
        <f t="shared" si="1"/>
        <v>3</v>
      </c>
    </row>
    <row r="10" spans="2:7">
      <c r="E10" s="97">
        <v>0.06</v>
      </c>
      <c r="F10" s="128">
        <f t="shared" si="0"/>
        <v>92.5</v>
      </c>
      <c r="G10" s="129">
        <f t="shared" si="1"/>
        <v>3.6</v>
      </c>
    </row>
    <row r="11" spans="2:7">
      <c r="E11" s="97">
        <v>7.0000000000000007E-2</v>
      </c>
      <c r="F11" s="128">
        <f t="shared" si="0"/>
        <v>107.5</v>
      </c>
      <c r="G11" s="129">
        <f t="shared" si="1"/>
        <v>4.2</v>
      </c>
    </row>
    <row r="12" spans="2:7">
      <c r="E12" s="97">
        <v>0.08</v>
      </c>
      <c r="F12" s="128">
        <f t="shared" si="0"/>
        <v>123</v>
      </c>
      <c r="G12" s="129">
        <f t="shared" si="1"/>
        <v>4.8</v>
      </c>
    </row>
    <row r="13" spans="2:7">
      <c r="E13" s="97">
        <v>0.09</v>
      </c>
      <c r="F13" s="128">
        <f t="shared" si="0"/>
        <v>138.5</v>
      </c>
      <c r="G13" s="129">
        <f t="shared" si="1"/>
        <v>5.5</v>
      </c>
    </row>
    <row r="14" spans="2:7">
      <c r="E14" s="97">
        <v>0.1</v>
      </c>
      <c r="F14" s="128">
        <f t="shared" si="0"/>
        <v>153.5</v>
      </c>
      <c r="G14" s="129">
        <f t="shared" si="1"/>
        <v>6</v>
      </c>
    </row>
    <row r="15" spans="2:7">
      <c r="E15" s="97">
        <v>0.11</v>
      </c>
      <c r="F15" s="128">
        <f t="shared" si="0"/>
        <v>169</v>
      </c>
      <c r="G15" s="129">
        <f t="shared" si="1"/>
        <v>6.7</v>
      </c>
    </row>
    <row r="16" spans="2:7">
      <c r="E16" s="97">
        <v>0.12</v>
      </c>
      <c r="F16" s="128">
        <f t="shared" si="0"/>
        <v>184.5</v>
      </c>
      <c r="G16" s="129">
        <f t="shared" si="1"/>
        <v>7.3</v>
      </c>
    </row>
    <row r="17" spans="5:7">
      <c r="E17" s="97">
        <v>0.13</v>
      </c>
      <c r="F17" s="128">
        <f t="shared" si="0"/>
        <v>200</v>
      </c>
      <c r="G17" s="129">
        <f t="shared" si="1"/>
        <v>7.9</v>
      </c>
    </row>
    <row r="18" spans="5:7">
      <c r="E18" s="97">
        <v>0.14000000000000001</v>
      </c>
      <c r="F18" s="128">
        <f t="shared" si="0"/>
        <v>215</v>
      </c>
      <c r="G18" s="129">
        <f t="shared" si="1"/>
        <v>8.5</v>
      </c>
    </row>
    <row r="19" spans="5:7">
      <c r="E19" s="97">
        <v>0.15</v>
      </c>
      <c r="F19" s="128">
        <f t="shared" si="0"/>
        <v>230.5</v>
      </c>
      <c r="G19" s="129">
        <f t="shared" si="1"/>
        <v>9.1</v>
      </c>
    </row>
    <row r="20" spans="5:7">
      <c r="E20" s="97">
        <v>0.16</v>
      </c>
      <c r="F20" s="128">
        <f t="shared" si="0"/>
        <v>246</v>
      </c>
      <c r="G20" s="129">
        <f t="shared" si="1"/>
        <v>9.6999999999999993</v>
      </c>
    </row>
    <row r="21" spans="5:7">
      <c r="E21" s="97">
        <v>0.17</v>
      </c>
      <c r="F21" s="128">
        <f t="shared" si="0"/>
        <v>261</v>
      </c>
      <c r="G21" s="129">
        <f t="shared" si="1"/>
        <v>10.3</v>
      </c>
    </row>
    <row r="22" spans="5:7">
      <c r="E22" s="97">
        <v>0.18</v>
      </c>
      <c r="F22" s="128">
        <f t="shared" si="0"/>
        <v>276.5</v>
      </c>
      <c r="G22" s="129">
        <f t="shared" si="1"/>
        <v>10.9</v>
      </c>
    </row>
    <row r="23" spans="5:7">
      <c r="E23" s="97">
        <v>0.19</v>
      </c>
      <c r="F23" s="128">
        <f t="shared" si="0"/>
        <v>292</v>
      </c>
      <c r="G23" s="129">
        <f t="shared" si="1"/>
        <v>11.5</v>
      </c>
    </row>
    <row r="24" spans="5:7">
      <c r="E24" s="97">
        <v>0.2</v>
      </c>
      <c r="F24" s="128">
        <f t="shared" si="0"/>
        <v>307</v>
      </c>
      <c r="G24" s="129">
        <f t="shared" si="1"/>
        <v>12.1</v>
      </c>
    </row>
    <row r="25" spans="5:7">
      <c r="E25" s="97">
        <v>0.21</v>
      </c>
      <c r="F25" s="128">
        <f t="shared" si="0"/>
        <v>322.5</v>
      </c>
      <c r="G25" s="129">
        <f t="shared" si="1"/>
        <v>12.7</v>
      </c>
    </row>
    <row r="26" spans="5:7">
      <c r="E26" s="97">
        <v>0.22</v>
      </c>
      <c r="F26" s="128">
        <f t="shared" si="0"/>
        <v>338</v>
      </c>
      <c r="G26" s="129">
        <f t="shared" si="1"/>
        <v>13.3</v>
      </c>
    </row>
    <row r="27" spans="5:7">
      <c r="E27" s="97">
        <v>0.23</v>
      </c>
      <c r="F27" s="128">
        <f t="shared" si="0"/>
        <v>353.5</v>
      </c>
      <c r="G27" s="129">
        <f t="shared" si="1"/>
        <v>13.9</v>
      </c>
    </row>
    <row r="28" spans="5:7">
      <c r="E28" s="97">
        <v>0.24</v>
      </c>
      <c r="F28" s="128">
        <f t="shared" si="0"/>
        <v>368.5</v>
      </c>
      <c r="G28" s="129">
        <f t="shared" si="1"/>
        <v>14.5</v>
      </c>
    </row>
    <row r="29" spans="5:7">
      <c r="E29" s="97">
        <v>0.25</v>
      </c>
      <c r="F29" s="128">
        <f t="shared" si="0"/>
        <v>384</v>
      </c>
      <c r="G29" s="129">
        <f t="shared" si="1"/>
        <v>15.1</v>
      </c>
    </row>
    <row r="30" spans="5:7">
      <c r="E30" s="97">
        <v>0.26</v>
      </c>
      <c r="F30" s="128">
        <f t="shared" si="0"/>
        <v>399.5</v>
      </c>
      <c r="G30" s="129">
        <f t="shared" si="1"/>
        <v>15.7</v>
      </c>
    </row>
    <row r="31" spans="5:7">
      <c r="E31" s="97">
        <v>0.27</v>
      </c>
      <c r="F31" s="128">
        <f t="shared" si="0"/>
        <v>414.5</v>
      </c>
      <c r="G31" s="129">
        <f t="shared" si="1"/>
        <v>16.3</v>
      </c>
    </row>
    <row r="32" spans="5:7">
      <c r="E32" s="97">
        <v>0.28000000000000003</v>
      </c>
      <c r="F32" s="128">
        <f t="shared" si="0"/>
        <v>430</v>
      </c>
      <c r="G32" s="129">
        <f t="shared" si="1"/>
        <v>16.899999999999999</v>
      </c>
    </row>
    <row r="33" spans="5:7">
      <c r="E33" s="97">
        <v>0.28999999999999998</v>
      </c>
      <c r="F33" s="128">
        <f t="shared" si="0"/>
        <v>445.5</v>
      </c>
      <c r="G33" s="129">
        <f t="shared" si="1"/>
        <v>17.600000000000001</v>
      </c>
    </row>
    <row r="34" spans="5:7">
      <c r="E34" s="97">
        <v>0.3</v>
      </c>
      <c r="F34" s="128">
        <f t="shared" si="0"/>
        <v>460.5</v>
      </c>
      <c r="G34" s="129">
        <f t="shared" si="1"/>
        <v>18.100000000000001</v>
      </c>
    </row>
    <row r="35" spans="5:7">
      <c r="E35" s="97">
        <v>0.31</v>
      </c>
      <c r="F35" s="128">
        <f t="shared" si="0"/>
        <v>476</v>
      </c>
      <c r="G35" s="129">
        <f t="shared" si="1"/>
        <v>18.8</v>
      </c>
    </row>
    <row r="36" spans="5:7">
      <c r="E36" s="97">
        <v>0.32</v>
      </c>
      <c r="F36" s="128">
        <f t="shared" si="0"/>
        <v>491.5</v>
      </c>
      <c r="G36" s="129">
        <f t="shared" si="1"/>
        <v>19.399999999999999</v>
      </c>
    </row>
    <row r="37" spans="5:7">
      <c r="E37" s="97">
        <v>0.33</v>
      </c>
      <c r="F37" s="128">
        <f t="shared" si="0"/>
        <v>507</v>
      </c>
      <c r="G37" s="129">
        <f t="shared" si="1"/>
        <v>20</v>
      </c>
    </row>
    <row r="38" spans="5:7">
      <c r="E38" s="97">
        <v>0.34</v>
      </c>
      <c r="F38" s="128">
        <f t="shared" si="0"/>
        <v>522</v>
      </c>
      <c r="G38" s="129">
        <f t="shared" si="1"/>
        <v>20.6</v>
      </c>
    </row>
    <row r="39" spans="5:7">
      <c r="E39" s="97">
        <v>0.35</v>
      </c>
      <c r="F39" s="128">
        <f t="shared" si="0"/>
        <v>537.5</v>
      </c>
      <c r="G39" s="129">
        <f t="shared" si="1"/>
        <v>21.2</v>
      </c>
    </row>
    <row r="40" spans="5:7">
      <c r="E40" s="97">
        <v>0.36</v>
      </c>
      <c r="F40" s="128">
        <f t="shared" si="0"/>
        <v>553</v>
      </c>
      <c r="G40" s="129">
        <f t="shared" si="1"/>
        <v>21.8</v>
      </c>
    </row>
    <row r="41" spans="5:7">
      <c r="E41" s="97">
        <v>0.37</v>
      </c>
      <c r="F41" s="128">
        <f t="shared" si="0"/>
        <v>568</v>
      </c>
      <c r="G41" s="129">
        <f t="shared" si="1"/>
        <v>22.4</v>
      </c>
    </row>
    <row r="42" spans="5:7">
      <c r="E42" s="97">
        <v>0.38</v>
      </c>
      <c r="F42" s="128">
        <f t="shared" si="0"/>
        <v>583.5</v>
      </c>
      <c r="G42" s="129">
        <f t="shared" si="1"/>
        <v>23</v>
      </c>
    </row>
    <row r="43" spans="5:7">
      <c r="E43" s="97">
        <v>0.39</v>
      </c>
      <c r="F43" s="128">
        <f t="shared" si="0"/>
        <v>599</v>
      </c>
      <c r="G43" s="129">
        <f t="shared" si="1"/>
        <v>23.6</v>
      </c>
    </row>
    <row r="44" spans="5:7">
      <c r="E44" s="97">
        <v>0.4</v>
      </c>
      <c r="F44" s="128">
        <f t="shared" si="0"/>
        <v>614</v>
      </c>
      <c r="G44" s="129">
        <f t="shared" si="1"/>
        <v>24.2</v>
      </c>
    </row>
    <row r="45" spans="5:7">
      <c r="E45" s="97">
        <v>0.41</v>
      </c>
      <c r="F45" s="128">
        <f t="shared" si="0"/>
        <v>629.5</v>
      </c>
      <c r="G45" s="129">
        <f t="shared" si="1"/>
        <v>24.8</v>
      </c>
    </row>
    <row r="46" spans="5:7">
      <c r="E46" s="97">
        <v>0.42</v>
      </c>
      <c r="F46" s="128">
        <f t="shared" si="0"/>
        <v>645</v>
      </c>
      <c r="G46" s="129">
        <f t="shared" si="1"/>
        <v>25.4</v>
      </c>
    </row>
    <row r="47" spans="5:7">
      <c r="E47" s="97">
        <v>0.43</v>
      </c>
      <c r="F47" s="128">
        <f t="shared" si="0"/>
        <v>660.5</v>
      </c>
      <c r="G47" s="129">
        <f t="shared" si="1"/>
        <v>26</v>
      </c>
    </row>
    <row r="48" spans="5:7">
      <c r="E48" s="97">
        <v>0.44</v>
      </c>
      <c r="F48" s="128">
        <f t="shared" si="0"/>
        <v>675.5</v>
      </c>
      <c r="G48" s="129">
        <f t="shared" si="1"/>
        <v>26.6</v>
      </c>
    </row>
    <row r="49" spans="5:7">
      <c r="E49" s="97">
        <v>0.45</v>
      </c>
      <c r="F49" s="128">
        <f t="shared" si="0"/>
        <v>691</v>
      </c>
      <c r="G49" s="129">
        <f t="shared" si="1"/>
        <v>27.2</v>
      </c>
    </row>
    <row r="50" spans="5:7">
      <c r="E50" s="97">
        <v>0.46</v>
      </c>
      <c r="F50" s="128">
        <f t="shared" si="0"/>
        <v>706.5</v>
      </c>
      <c r="G50" s="129">
        <f t="shared" si="1"/>
        <v>27.8</v>
      </c>
    </row>
    <row r="51" spans="5:7">
      <c r="E51" s="97">
        <v>0.47</v>
      </c>
      <c r="F51" s="128">
        <f t="shared" si="0"/>
        <v>721.5</v>
      </c>
      <c r="G51" s="129">
        <f t="shared" si="1"/>
        <v>28.4</v>
      </c>
    </row>
    <row r="52" spans="5:7">
      <c r="E52" s="97">
        <v>0.48</v>
      </c>
      <c r="F52" s="128">
        <f t="shared" si="0"/>
        <v>737</v>
      </c>
      <c r="G52" s="129">
        <f t="shared" si="1"/>
        <v>29</v>
      </c>
    </row>
    <row r="53" spans="5:7">
      <c r="E53" s="97">
        <v>0.49</v>
      </c>
      <c r="F53" s="128">
        <f t="shared" si="0"/>
        <v>752.5</v>
      </c>
      <c r="G53" s="129">
        <f t="shared" si="1"/>
        <v>29.7</v>
      </c>
    </row>
    <row r="54" spans="5:7">
      <c r="E54" s="97">
        <v>0.5</v>
      </c>
      <c r="F54" s="128">
        <f t="shared" si="0"/>
        <v>767.5</v>
      </c>
      <c r="G54" s="129">
        <f t="shared" si="1"/>
        <v>30.2</v>
      </c>
    </row>
    <row r="55" spans="5:7">
      <c r="E55" s="97">
        <v>0.51</v>
      </c>
      <c r="F55" s="128">
        <f t="shared" si="0"/>
        <v>783</v>
      </c>
      <c r="G55" s="129">
        <f t="shared" si="1"/>
        <v>30.9</v>
      </c>
    </row>
    <row r="56" spans="5:7">
      <c r="E56" s="97">
        <v>0.52</v>
      </c>
      <c r="F56" s="128">
        <f t="shared" si="0"/>
        <v>798.5</v>
      </c>
      <c r="G56" s="129">
        <f t="shared" si="1"/>
        <v>31.5</v>
      </c>
    </row>
    <row r="57" spans="5:7">
      <c r="E57" s="97">
        <v>0.53</v>
      </c>
      <c r="F57" s="128">
        <f t="shared" si="0"/>
        <v>814</v>
      </c>
      <c r="G57" s="129">
        <f t="shared" si="1"/>
        <v>32.1</v>
      </c>
    </row>
    <row r="58" spans="5:7">
      <c r="E58" s="97">
        <v>0.54</v>
      </c>
      <c r="F58" s="128">
        <f t="shared" si="0"/>
        <v>829</v>
      </c>
      <c r="G58" s="129">
        <f t="shared" si="1"/>
        <v>32.700000000000003</v>
      </c>
    </row>
    <row r="59" spans="5:7">
      <c r="E59" s="97">
        <v>0.55000000000000004</v>
      </c>
      <c r="F59" s="128">
        <f t="shared" si="0"/>
        <v>844.5</v>
      </c>
      <c r="G59" s="129">
        <f t="shared" si="1"/>
        <v>33.299999999999997</v>
      </c>
    </row>
    <row r="60" spans="5:7">
      <c r="E60" s="97">
        <v>0.56000000000000005</v>
      </c>
      <c r="F60" s="128">
        <f t="shared" si="0"/>
        <v>860</v>
      </c>
      <c r="G60" s="129">
        <f t="shared" si="1"/>
        <v>33.9</v>
      </c>
    </row>
    <row r="61" spans="5:7">
      <c r="E61" s="97">
        <v>0.56999999999999995</v>
      </c>
      <c r="F61" s="128">
        <f t="shared" si="0"/>
        <v>875</v>
      </c>
      <c r="G61" s="129">
        <f t="shared" si="1"/>
        <v>34.5</v>
      </c>
    </row>
    <row r="62" spans="5:7">
      <c r="E62" s="97">
        <v>0.57999999999999996</v>
      </c>
      <c r="F62" s="128">
        <f t="shared" si="0"/>
        <v>890.5</v>
      </c>
      <c r="G62" s="129">
        <f t="shared" si="1"/>
        <v>35.1</v>
      </c>
    </row>
    <row r="63" spans="5:7">
      <c r="E63" s="97">
        <v>0.59</v>
      </c>
      <c r="F63" s="128">
        <f t="shared" si="0"/>
        <v>906</v>
      </c>
      <c r="G63" s="129">
        <f t="shared" si="1"/>
        <v>35.700000000000003</v>
      </c>
    </row>
    <row r="64" spans="5:7">
      <c r="E64" s="97">
        <v>0.6</v>
      </c>
      <c r="F64" s="128">
        <f t="shared" si="0"/>
        <v>921</v>
      </c>
      <c r="G64" s="129">
        <f t="shared" si="1"/>
        <v>36.299999999999997</v>
      </c>
    </row>
    <row r="65" spans="5:7">
      <c r="E65" s="97">
        <v>0.61</v>
      </c>
      <c r="F65" s="128">
        <f t="shared" si="0"/>
        <v>936.5</v>
      </c>
      <c r="G65" s="129">
        <f t="shared" si="1"/>
        <v>36.9</v>
      </c>
    </row>
    <row r="66" spans="5:7">
      <c r="E66" s="97">
        <v>0.62</v>
      </c>
      <c r="F66" s="128">
        <f t="shared" si="0"/>
        <v>952</v>
      </c>
      <c r="G66" s="129">
        <f t="shared" si="1"/>
        <v>37.5</v>
      </c>
    </row>
    <row r="67" spans="5:7">
      <c r="E67" s="97">
        <v>0.63</v>
      </c>
      <c r="F67" s="128">
        <f t="shared" si="0"/>
        <v>967.5</v>
      </c>
      <c r="G67" s="129">
        <f t="shared" si="1"/>
        <v>38.1</v>
      </c>
    </row>
    <row r="68" spans="5:7">
      <c r="E68" s="97">
        <v>0.64</v>
      </c>
      <c r="F68" s="128">
        <f t="shared" si="0"/>
        <v>982.5</v>
      </c>
      <c r="G68" s="129">
        <f t="shared" si="1"/>
        <v>38.700000000000003</v>
      </c>
    </row>
    <row r="69" spans="5:7">
      <c r="E69" s="97">
        <v>0.65</v>
      </c>
      <c r="F69" s="128">
        <f t="shared" si="0"/>
        <v>998</v>
      </c>
      <c r="G69" s="129">
        <f t="shared" si="1"/>
        <v>39.299999999999997</v>
      </c>
    </row>
    <row r="70" spans="5:7">
      <c r="E70" s="97">
        <v>0.66</v>
      </c>
      <c r="F70" s="128">
        <f t="shared" ref="F70:F133" si="2">CEILING($C$4*10*E70,0.5)</f>
        <v>1013.5</v>
      </c>
      <c r="G70" s="129">
        <f t="shared" ref="G70:G133" si="3">ROUND(F70/$C$5,1)</f>
        <v>39.9</v>
      </c>
    </row>
    <row r="71" spans="5:7">
      <c r="E71" s="97">
        <v>0.67</v>
      </c>
      <c r="F71" s="128">
        <f t="shared" si="2"/>
        <v>1028.5</v>
      </c>
      <c r="G71" s="129">
        <f t="shared" si="3"/>
        <v>40.5</v>
      </c>
    </row>
    <row r="72" spans="5:7">
      <c r="E72" s="97">
        <v>0.68</v>
      </c>
      <c r="F72" s="128">
        <f t="shared" si="2"/>
        <v>1044</v>
      </c>
      <c r="G72" s="129">
        <f t="shared" si="3"/>
        <v>41.1</v>
      </c>
    </row>
    <row r="73" spans="5:7">
      <c r="E73" s="97">
        <v>0.69</v>
      </c>
      <c r="F73" s="128">
        <f t="shared" si="2"/>
        <v>1059.5</v>
      </c>
      <c r="G73" s="129">
        <f t="shared" si="3"/>
        <v>41.8</v>
      </c>
    </row>
    <row r="74" spans="5:7">
      <c r="E74" s="97">
        <v>0.7</v>
      </c>
      <c r="F74" s="128">
        <f t="shared" si="2"/>
        <v>1074.5</v>
      </c>
      <c r="G74" s="129">
        <f t="shared" si="3"/>
        <v>42.3</v>
      </c>
    </row>
    <row r="75" spans="5:7">
      <c r="E75" s="97">
        <v>0.71</v>
      </c>
      <c r="F75" s="128">
        <f t="shared" si="2"/>
        <v>1090</v>
      </c>
      <c r="G75" s="129">
        <f t="shared" si="3"/>
        <v>43</v>
      </c>
    </row>
    <row r="76" spans="5:7">
      <c r="E76" s="97">
        <v>0.72</v>
      </c>
      <c r="F76" s="128">
        <f t="shared" si="2"/>
        <v>1105.5</v>
      </c>
      <c r="G76" s="129">
        <f t="shared" si="3"/>
        <v>43.6</v>
      </c>
    </row>
    <row r="77" spans="5:7">
      <c r="E77" s="97">
        <v>0.73</v>
      </c>
      <c r="F77" s="128">
        <f t="shared" si="2"/>
        <v>1121</v>
      </c>
      <c r="G77" s="129">
        <f t="shared" si="3"/>
        <v>44.2</v>
      </c>
    </row>
    <row r="78" spans="5:7">
      <c r="E78" s="97">
        <v>0.74</v>
      </c>
      <c r="F78" s="128">
        <f t="shared" si="2"/>
        <v>1136</v>
      </c>
      <c r="G78" s="129">
        <f t="shared" si="3"/>
        <v>44.8</v>
      </c>
    </row>
    <row r="79" spans="5:7">
      <c r="E79" s="97">
        <v>0.75</v>
      </c>
      <c r="F79" s="128">
        <f t="shared" si="2"/>
        <v>1151.5</v>
      </c>
      <c r="G79" s="129">
        <f t="shared" si="3"/>
        <v>45.4</v>
      </c>
    </row>
    <row r="80" spans="5:7">
      <c r="E80" s="97">
        <v>0.76</v>
      </c>
      <c r="F80" s="128">
        <f t="shared" si="2"/>
        <v>1167</v>
      </c>
      <c r="G80" s="129">
        <f t="shared" si="3"/>
        <v>46</v>
      </c>
    </row>
    <row r="81" spans="5:7">
      <c r="E81" s="97">
        <v>0.77</v>
      </c>
      <c r="F81" s="128">
        <f t="shared" si="2"/>
        <v>1182</v>
      </c>
      <c r="G81" s="129">
        <f t="shared" si="3"/>
        <v>46.6</v>
      </c>
    </row>
    <row r="82" spans="5:7">
      <c r="E82" s="97">
        <v>0.78</v>
      </c>
      <c r="F82" s="128">
        <f t="shared" si="2"/>
        <v>1197.5</v>
      </c>
      <c r="G82" s="129">
        <f t="shared" si="3"/>
        <v>47.2</v>
      </c>
    </row>
    <row r="83" spans="5:7">
      <c r="E83" s="97">
        <v>0.79</v>
      </c>
      <c r="F83" s="128">
        <f t="shared" si="2"/>
        <v>1213</v>
      </c>
      <c r="G83" s="129">
        <f t="shared" si="3"/>
        <v>47.8</v>
      </c>
    </row>
    <row r="84" spans="5:7">
      <c r="E84" s="97">
        <v>0.8</v>
      </c>
      <c r="F84" s="128">
        <f t="shared" si="2"/>
        <v>1228</v>
      </c>
      <c r="G84" s="129">
        <f t="shared" si="3"/>
        <v>48.4</v>
      </c>
    </row>
    <row r="85" spans="5:7">
      <c r="E85" s="97">
        <v>0.81</v>
      </c>
      <c r="F85" s="128">
        <f t="shared" si="2"/>
        <v>1243.5</v>
      </c>
      <c r="G85" s="129">
        <f t="shared" si="3"/>
        <v>49</v>
      </c>
    </row>
    <row r="86" spans="5:7">
      <c r="E86" s="97">
        <v>0.82</v>
      </c>
      <c r="F86" s="128">
        <f t="shared" si="2"/>
        <v>1259</v>
      </c>
      <c r="G86" s="129">
        <f t="shared" si="3"/>
        <v>49.6</v>
      </c>
    </row>
    <row r="87" spans="5:7">
      <c r="E87" s="97">
        <v>0.83</v>
      </c>
      <c r="F87" s="128">
        <f t="shared" si="2"/>
        <v>1274.5</v>
      </c>
      <c r="G87" s="129">
        <f t="shared" si="3"/>
        <v>50.2</v>
      </c>
    </row>
    <row r="88" spans="5:7">
      <c r="E88" s="97">
        <v>0.84</v>
      </c>
      <c r="F88" s="128">
        <f t="shared" si="2"/>
        <v>1289.5</v>
      </c>
      <c r="G88" s="129">
        <f t="shared" si="3"/>
        <v>50.8</v>
      </c>
    </row>
    <row r="89" spans="5:7">
      <c r="E89" s="97">
        <v>0.85</v>
      </c>
      <c r="F89" s="128">
        <f t="shared" si="2"/>
        <v>1305</v>
      </c>
      <c r="G89" s="129">
        <f t="shared" si="3"/>
        <v>51.4</v>
      </c>
    </row>
    <row r="90" spans="5:7">
      <c r="E90" s="97">
        <v>0.86</v>
      </c>
      <c r="F90" s="128">
        <f t="shared" si="2"/>
        <v>1320.5</v>
      </c>
      <c r="G90" s="129">
        <f t="shared" si="3"/>
        <v>52</v>
      </c>
    </row>
    <row r="91" spans="5:7">
      <c r="E91" s="97">
        <v>0.87</v>
      </c>
      <c r="F91" s="128">
        <f t="shared" si="2"/>
        <v>1335.5</v>
      </c>
      <c r="G91" s="129">
        <f t="shared" si="3"/>
        <v>52.6</v>
      </c>
    </row>
    <row r="92" spans="5:7">
      <c r="E92" s="97">
        <v>0.88</v>
      </c>
      <c r="F92" s="128">
        <f t="shared" si="2"/>
        <v>1351</v>
      </c>
      <c r="G92" s="129">
        <f t="shared" si="3"/>
        <v>53.2</v>
      </c>
    </row>
    <row r="93" spans="5:7">
      <c r="E93" s="97">
        <v>0.89</v>
      </c>
      <c r="F93" s="128">
        <f t="shared" si="2"/>
        <v>1366.5</v>
      </c>
      <c r="G93" s="129">
        <f t="shared" si="3"/>
        <v>53.9</v>
      </c>
    </row>
    <row r="94" spans="5:7">
      <c r="E94" s="97">
        <v>0.9</v>
      </c>
      <c r="F94" s="128">
        <f t="shared" si="2"/>
        <v>1381.5</v>
      </c>
      <c r="G94" s="129">
        <f t="shared" si="3"/>
        <v>54.4</v>
      </c>
    </row>
    <row r="95" spans="5:7">
      <c r="E95" s="97">
        <v>0.91</v>
      </c>
      <c r="F95" s="128">
        <f t="shared" si="2"/>
        <v>1397</v>
      </c>
      <c r="G95" s="129">
        <f t="shared" si="3"/>
        <v>55.1</v>
      </c>
    </row>
    <row r="96" spans="5:7">
      <c r="E96" s="97">
        <v>0.92</v>
      </c>
      <c r="F96" s="128">
        <f t="shared" si="2"/>
        <v>1412.5</v>
      </c>
      <c r="G96" s="129">
        <f t="shared" si="3"/>
        <v>55.7</v>
      </c>
    </row>
    <row r="97" spans="5:7">
      <c r="E97" s="97">
        <v>0.93</v>
      </c>
      <c r="F97" s="128">
        <f t="shared" si="2"/>
        <v>1428</v>
      </c>
      <c r="G97" s="129">
        <f t="shared" si="3"/>
        <v>56.3</v>
      </c>
    </row>
    <row r="98" spans="5:7">
      <c r="E98" s="97">
        <v>0.94</v>
      </c>
      <c r="F98" s="128">
        <f t="shared" si="2"/>
        <v>1443</v>
      </c>
      <c r="G98" s="129">
        <f t="shared" si="3"/>
        <v>56.9</v>
      </c>
    </row>
    <row r="99" spans="5:7">
      <c r="E99" s="97">
        <v>0.95</v>
      </c>
      <c r="F99" s="128">
        <f t="shared" si="2"/>
        <v>1458.5</v>
      </c>
      <c r="G99" s="129">
        <f t="shared" si="3"/>
        <v>57.5</v>
      </c>
    </row>
    <row r="100" spans="5:7">
      <c r="E100" s="97">
        <v>0.96</v>
      </c>
      <c r="F100" s="128">
        <f t="shared" si="2"/>
        <v>1474</v>
      </c>
      <c r="G100" s="129">
        <f t="shared" si="3"/>
        <v>58.1</v>
      </c>
    </row>
    <row r="101" spans="5:7">
      <c r="E101" s="97">
        <v>0.97</v>
      </c>
      <c r="F101" s="128">
        <f t="shared" si="2"/>
        <v>1489</v>
      </c>
      <c r="G101" s="129">
        <f t="shared" si="3"/>
        <v>58.7</v>
      </c>
    </row>
    <row r="102" spans="5:7">
      <c r="E102" s="97">
        <v>0.98</v>
      </c>
      <c r="F102" s="128">
        <f t="shared" si="2"/>
        <v>1504.5</v>
      </c>
      <c r="G102" s="129">
        <f t="shared" si="3"/>
        <v>59.3</v>
      </c>
    </row>
    <row r="103" spans="5:7">
      <c r="E103" s="97">
        <v>0.99</v>
      </c>
      <c r="F103" s="128">
        <f t="shared" si="2"/>
        <v>1520</v>
      </c>
      <c r="G103" s="129">
        <f t="shared" si="3"/>
        <v>59.9</v>
      </c>
    </row>
    <row r="104" spans="5:7">
      <c r="E104" s="97">
        <v>1</v>
      </c>
      <c r="F104" s="128">
        <f t="shared" si="2"/>
        <v>1535</v>
      </c>
      <c r="G104" s="129">
        <f t="shared" si="3"/>
        <v>60.5</v>
      </c>
    </row>
    <row r="105" spans="5:7">
      <c r="E105" s="97">
        <v>1.01</v>
      </c>
      <c r="F105" s="128">
        <f t="shared" si="2"/>
        <v>1550.5</v>
      </c>
      <c r="G105" s="129">
        <f t="shared" si="3"/>
        <v>61.1</v>
      </c>
    </row>
    <row r="106" spans="5:7">
      <c r="E106" s="97">
        <v>1.02</v>
      </c>
      <c r="F106" s="128">
        <f t="shared" si="2"/>
        <v>1566</v>
      </c>
      <c r="G106" s="129">
        <f t="shared" si="3"/>
        <v>61.7</v>
      </c>
    </row>
    <row r="107" spans="5:7">
      <c r="E107" s="97">
        <v>1.03</v>
      </c>
      <c r="F107" s="128">
        <f t="shared" si="2"/>
        <v>1581.5</v>
      </c>
      <c r="G107" s="129">
        <f t="shared" si="3"/>
        <v>62.3</v>
      </c>
    </row>
    <row r="108" spans="5:7">
      <c r="E108" s="97">
        <v>1.04</v>
      </c>
      <c r="F108" s="128">
        <f t="shared" si="2"/>
        <v>1596.5</v>
      </c>
      <c r="G108" s="129">
        <f t="shared" si="3"/>
        <v>62.9</v>
      </c>
    </row>
    <row r="109" spans="5:7">
      <c r="E109" s="97">
        <v>1.05</v>
      </c>
      <c r="F109" s="128">
        <f t="shared" si="2"/>
        <v>1612</v>
      </c>
      <c r="G109" s="129">
        <f t="shared" si="3"/>
        <v>63.5</v>
      </c>
    </row>
    <row r="110" spans="5:7">
      <c r="E110" s="97">
        <v>1.06</v>
      </c>
      <c r="F110" s="128">
        <f t="shared" si="2"/>
        <v>1627.5</v>
      </c>
      <c r="G110" s="129">
        <f t="shared" si="3"/>
        <v>64.099999999999994</v>
      </c>
    </row>
    <row r="111" spans="5:7">
      <c r="E111" s="97">
        <v>1.07</v>
      </c>
      <c r="F111" s="128">
        <f t="shared" si="2"/>
        <v>1642.5</v>
      </c>
      <c r="G111" s="129">
        <f t="shared" si="3"/>
        <v>64.7</v>
      </c>
    </row>
    <row r="112" spans="5:7">
      <c r="E112" s="97">
        <v>1.08</v>
      </c>
      <c r="F112" s="128">
        <f t="shared" si="2"/>
        <v>1658</v>
      </c>
      <c r="G112" s="129">
        <f t="shared" si="3"/>
        <v>65.3</v>
      </c>
    </row>
    <row r="113" spans="5:7">
      <c r="E113" s="97">
        <v>1.0900000000000001</v>
      </c>
      <c r="F113" s="128">
        <f t="shared" si="2"/>
        <v>1673.5</v>
      </c>
      <c r="G113" s="129">
        <f t="shared" si="3"/>
        <v>66</v>
      </c>
    </row>
    <row r="114" spans="5:7">
      <c r="E114" s="97">
        <v>1.1000000000000001</v>
      </c>
      <c r="F114" s="128">
        <f t="shared" si="2"/>
        <v>1688.5</v>
      </c>
      <c r="G114" s="129">
        <f t="shared" si="3"/>
        <v>66.5</v>
      </c>
    </row>
    <row r="115" spans="5:7">
      <c r="E115" s="97">
        <v>1.1100000000000001</v>
      </c>
      <c r="F115" s="128">
        <f t="shared" si="2"/>
        <v>1704</v>
      </c>
      <c r="G115" s="129">
        <f t="shared" si="3"/>
        <v>67.2</v>
      </c>
    </row>
    <row r="116" spans="5:7">
      <c r="E116" s="97">
        <v>1.1200000000000001</v>
      </c>
      <c r="F116" s="128">
        <f t="shared" si="2"/>
        <v>1719.5</v>
      </c>
      <c r="G116" s="129">
        <f t="shared" si="3"/>
        <v>67.8</v>
      </c>
    </row>
    <row r="117" spans="5:7">
      <c r="E117" s="97">
        <v>1.1299999999999999</v>
      </c>
      <c r="F117" s="128">
        <f t="shared" si="2"/>
        <v>1735</v>
      </c>
      <c r="G117" s="129">
        <f t="shared" si="3"/>
        <v>68.400000000000006</v>
      </c>
    </row>
    <row r="118" spans="5:7">
      <c r="E118" s="97">
        <v>1.1399999999999999</v>
      </c>
      <c r="F118" s="128">
        <f t="shared" si="2"/>
        <v>1750</v>
      </c>
      <c r="G118" s="129">
        <f t="shared" si="3"/>
        <v>69</v>
      </c>
    </row>
    <row r="119" spans="5:7">
      <c r="E119" s="97">
        <v>1.1499999999999999</v>
      </c>
      <c r="F119" s="128">
        <f t="shared" si="2"/>
        <v>1765.5</v>
      </c>
      <c r="G119" s="129">
        <f t="shared" si="3"/>
        <v>69.599999999999994</v>
      </c>
    </row>
    <row r="120" spans="5:7">
      <c r="E120" s="97">
        <v>1.1599999999999999</v>
      </c>
      <c r="F120" s="128">
        <f t="shared" si="2"/>
        <v>1781</v>
      </c>
      <c r="G120" s="129">
        <f t="shared" si="3"/>
        <v>70.2</v>
      </c>
    </row>
    <row r="121" spans="5:7">
      <c r="E121" s="97">
        <v>1.17</v>
      </c>
      <c r="F121" s="128">
        <f t="shared" si="2"/>
        <v>1796</v>
      </c>
      <c r="G121" s="129">
        <f t="shared" si="3"/>
        <v>70.8</v>
      </c>
    </row>
    <row r="122" spans="5:7">
      <c r="E122" s="97">
        <v>1.18</v>
      </c>
      <c r="F122" s="128">
        <f t="shared" si="2"/>
        <v>1811.5</v>
      </c>
      <c r="G122" s="129">
        <f t="shared" si="3"/>
        <v>71.400000000000006</v>
      </c>
    </row>
    <row r="123" spans="5:7">
      <c r="E123" s="97">
        <v>1.19</v>
      </c>
      <c r="F123" s="128">
        <f t="shared" si="2"/>
        <v>1827</v>
      </c>
      <c r="G123" s="129">
        <f t="shared" si="3"/>
        <v>72</v>
      </c>
    </row>
    <row r="124" spans="5:7">
      <c r="E124" s="97">
        <v>1.2</v>
      </c>
      <c r="F124" s="128">
        <f t="shared" si="2"/>
        <v>1842</v>
      </c>
      <c r="G124" s="129">
        <f t="shared" si="3"/>
        <v>72.599999999999994</v>
      </c>
    </row>
    <row r="125" spans="5:7">
      <c r="E125" s="97">
        <v>1.21</v>
      </c>
      <c r="F125" s="128">
        <f t="shared" si="2"/>
        <v>1857.5</v>
      </c>
      <c r="G125" s="129">
        <f t="shared" si="3"/>
        <v>73.2</v>
      </c>
    </row>
    <row r="126" spans="5:7">
      <c r="E126" s="97">
        <v>1.22</v>
      </c>
      <c r="F126" s="128">
        <f t="shared" si="2"/>
        <v>1873</v>
      </c>
      <c r="G126" s="129">
        <f t="shared" si="3"/>
        <v>73.8</v>
      </c>
    </row>
    <row r="127" spans="5:7">
      <c r="E127" s="97">
        <v>1.23</v>
      </c>
      <c r="F127" s="128">
        <f t="shared" si="2"/>
        <v>1888.5</v>
      </c>
      <c r="G127" s="129">
        <f t="shared" si="3"/>
        <v>74.400000000000006</v>
      </c>
    </row>
    <row r="128" spans="5:7">
      <c r="E128" s="97">
        <v>1.24</v>
      </c>
      <c r="F128" s="128">
        <f t="shared" si="2"/>
        <v>1903.5</v>
      </c>
      <c r="G128" s="129">
        <f t="shared" si="3"/>
        <v>75</v>
      </c>
    </row>
    <row r="129" spans="5:7">
      <c r="E129" s="97">
        <v>1.25</v>
      </c>
      <c r="F129" s="128">
        <f t="shared" si="2"/>
        <v>1919</v>
      </c>
      <c r="G129" s="129">
        <f t="shared" si="3"/>
        <v>75.599999999999994</v>
      </c>
    </row>
    <row r="130" spans="5:7">
      <c r="E130" s="97">
        <v>1.26</v>
      </c>
      <c r="F130" s="128">
        <f t="shared" si="2"/>
        <v>1934.5</v>
      </c>
      <c r="G130" s="129">
        <f t="shared" si="3"/>
        <v>76.2</v>
      </c>
    </row>
    <row r="131" spans="5:7">
      <c r="E131" s="97">
        <v>1.27</v>
      </c>
      <c r="F131" s="128">
        <f t="shared" si="2"/>
        <v>1949.5</v>
      </c>
      <c r="G131" s="129">
        <f t="shared" si="3"/>
        <v>76.8</v>
      </c>
    </row>
    <row r="132" spans="5:7">
      <c r="E132" s="97">
        <v>1.28</v>
      </c>
      <c r="F132" s="128">
        <f t="shared" si="2"/>
        <v>1965</v>
      </c>
      <c r="G132" s="129">
        <f t="shared" si="3"/>
        <v>77.400000000000006</v>
      </c>
    </row>
    <row r="133" spans="5:7">
      <c r="E133" s="97">
        <v>1.29</v>
      </c>
      <c r="F133" s="128">
        <f t="shared" si="2"/>
        <v>1980.5</v>
      </c>
      <c r="G133" s="129">
        <f t="shared" si="3"/>
        <v>78</v>
      </c>
    </row>
    <row r="134" spans="5:7">
      <c r="E134" s="97">
        <v>1.3</v>
      </c>
      <c r="F134" s="128">
        <f t="shared" ref="F134:F197" si="4">CEILING($C$4*10*E134,0.5)</f>
        <v>1995.5</v>
      </c>
      <c r="G134" s="129">
        <f t="shared" ref="G134:G197" si="5">ROUND(F134/$C$5,1)</f>
        <v>78.599999999999994</v>
      </c>
    </row>
    <row r="135" spans="5:7">
      <c r="E135" s="97">
        <v>1.31</v>
      </c>
      <c r="F135" s="128">
        <f t="shared" si="4"/>
        <v>2011</v>
      </c>
      <c r="G135" s="129">
        <f t="shared" si="5"/>
        <v>79.3</v>
      </c>
    </row>
    <row r="136" spans="5:7">
      <c r="E136" s="97">
        <v>1.32</v>
      </c>
      <c r="F136" s="128">
        <f t="shared" si="4"/>
        <v>2026.5</v>
      </c>
      <c r="G136" s="129">
        <f t="shared" si="5"/>
        <v>79.900000000000006</v>
      </c>
    </row>
    <row r="137" spans="5:7">
      <c r="E137" s="97">
        <v>1.33</v>
      </c>
      <c r="F137" s="128">
        <f t="shared" si="4"/>
        <v>2042</v>
      </c>
      <c r="G137" s="129">
        <f t="shared" si="5"/>
        <v>80.5</v>
      </c>
    </row>
    <row r="138" spans="5:7">
      <c r="E138" s="97">
        <v>1.34</v>
      </c>
      <c r="F138" s="128">
        <f t="shared" si="4"/>
        <v>2057</v>
      </c>
      <c r="G138" s="129">
        <f t="shared" si="5"/>
        <v>81.099999999999994</v>
      </c>
    </row>
    <row r="139" spans="5:7">
      <c r="E139" s="97">
        <v>1.35</v>
      </c>
      <c r="F139" s="128">
        <f t="shared" si="4"/>
        <v>2072.5</v>
      </c>
      <c r="G139" s="129">
        <f t="shared" si="5"/>
        <v>81.7</v>
      </c>
    </row>
    <row r="140" spans="5:7">
      <c r="E140" s="97">
        <v>1.36</v>
      </c>
      <c r="F140" s="128">
        <f t="shared" si="4"/>
        <v>2088</v>
      </c>
      <c r="G140" s="129">
        <f t="shared" si="5"/>
        <v>82.3</v>
      </c>
    </row>
    <row r="141" spans="5:7">
      <c r="E141" s="97">
        <v>1.37</v>
      </c>
      <c r="F141" s="128">
        <f t="shared" si="4"/>
        <v>2103</v>
      </c>
      <c r="G141" s="129">
        <f t="shared" si="5"/>
        <v>82.9</v>
      </c>
    </row>
    <row r="142" spans="5:7">
      <c r="E142" s="97">
        <v>1.38</v>
      </c>
      <c r="F142" s="128">
        <f t="shared" si="4"/>
        <v>2118.5</v>
      </c>
      <c r="G142" s="129">
        <f t="shared" si="5"/>
        <v>83.5</v>
      </c>
    </row>
    <row r="143" spans="5:7">
      <c r="E143" s="97">
        <v>1.39</v>
      </c>
      <c r="F143" s="128">
        <f t="shared" si="4"/>
        <v>2134</v>
      </c>
      <c r="G143" s="129">
        <f t="shared" si="5"/>
        <v>84.1</v>
      </c>
    </row>
    <row r="144" spans="5:7">
      <c r="E144" s="97">
        <v>1.4</v>
      </c>
      <c r="F144" s="128">
        <f t="shared" si="4"/>
        <v>2149</v>
      </c>
      <c r="G144" s="129">
        <f t="shared" si="5"/>
        <v>84.7</v>
      </c>
    </row>
    <row r="145" spans="5:7">
      <c r="E145" s="97">
        <v>1.41</v>
      </c>
      <c r="F145" s="128">
        <f t="shared" si="4"/>
        <v>2164.5</v>
      </c>
      <c r="G145" s="129">
        <f t="shared" si="5"/>
        <v>85.3</v>
      </c>
    </row>
    <row r="146" spans="5:7">
      <c r="E146" s="97">
        <v>1.42</v>
      </c>
      <c r="F146" s="128">
        <f t="shared" si="4"/>
        <v>2180</v>
      </c>
      <c r="G146" s="129">
        <f t="shared" si="5"/>
        <v>85.9</v>
      </c>
    </row>
    <row r="147" spans="5:7">
      <c r="E147" s="97">
        <v>1.43</v>
      </c>
      <c r="F147" s="128">
        <f t="shared" si="4"/>
        <v>2195.5</v>
      </c>
      <c r="G147" s="129">
        <f t="shared" si="5"/>
        <v>86.5</v>
      </c>
    </row>
    <row r="148" spans="5:7">
      <c r="E148" s="97">
        <v>1.44</v>
      </c>
      <c r="F148" s="128">
        <f t="shared" si="4"/>
        <v>2210.5</v>
      </c>
      <c r="G148" s="129">
        <f t="shared" si="5"/>
        <v>87.1</v>
      </c>
    </row>
    <row r="149" spans="5:7">
      <c r="E149" s="97">
        <v>1.45</v>
      </c>
      <c r="F149" s="128">
        <f t="shared" si="4"/>
        <v>2226</v>
      </c>
      <c r="G149" s="129">
        <f t="shared" si="5"/>
        <v>87.7</v>
      </c>
    </row>
    <row r="150" spans="5:7">
      <c r="E150" s="97">
        <v>1.46</v>
      </c>
      <c r="F150" s="128">
        <f t="shared" si="4"/>
        <v>2241.5</v>
      </c>
      <c r="G150" s="129">
        <f t="shared" si="5"/>
        <v>88.3</v>
      </c>
    </row>
    <row r="151" spans="5:7">
      <c r="E151" s="97">
        <v>1.47</v>
      </c>
      <c r="F151" s="128">
        <f t="shared" si="4"/>
        <v>2256.5</v>
      </c>
      <c r="G151" s="129">
        <f t="shared" si="5"/>
        <v>88.9</v>
      </c>
    </row>
    <row r="152" spans="5:7">
      <c r="E152" s="97">
        <v>1.48</v>
      </c>
      <c r="F152" s="128">
        <f t="shared" si="4"/>
        <v>2272</v>
      </c>
      <c r="G152" s="129">
        <f t="shared" si="5"/>
        <v>89.5</v>
      </c>
    </row>
    <row r="153" spans="5:7">
      <c r="E153" s="97">
        <v>1.49</v>
      </c>
      <c r="F153" s="128">
        <f t="shared" si="4"/>
        <v>2287.5</v>
      </c>
      <c r="G153" s="129">
        <f t="shared" si="5"/>
        <v>90.1</v>
      </c>
    </row>
    <row r="154" spans="5:7">
      <c r="E154" s="97">
        <v>1.5</v>
      </c>
      <c r="F154" s="128">
        <f t="shared" si="4"/>
        <v>2302.5</v>
      </c>
      <c r="G154" s="129">
        <f t="shared" si="5"/>
        <v>90.7</v>
      </c>
    </row>
    <row r="155" spans="5:7">
      <c r="E155" s="97">
        <v>1.51</v>
      </c>
      <c r="F155" s="128">
        <f t="shared" si="4"/>
        <v>2318</v>
      </c>
      <c r="G155" s="129">
        <f t="shared" si="5"/>
        <v>91.3</v>
      </c>
    </row>
    <row r="156" spans="5:7">
      <c r="E156" s="97">
        <v>1.52</v>
      </c>
      <c r="F156" s="128">
        <f t="shared" si="4"/>
        <v>2333.5</v>
      </c>
      <c r="G156" s="129">
        <f t="shared" si="5"/>
        <v>92</v>
      </c>
    </row>
    <row r="157" spans="5:7">
      <c r="E157" s="97">
        <v>1.53</v>
      </c>
      <c r="F157" s="128">
        <f t="shared" si="4"/>
        <v>2349</v>
      </c>
      <c r="G157" s="129">
        <f t="shared" si="5"/>
        <v>92.6</v>
      </c>
    </row>
    <row r="158" spans="5:7">
      <c r="E158" s="97">
        <v>1.54</v>
      </c>
      <c r="F158" s="128">
        <f t="shared" si="4"/>
        <v>2364</v>
      </c>
      <c r="G158" s="129">
        <f t="shared" si="5"/>
        <v>93.2</v>
      </c>
    </row>
    <row r="159" spans="5:7">
      <c r="E159" s="97">
        <v>1.55</v>
      </c>
      <c r="F159" s="128">
        <f t="shared" si="4"/>
        <v>2379.5</v>
      </c>
      <c r="G159" s="129">
        <f t="shared" si="5"/>
        <v>93.8</v>
      </c>
    </row>
    <row r="160" spans="5:7">
      <c r="E160" s="97">
        <v>1.56</v>
      </c>
      <c r="F160" s="128">
        <f t="shared" si="4"/>
        <v>2395</v>
      </c>
      <c r="G160" s="129">
        <f t="shared" si="5"/>
        <v>94.4</v>
      </c>
    </row>
    <row r="161" spans="5:7">
      <c r="E161" s="97">
        <v>1.57</v>
      </c>
      <c r="F161" s="128">
        <f t="shared" si="4"/>
        <v>2410</v>
      </c>
      <c r="G161" s="129">
        <f t="shared" si="5"/>
        <v>95</v>
      </c>
    </row>
    <row r="162" spans="5:7">
      <c r="E162" s="97">
        <v>1.58</v>
      </c>
      <c r="F162" s="128">
        <f t="shared" si="4"/>
        <v>2425.5</v>
      </c>
      <c r="G162" s="129">
        <f t="shared" si="5"/>
        <v>95.6</v>
      </c>
    </row>
    <row r="163" spans="5:7">
      <c r="E163" s="97">
        <v>1.59</v>
      </c>
      <c r="F163" s="128">
        <f t="shared" si="4"/>
        <v>2441</v>
      </c>
      <c r="G163" s="129">
        <f t="shared" si="5"/>
        <v>96.2</v>
      </c>
    </row>
    <row r="164" spans="5:7">
      <c r="E164" s="97">
        <v>1.6</v>
      </c>
      <c r="F164" s="128">
        <f t="shared" si="4"/>
        <v>2456</v>
      </c>
      <c r="G164" s="129">
        <f t="shared" si="5"/>
        <v>96.8</v>
      </c>
    </row>
    <row r="165" spans="5:7">
      <c r="E165" s="97">
        <v>1.61</v>
      </c>
      <c r="F165" s="128">
        <f t="shared" si="4"/>
        <v>2471.5</v>
      </c>
      <c r="G165" s="129">
        <f t="shared" si="5"/>
        <v>97.4</v>
      </c>
    </row>
    <row r="166" spans="5:7">
      <c r="E166" s="97">
        <v>1.62</v>
      </c>
      <c r="F166" s="128">
        <f t="shared" si="4"/>
        <v>2487</v>
      </c>
      <c r="G166" s="129">
        <f t="shared" si="5"/>
        <v>98</v>
      </c>
    </row>
    <row r="167" spans="5:7">
      <c r="E167" s="97">
        <v>1.63</v>
      </c>
      <c r="F167" s="128">
        <f t="shared" si="4"/>
        <v>2502.5</v>
      </c>
      <c r="G167" s="129">
        <f t="shared" si="5"/>
        <v>98.6</v>
      </c>
    </row>
    <row r="168" spans="5:7">
      <c r="E168" s="97">
        <v>1.64</v>
      </c>
      <c r="F168" s="128">
        <f t="shared" si="4"/>
        <v>2517.5</v>
      </c>
      <c r="G168" s="129">
        <f t="shared" si="5"/>
        <v>99.2</v>
      </c>
    </row>
    <row r="169" spans="5:7">
      <c r="E169" s="97">
        <v>1.65</v>
      </c>
      <c r="F169" s="128">
        <f t="shared" si="4"/>
        <v>2533</v>
      </c>
      <c r="G169" s="129">
        <f t="shared" si="5"/>
        <v>99.8</v>
      </c>
    </row>
    <row r="170" spans="5:7">
      <c r="E170" s="97">
        <v>1.66</v>
      </c>
      <c r="F170" s="128">
        <f t="shared" si="4"/>
        <v>2548.5</v>
      </c>
      <c r="G170" s="129">
        <f t="shared" si="5"/>
        <v>100.4</v>
      </c>
    </row>
    <row r="171" spans="5:7">
      <c r="E171" s="97">
        <v>1.67</v>
      </c>
      <c r="F171" s="128">
        <f t="shared" si="4"/>
        <v>2563.5</v>
      </c>
      <c r="G171" s="129">
        <f t="shared" si="5"/>
        <v>101</v>
      </c>
    </row>
    <row r="172" spans="5:7">
      <c r="E172" s="97">
        <v>1.68</v>
      </c>
      <c r="F172" s="128">
        <f t="shared" si="4"/>
        <v>2579</v>
      </c>
      <c r="G172" s="129">
        <f t="shared" si="5"/>
        <v>101.6</v>
      </c>
    </row>
    <row r="173" spans="5:7">
      <c r="E173" s="97">
        <v>1.69</v>
      </c>
      <c r="F173" s="128">
        <f t="shared" si="4"/>
        <v>2594.5</v>
      </c>
      <c r="G173" s="129">
        <f t="shared" si="5"/>
        <v>102.2</v>
      </c>
    </row>
    <row r="174" spans="5:7">
      <c r="E174" s="97">
        <v>1.7</v>
      </c>
      <c r="F174" s="128">
        <f t="shared" si="4"/>
        <v>2609.5</v>
      </c>
      <c r="G174" s="129">
        <f t="shared" si="5"/>
        <v>102.8</v>
      </c>
    </row>
    <row r="175" spans="5:7">
      <c r="E175" s="97">
        <v>1.71</v>
      </c>
      <c r="F175" s="128">
        <f t="shared" si="4"/>
        <v>2625</v>
      </c>
      <c r="G175" s="129">
        <f t="shared" si="5"/>
        <v>103.4</v>
      </c>
    </row>
    <row r="176" spans="5:7">
      <c r="E176" s="97">
        <v>1.72</v>
      </c>
      <c r="F176" s="128">
        <f t="shared" si="4"/>
        <v>2640.5</v>
      </c>
      <c r="G176" s="129">
        <f t="shared" si="5"/>
        <v>104.1</v>
      </c>
    </row>
    <row r="177" spans="5:7">
      <c r="E177" s="97">
        <v>1.73</v>
      </c>
      <c r="F177" s="128">
        <f t="shared" si="4"/>
        <v>2656</v>
      </c>
      <c r="G177" s="129">
        <f t="shared" si="5"/>
        <v>104.7</v>
      </c>
    </row>
    <row r="178" spans="5:7">
      <c r="E178" s="97">
        <v>1.74</v>
      </c>
      <c r="F178" s="128">
        <f t="shared" si="4"/>
        <v>2671</v>
      </c>
      <c r="G178" s="129">
        <f t="shared" si="5"/>
        <v>105.3</v>
      </c>
    </row>
    <row r="179" spans="5:7">
      <c r="E179" s="97">
        <v>1.75</v>
      </c>
      <c r="F179" s="128">
        <f t="shared" si="4"/>
        <v>2686.5</v>
      </c>
      <c r="G179" s="129">
        <f t="shared" si="5"/>
        <v>105.9</v>
      </c>
    </row>
    <row r="180" spans="5:7">
      <c r="E180" s="97">
        <v>1.76</v>
      </c>
      <c r="F180" s="128">
        <f t="shared" si="4"/>
        <v>2702</v>
      </c>
      <c r="G180" s="129">
        <f t="shared" si="5"/>
        <v>106.5</v>
      </c>
    </row>
    <row r="181" spans="5:7">
      <c r="E181" s="97">
        <v>1.77</v>
      </c>
      <c r="F181" s="128">
        <f t="shared" si="4"/>
        <v>2717</v>
      </c>
      <c r="G181" s="129">
        <f t="shared" si="5"/>
        <v>107.1</v>
      </c>
    </row>
    <row r="182" spans="5:7">
      <c r="E182" s="97">
        <v>1.78</v>
      </c>
      <c r="F182" s="128">
        <f t="shared" si="4"/>
        <v>2732.5</v>
      </c>
      <c r="G182" s="129">
        <f t="shared" si="5"/>
        <v>107.7</v>
      </c>
    </row>
    <row r="183" spans="5:7">
      <c r="E183" s="97">
        <v>1.79</v>
      </c>
      <c r="F183" s="128">
        <f t="shared" si="4"/>
        <v>2748</v>
      </c>
      <c r="G183" s="129">
        <f t="shared" si="5"/>
        <v>108.3</v>
      </c>
    </row>
    <row r="184" spans="5:7">
      <c r="E184" s="97">
        <v>1.8</v>
      </c>
      <c r="F184" s="128">
        <f t="shared" si="4"/>
        <v>2763</v>
      </c>
      <c r="G184" s="129">
        <f t="shared" si="5"/>
        <v>108.9</v>
      </c>
    </row>
    <row r="185" spans="5:7">
      <c r="E185" s="97">
        <v>1.81</v>
      </c>
      <c r="F185" s="128">
        <f t="shared" si="4"/>
        <v>2778.5</v>
      </c>
      <c r="G185" s="129">
        <f t="shared" si="5"/>
        <v>109.5</v>
      </c>
    </row>
    <row r="186" spans="5:7">
      <c r="E186" s="97">
        <v>1.82</v>
      </c>
      <c r="F186" s="128">
        <f t="shared" si="4"/>
        <v>2794</v>
      </c>
      <c r="G186" s="129">
        <f t="shared" si="5"/>
        <v>110.1</v>
      </c>
    </row>
    <row r="187" spans="5:7">
      <c r="E187" s="97">
        <v>1.83</v>
      </c>
      <c r="F187" s="128">
        <f t="shared" si="4"/>
        <v>2809.5</v>
      </c>
      <c r="G187" s="129">
        <f t="shared" si="5"/>
        <v>110.7</v>
      </c>
    </row>
    <row r="188" spans="5:7">
      <c r="E188" s="97">
        <v>1.84</v>
      </c>
      <c r="F188" s="128">
        <f t="shared" si="4"/>
        <v>2824.5</v>
      </c>
      <c r="G188" s="129">
        <f t="shared" si="5"/>
        <v>111.3</v>
      </c>
    </row>
    <row r="189" spans="5:7">
      <c r="E189" s="97">
        <v>1.85</v>
      </c>
      <c r="F189" s="128">
        <f t="shared" si="4"/>
        <v>2840</v>
      </c>
      <c r="G189" s="129">
        <f t="shared" si="5"/>
        <v>111.9</v>
      </c>
    </row>
    <row r="190" spans="5:7">
      <c r="E190" s="97">
        <v>1.86</v>
      </c>
      <c r="F190" s="128">
        <f t="shared" si="4"/>
        <v>2855.5</v>
      </c>
      <c r="G190" s="129">
        <f t="shared" si="5"/>
        <v>112.5</v>
      </c>
    </row>
    <row r="191" spans="5:7">
      <c r="E191" s="97">
        <v>1.87</v>
      </c>
      <c r="F191" s="128">
        <f t="shared" si="4"/>
        <v>2870.5</v>
      </c>
      <c r="G191" s="129">
        <f t="shared" si="5"/>
        <v>113.1</v>
      </c>
    </row>
    <row r="192" spans="5:7">
      <c r="E192" s="97">
        <v>1.88</v>
      </c>
      <c r="F192" s="128">
        <f t="shared" si="4"/>
        <v>2886</v>
      </c>
      <c r="G192" s="129">
        <f t="shared" si="5"/>
        <v>113.7</v>
      </c>
    </row>
    <row r="193" spans="5:7">
      <c r="E193" s="97">
        <v>1.89</v>
      </c>
      <c r="F193" s="128">
        <f t="shared" si="4"/>
        <v>2901.5</v>
      </c>
      <c r="G193" s="129">
        <f t="shared" si="5"/>
        <v>114.3</v>
      </c>
    </row>
    <row r="194" spans="5:7">
      <c r="E194" s="97">
        <v>1.9</v>
      </c>
      <c r="F194" s="128">
        <f t="shared" si="4"/>
        <v>2916.5</v>
      </c>
      <c r="G194" s="129">
        <f t="shared" si="5"/>
        <v>114.9</v>
      </c>
    </row>
    <row r="195" spans="5:7">
      <c r="E195" s="97">
        <v>1.91</v>
      </c>
      <c r="F195" s="128">
        <f t="shared" si="4"/>
        <v>2932</v>
      </c>
      <c r="G195" s="129">
        <f t="shared" si="5"/>
        <v>115.5</v>
      </c>
    </row>
    <row r="196" spans="5:7">
      <c r="E196" s="97">
        <v>1.92</v>
      </c>
      <c r="F196" s="128">
        <f t="shared" si="4"/>
        <v>2947.5</v>
      </c>
      <c r="G196" s="129">
        <f t="shared" si="5"/>
        <v>116.2</v>
      </c>
    </row>
    <row r="197" spans="5:7">
      <c r="E197" s="97">
        <v>1.93</v>
      </c>
      <c r="F197" s="128">
        <f t="shared" si="4"/>
        <v>2963</v>
      </c>
      <c r="G197" s="129">
        <f t="shared" si="5"/>
        <v>116.8</v>
      </c>
    </row>
    <row r="198" spans="5:7">
      <c r="E198" s="97">
        <v>1.94</v>
      </c>
      <c r="F198" s="128">
        <f t="shared" ref="F198:F204" si="6">CEILING($C$4*10*E198,0.5)</f>
        <v>2978</v>
      </c>
      <c r="G198" s="129">
        <f t="shared" ref="G198:G204" si="7">ROUND(F198/$C$5,1)</f>
        <v>117.4</v>
      </c>
    </row>
    <row r="199" spans="5:7">
      <c r="E199" s="97">
        <v>1.95</v>
      </c>
      <c r="F199" s="128">
        <f t="shared" si="6"/>
        <v>2993.5</v>
      </c>
      <c r="G199" s="129">
        <f t="shared" si="7"/>
        <v>118</v>
      </c>
    </row>
    <row r="200" spans="5:7">
      <c r="E200" s="97">
        <v>1.96</v>
      </c>
      <c r="F200" s="128">
        <f t="shared" si="6"/>
        <v>3009</v>
      </c>
      <c r="G200" s="129">
        <f t="shared" si="7"/>
        <v>118.6</v>
      </c>
    </row>
    <row r="201" spans="5:7">
      <c r="E201" s="97">
        <v>1.97</v>
      </c>
      <c r="F201" s="128">
        <f t="shared" si="6"/>
        <v>3024</v>
      </c>
      <c r="G201" s="129">
        <f t="shared" si="7"/>
        <v>119.2</v>
      </c>
    </row>
    <row r="202" spans="5:7">
      <c r="E202" s="97">
        <v>1.98</v>
      </c>
      <c r="F202" s="128">
        <f t="shared" si="6"/>
        <v>3039.5</v>
      </c>
      <c r="G202" s="129">
        <f t="shared" si="7"/>
        <v>119.8</v>
      </c>
    </row>
    <row r="203" spans="5:7">
      <c r="E203" s="97">
        <v>1.99</v>
      </c>
      <c r="F203" s="128">
        <f t="shared" si="6"/>
        <v>3055</v>
      </c>
      <c r="G203" s="129">
        <f t="shared" si="7"/>
        <v>120.4</v>
      </c>
    </row>
    <row r="204" spans="5:7">
      <c r="E204" s="97">
        <v>2</v>
      </c>
      <c r="F204" s="128">
        <f t="shared" si="6"/>
        <v>3070</v>
      </c>
      <c r="G204" s="129">
        <f t="shared" si="7"/>
        <v>121</v>
      </c>
    </row>
  </sheetData>
  <pageMargins left="0.78740157499999996" right="0.78740157499999996" top="0.984251969" bottom="0.984251969" header="0.4921259845" footer="0.4921259845"/>
  <pageSetup paperSize="9" orientation="portrait"/>
  <headerFooter alignWithMargins="0"/>
  <ignoredErrors>
    <ignoredError sqref="F5:G204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4</vt:i4>
      </vt:variant>
    </vt:vector>
  </HeadingPairs>
  <TitlesOfParts>
    <vt:vector size="13" baseType="lpstr">
      <vt:lpstr>faktura</vt:lpstr>
      <vt:lpstr>oblasti</vt:lpstr>
      <vt:lpstr>kurz.lístek</vt:lpstr>
      <vt:lpstr>počet a průměr</vt:lpstr>
      <vt:lpstr>vyhodnocení testu</vt:lpstr>
      <vt:lpstr>mat.výrazy</vt:lpstr>
      <vt:lpstr>procenta</vt:lpstr>
      <vt:lpstr>(ne)rychlé fce</vt:lpstr>
      <vt:lpstr>kurz</vt:lpstr>
      <vt:lpstr>enviro</vt:lpstr>
      <vt:lpstr>indinum</vt:lpstr>
      <vt:lpstr>indivar</vt:lpstr>
      <vt:lpstr>kurz_dolar</vt:lpstr>
    </vt:vector>
  </TitlesOfParts>
  <Company>PedF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Leipert</dc:creator>
  <cp:lastModifiedBy>Karel Hlas</cp:lastModifiedBy>
  <dcterms:created xsi:type="dcterms:W3CDTF">2007-05-31T15:32:37Z</dcterms:created>
  <dcterms:modified xsi:type="dcterms:W3CDTF">2026-10-02T06:21:22Z</dcterms:modified>
</cp:coreProperties>
</file>