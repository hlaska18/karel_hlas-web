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BS1A\"/>
    </mc:Choice>
  </mc:AlternateContent>
  <xr:revisionPtr revIDLastSave="0" documentId="13_ncr:1_{5EE388DC-F694-44E5-8E1D-41C696F1181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ryby" sheetId="20" r:id="rId1"/>
    <sheet name="letušky" sheetId="18" r:id="rId2"/>
    <sheet name="náhrdelníky" sheetId="21" r:id="rId3"/>
    <sheet name="ponorkáři" sheetId="17" r:id="rId4"/>
    <sheet name="ceník vín" sheetId="1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<sst xmlns="http://schemas.openxmlformats.org/spreadsheetml/2006/main" count="482" uniqueCount="80">
  <si>
    <t>ryba:</t>
  </si>
  <si>
    <t>amur</t>
  </si>
  <si>
    <t>kapr</t>
  </si>
  <si>
    <t>tolstolobik</t>
  </si>
  <si>
    <t>váha:</t>
  </si>
  <si>
    <r>
      <t xml:space="preserve">cena ryby za </t>
    </r>
    <r>
      <rPr>
        <b/>
        <sz val="10"/>
        <color indexed="10"/>
        <rFont val="Arial"/>
        <family val="2"/>
        <charset val="238"/>
      </rPr>
      <t>1 kg:</t>
    </r>
  </si>
  <si>
    <r>
      <t xml:space="preserve">příplatek za výběrovou rybu nad </t>
    </r>
    <r>
      <rPr>
        <b/>
        <sz val="10"/>
        <color indexed="10"/>
        <rFont val="Arial"/>
        <family val="2"/>
        <charset val="238"/>
      </rPr>
      <t>3 kg</t>
    </r>
    <r>
      <rPr>
        <b/>
        <sz val="10"/>
        <rFont val="Arial"/>
        <family val="2"/>
        <charset val="238"/>
      </rPr>
      <t xml:space="preserve"> váhy:</t>
    </r>
  </si>
  <si>
    <t>číslo uchazeče</t>
  </si>
  <si>
    <t>pohlaví</t>
  </si>
  <si>
    <t>výška</t>
  </si>
  <si>
    <t>K pohovoru</t>
  </si>
  <si>
    <t>náhrdelník</t>
  </si>
  <si>
    <t>váha</t>
  </si>
  <si>
    <t>přívěšek</t>
  </si>
  <si>
    <t>ceny za 1 gram:</t>
  </si>
  <si>
    <t>zlato</t>
  </si>
  <si>
    <t>stříbro</t>
  </si>
  <si>
    <t>platina</t>
  </si>
  <si>
    <t>perla</t>
  </si>
  <si>
    <t>diamant</t>
  </si>
  <si>
    <t>cena za náhrdelník:</t>
  </si>
  <si>
    <t>číslo adepta</t>
  </si>
  <si>
    <t>váha (kg)</t>
  </si>
  <si>
    <t>výška (cm)</t>
  </si>
  <si>
    <t>Status</t>
  </si>
  <si>
    <t>$</t>
  </si>
  <si>
    <t>počet vín starších než ročník 2000:</t>
  </si>
  <si>
    <t>€</t>
  </si>
  <si>
    <t>počet středně drahých vín:</t>
  </si>
  <si>
    <t>Ceny</t>
  </si>
  <si>
    <t>ročník</t>
  </si>
  <si>
    <t>nákupní</t>
  </si>
  <si>
    <t>prodejní (Kč)</t>
  </si>
  <si>
    <t>cena ($)</t>
  </si>
  <si>
    <t>cena (€)</t>
  </si>
  <si>
    <t>GB Sparkling</t>
  </si>
  <si>
    <t>PINOT NOIR CHARDONNAY</t>
  </si>
  <si>
    <t>SHIRAZ/CABERNET SPARKLING</t>
  </si>
  <si>
    <t>GB Whites</t>
  </si>
  <si>
    <t>THORN EDEN VALLEY RIESLING</t>
  </si>
  <si>
    <t>KRAFT SAUVIGNON BLANC</t>
  </si>
  <si>
    <t>ZERK SEMILLON</t>
  </si>
  <si>
    <t>SUMMERS CHARDONNAY</t>
  </si>
  <si>
    <t>LILY FARM MUSCAT LATE HARVEST</t>
  </si>
  <si>
    <t>LILY FARM MUSCAT/FRONTIGNAC</t>
  </si>
  <si>
    <t>GB Reds</t>
  </si>
  <si>
    <t>HILLCOT MERLOT</t>
  </si>
  <si>
    <t>MIAMBA SHIRAZ</t>
  </si>
  <si>
    <t>CAMERON VALE CABERNET SAUVIGNON</t>
  </si>
  <si>
    <t>GB Icon</t>
  </si>
  <si>
    <t>SHADRAH CABERNET SAUVIGNON</t>
  </si>
  <si>
    <t>MESHACH SHIRAZ</t>
  </si>
  <si>
    <t>ABEDNEGO (SMG)</t>
  </si>
  <si>
    <t>GB Barossa</t>
  </si>
  <si>
    <t>BAROSSA CHARDONNAY</t>
  </si>
  <si>
    <t xml:space="preserve">BAROSSA SEMILLON </t>
  </si>
  <si>
    <t>BAROSSA SEMILLON SAUVIGNON BLANC</t>
  </si>
  <si>
    <t>BAROSSA RIESLING</t>
  </si>
  <si>
    <t>BAROSSA CABERNET MERLOT</t>
  </si>
  <si>
    <t>BAROSSA SHIRAZ</t>
  </si>
  <si>
    <t>GB Distinction</t>
  </si>
  <si>
    <t>FILSELL SHIRAZ</t>
  </si>
  <si>
    <t>THE HOLY TRINITY (GSM)</t>
  </si>
  <si>
    <t xml:space="preserve">BALTHASAR SHIRAZ LIGONIER                 </t>
  </si>
  <si>
    <t xml:space="preserve">NABUCHADNEZZAR SHIRAZ CABERNET </t>
  </si>
  <si>
    <t>GB Fortified</t>
  </si>
  <si>
    <t xml:space="preserve">20 YEAR TAWNY </t>
  </si>
  <si>
    <t xml:space="preserve">10 YEAR TAWNY </t>
  </si>
  <si>
    <t>AGED TAWNY</t>
  </si>
  <si>
    <t>GB Boomerang</t>
  </si>
  <si>
    <t>BOOMERANG CABERNET SHIRAZ</t>
  </si>
  <si>
    <t>BOOMERANG COLOMBARD CHARDONNAY</t>
  </si>
  <si>
    <t>POČET</t>
  </si>
  <si>
    <t>PROCENTA</t>
  </si>
  <si>
    <t>Přijat</t>
  </si>
  <si>
    <t>Nepřijat</t>
  </si>
  <si>
    <t>Přibrat</t>
  </si>
  <si>
    <t>Zhubnout</t>
  </si>
  <si>
    <t>ano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</si>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</sst>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Kč&quot;_-;\-* #,##0.00\ &quot;Kč&quot;_-;_-* &quot;-&quot;??\ &quot;Kč&quot;_-;_-@_-"/>
    <numFmt numFmtId="164" formatCode="#&quot; gramů&quot;"/>
    <numFmt numFmtId="165" formatCode="#,##0.00\ [$Kč-405]"/>
    <numFmt numFmtId="166" formatCode="#,##0\ [$Kč-405]"/>
    <numFmt numFmtId="167" formatCode="#,##0.00\ &quot;Kč&quot;"/>
    <numFmt numFmtId="168" formatCode="0.0"/>
    <numFmt numFmtId="169" formatCode="[$€-2]\ #,##0.00"/>
    <numFmt numFmtId="170" formatCode="[$$-409]#,##0.00"/>
  </numFmts>
  <fonts count="17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0"/>
      <name val="Arial"/>
      <charset val="238"/>
    </font>
    <font>
      <b/>
      <sz val="12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indexed="8"/>
      <name val="Calibri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 CE"/>
    </font>
    <font>
      <b/>
      <sz val="10"/>
      <color indexed="12"/>
      <name val="Arial CE"/>
      <charset val="238"/>
    </font>
    <font>
      <sz val="10"/>
      <name val="Arial CE"/>
    </font>
    <font>
      <b/>
      <sz val="10"/>
      <color indexed="8"/>
      <name val="Arial CE"/>
    </font>
    <font>
      <b/>
      <sz val="14"/>
      <name val="Arial"/>
      <family val="2"/>
      <charset val="238"/>
    </font>
    <font>
      <b/>
      <sz val="18"/>
      <name val="Arial"/>
      <family val="2"/>
      <charset val="238"/>
    </font>
    <font>
      <b/>
      <sz val="10"/>
      <color indexed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color theme="0"/>
      <name val="Arial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DDCF3"/>
        <bgColor indexed="64"/>
      </patternFill>
    </fill>
    <fill>
      <patternFill patternType="solid">
        <fgColor rgb="FFF4FAA6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thin">
        <color rgb="FFFF0000"/>
      </left>
      <right/>
      <top/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</borders>
  <cellStyleXfs count="9">
    <xf numFmtId="0" fontId="0" fillId="0" borderId="0"/>
    <xf numFmtId="44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5" fillId="0" borderId="0"/>
    <xf numFmtId="0" fontId="15" fillId="0" borderId="0"/>
    <xf numFmtId="0" fontId="6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Protection="1">
      <protection hidden="1"/>
    </xf>
    <xf numFmtId="0" fontId="3" fillId="6" borderId="8" xfId="0" applyFont="1" applyFill="1" applyBorder="1" applyAlignment="1" applyProtection="1">
      <alignment horizontal="center" vertical="center"/>
      <protection hidden="1"/>
    </xf>
    <xf numFmtId="0" fontId="3" fillId="6" borderId="9" xfId="0" applyFont="1" applyFill="1" applyBorder="1" applyAlignment="1" applyProtection="1">
      <alignment horizontal="center" vertical="center"/>
      <protection hidden="1"/>
    </xf>
    <xf numFmtId="0" fontId="3" fillId="7" borderId="9" xfId="0" applyFont="1" applyFill="1" applyBorder="1" applyAlignment="1" applyProtection="1">
      <alignment horizontal="center" vertical="center"/>
      <protection hidden="1"/>
    </xf>
    <xf numFmtId="0" fontId="3" fillId="7" borderId="10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5" fillId="0" borderId="0" xfId="4"/>
    <xf numFmtId="0" fontId="15" fillId="0" borderId="0" xfId="4" applyAlignment="1">
      <alignment horizontal="center"/>
    </xf>
    <xf numFmtId="0" fontId="5" fillId="2" borderId="0" xfId="4" applyFont="1" applyFill="1" applyAlignment="1">
      <alignment horizontal="center"/>
    </xf>
    <xf numFmtId="0" fontId="5" fillId="2" borderId="0" xfId="4" applyFont="1" applyFill="1"/>
    <xf numFmtId="0" fontId="5" fillId="3" borderId="0" xfId="4" applyFont="1" applyFill="1" applyAlignment="1">
      <alignment horizontal="center"/>
    </xf>
    <xf numFmtId="0" fontId="6" fillId="0" borderId="0" xfId="0" applyFont="1"/>
    <xf numFmtId="0" fontId="7" fillId="0" borderId="0" xfId="0" applyFont="1"/>
    <xf numFmtId="165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/>
    <xf numFmtId="2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166" fontId="8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5" fontId="8" fillId="0" borderId="0" xfId="0" applyNumberFormat="1" applyFont="1"/>
    <xf numFmtId="0" fontId="3" fillId="4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5" borderId="4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6" fillId="0" borderId="0" xfId="0" applyFont="1" applyProtection="1">
      <protection hidden="1"/>
    </xf>
    <xf numFmtId="44" fontId="3" fillId="8" borderId="11" xfId="2" applyFont="1" applyFill="1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44" fontId="7" fillId="9" borderId="0" xfId="2" applyFont="1" applyFill="1" applyAlignment="1" applyProtection="1">
      <alignment horizontal="center" vertical="center"/>
      <protection hidden="1"/>
    </xf>
    <xf numFmtId="0" fontId="7" fillId="9" borderId="0" xfId="0" applyFont="1" applyFill="1" applyAlignment="1">
      <alignment horizontal="center" vertical="center"/>
    </xf>
    <xf numFmtId="2" fontId="7" fillId="10" borderId="0" xfId="0" applyNumberFormat="1" applyFont="1" applyFill="1" applyAlignment="1" applyProtection="1">
      <alignment horizontal="center" vertical="center"/>
      <protection hidden="1"/>
    </xf>
    <xf numFmtId="0" fontId="7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2" borderId="0" xfId="0" applyFont="1" applyFill="1" applyAlignment="1" applyProtection="1">
      <alignment horizontal="center" vertical="center"/>
      <protection hidden="1"/>
    </xf>
    <xf numFmtId="0" fontId="7" fillId="12" borderId="0" xfId="0" applyFont="1" applyFill="1" applyAlignment="1">
      <alignment horizontal="center" vertical="center"/>
    </xf>
    <xf numFmtId="167" fontId="3" fillId="13" borderId="0" xfId="0" applyNumberFormat="1" applyFont="1" applyFill="1" applyAlignment="1" applyProtection="1">
      <alignment horizontal="center" vertical="center"/>
      <protection hidden="1"/>
    </xf>
    <xf numFmtId="0" fontId="3" fillId="13" borderId="0" xfId="0" applyFont="1" applyFill="1" applyAlignment="1" applyProtection="1">
      <alignment horizontal="center" vertical="center"/>
      <protection hidden="1"/>
    </xf>
    <xf numFmtId="167" fontId="3" fillId="14" borderId="0" xfId="0" applyNumberFormat="1" applyFont="1" applyFill="1" applyAlignment="1" applyProtection="1">
      <alignment horizontal="center" vertical="center"/>
      <protection hidden="1"/>
    </xf>
    <xf numFmtId="0" fontId="3" fillId="14" borderId="0" xfId="0" applyFont="1" applyFill="1" applyAlignment="1" applyProtection="1">
      <alignment horizontal="center" vertical="center"/>
      <protection hidden="1"/>
    </xf>
    <xf numFmtId="164" fontId="3" fillId="13" borderId="15" xfId="0" applyNumberFormat="1" applyFont="1" applyFill="1" applyBorder="1" applyAlignment="1" applyProtection="1">
      <alignment horizontal="center" vertical="center"/>
      <protection hidden="1"/>
    </xf>
    <xf numFmtId="0" fontId="3" fillId="13" borderId="16" xfId="0" applyFont="1" applyFill="1" applyBorder="1" applyAlignment="1" applyProtection="1">
      <alignment horizontal="center" vertical="center"/>
      <protection hidden="1"/>
    </xf>
    <xf numFmtId="164" fontId="3" fillId="14" borderId="16" xfId="0" applyNumberFormat="1" applyFont="1" applyFill="1" applyBorder="1" applyAlignment="1" applyProtection="1">
      <alignment horizontal="center" vertical="center"/>
      <protection hidden="1"/>
    </xf>
    <xf numFmtId="0" fontId="3" fillId="14" borderId="17" xfId="0" applyFont="1" applyFill="1" applyBorder="1" applyAlignment="1" applyProtection="1">
      <alignment horizontal="center" vertical="center"/>
      <protection hidden="1"/>
    </xf>
    <xf numFmtId="167" fontId="0" fillId="8" borderId="11" xfId="0" applyNumberFormat="1" applyFill="1" applyBorder="1" applyProtection="1">
      <protection locked="0"/>
    </xf>
    <xf numFmtId="0" fontId="1" fillId="0" borderId="0" xfId="4" applyFont="1"/>
    <xf numFmtId="168" fontId="15" fillId="0" borderId="0" xfId="4" applyNumberFormat="1"/>
    <xf numFmtId="169" fontId="6" fillId="0" borderId="0" xfId="0" applyNumberFormat="1" applyFont="1"/>
    <xf numFmtId="170" fontId="6" fillId="0" borderId="0" xfId="0" applyNumberFormat="1" applyFont="1"/>
    <xf numFmtId="167" fontId="6" fillId="0" borderId="0" xfId="0" applyNumberFormat="1" applyFont="1"/>
    <xf numFmtId="0" fontId="0" fillId="0" borderId="20" xfId="0" applyBorder="1"/>
    <xf numFmtId="0" fontId="0" fillId="0" borderId="21" xfId="0" applyBorder="1"/>
    <xf numFmtId="2" fontId="0" fillId="0" borderId="22" xfId="0" applyNumberFormat="1" applyBorder="1" applyProtection="1">
      <protection locked="0"/>
    </xf>
    <xf numFmtId="0" fontId="0" fillId="0" borderId="23" xfId="0" applyBorder="1" applyProtection="1">
      <protection locked="0"/>
    </xf>
    <xf numFmtId="0" fontId="0" fillId="0" borderId="14" xfId="0" applyBorder="1" applyProtection="1">
      <protection hidden="1"/>
    </xf>
    <xf numFmtId="0" fontId="0" fillId="0" borderId="13" xfId="0" applyBorder="1"/>
    <xf numFmtId="0" fontId="0" fillId="0" borderId="12" xfId="0" applyBorder="1"/>
    <xf numFmtId="167" fontId="0" fillId="0" borderId="11" xfId="0" applyNumberFormat="1" applyBorder="1" applyProtection="1">
      <protection locked="0"/>
    </xf>
    <xf numFmtId="0" fontId="7" fillId="6" borderId="8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9" fontId="7" fillId="6" borderId="10" xfId="8" applyFont="1" applyFill="1" applyBorder="1" applyAlignment="1" applyProtection="1">
      <alignment horizontal="center" vertical="center"/>
      <protection hidden="1"/>
    </xf>
    <xf numFmtId="9" fontId="7" fillId="6" borderId="19" xfId="8" applyFont="1" applyFill="1" applyBorder="1" applyAlignment="1" applyProtection="1">
      <alignment horizontal="center" vertical="center"/>
      <protection hidden="1"/>
    </xf>
    <xf numFmtId="9" fontId="7" fillId="6" borderId="15" xfId="8" applyFont="1" applyFill="1" applyBorder="1" applyAlignment="1" applyProtection="1">
      <alignment horizontal="center" vertical="center"/>
      <protection hidden="1"/>
    </xf>
    <xf numFmtId="0" fontId="3" fillId="15" borderId="0" xfId="0" applyFont="1" applyFill="1" applyAlignment="1" applyProtection="1">
      <alignment horizontal="center" vertical="center"/>
      <protection hidden="1"/>
    </xf>
    <xf numFmtId="0" fontId="3" fillId="6" borderId="0" xfId="0" applyFont="1" applyFill="1" applyAlignment="1" applyProtection="1">
      <alignment horizontal="center" vertical="center"/>
      <protection hidden="1"/>
    </xf>
    <xf numFmtId="0" fontId="3" fillId="7" borderId="0" xfId="0" applyFont="1" applyFill="1" applyAlignment="1" applyProtection="1">
      <alignment horizontal="center" vertical="center"/>
      <protection hidden="1"/>
    </xf>
    <xf numFmtId="0" fontId="7" fillId="5" borderId="4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</cellXfs>
  <cellStyles count="9">
    <cellStyle name="Měna 2" xfId="1" xr:uid="{00000000-0005-0000-0000-000000000000}"/>
    <cellStyle name="Měna 3" xfId="2" xr:uid="{00000000-0005-0000-0000-000001000000}"/>
    <cellStyle name="měny 2" xfId="3" xr:uid="{00000000-0005-0000-0000-000002000000}"/>
    <cellStyle name="Normal" xfId="0" builtinId="0"/>
    <cellStyle name="normální 2" xfId="4" xr:uid="{00000000-0005-0000-0000-000004000000}"/>
    <cellStyle name="Normální 3" xfId="5" xr:uid="{00000000-0005-0000-0000-000005000000}"/>
    <cellStyle name="normální 4" xfId="6" xr:uid="{00000000-0005-0000-0000-000006000000}"/>
    <cellStyle name="Procenta 2" xfId="7" xr:uid="{00000000-0005-0000-0000-000007000000}"/>
    <cellStyle name="Procenta 3" xfId="8" xr:uid="{00000000-0005-0000-0000-000008000000}"/>
  </cellStyles>
  <dxfs count="3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57151</xdr:colOff>
      <xdr:row>10</xdr:row>
      <xdr:rowOff>76201</xdr:rowOff>
    </xdr:from>
    <xdr:to>
      <xdr:col>10</xdr:col>
      <xdr:colOff>428626</xdr:colOff>
      <xdr:row>23</xdr:row>
      <xdr:rowOff>142875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495551" y="1695451"/>
          <a:ext cx="4029075" cy="2171699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72000" rIns="27432" bIns="22860" anchor="ctr" upright="1"/>
        <a:lstStyle/>
        <a:p>
          <a:pPr marL="228600" marR="0" lvl="0" indent="-22860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1200"/>
            </a:spcAft>
            <a:buClrTx/>
            <a:buSzTx/>
            <a:buFont typeface="+mj-lt"/>
            <a:buAutoNum type="arabicParenR"/>
            <a:tabLst/>
            <a:defRPr sz="1000"/>
          </a:pP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v buňce 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C12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je očekáván výpočet ceny za druh a váhu ryby v buňkách 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C3:C4</a:t>
          </a:r>
        </a:p>
        <a:p>
          <a:pPr marL="228600" marR="0" lvl="0" indent="-22860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1200"/>
            </a:spcAft>
            <a:buClrTx/>
            <a:buSzTx/>
            <a:buFont typeface="+mj-lt"/>
            <a:buAutoNum type="arabicParenR"/>
            <a:tabLst/>
            <a:defRPr sz="1000"/>
          </a:pP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buňky 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C6:C9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(v červeném ohraničení) jsou odemknuty a chápány jako pomocné a výpočtové (nemusí jich býti využito, záleží na typu vytvářeného algoritmu)</a:t>
          </a:r>
        </a:p>
        <a:p>
          <a:pPr marL="228600" marR="0" lvl="0" indent="-22860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1200"/>
            </a:spcAft>
            <a:buClrTx/>
            <a:buSzTx/>
            <a:buFont typeface="+mj-lt"/>
            <a:buAutoNum type="arabicParenR"/>
            <a:tabLst/>
            <a:defRPr sz="1000"/>
          </a:pP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je-li jakákoli ryba těžší než 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3 kg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, připočítává se k ceně příplatek viz buňka 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G6</a:t>
          </a:r>
        </a:p>
        <a:p>
          <a:pPr marL="228600" marR="0" lvl="0" indent="-22860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1200"/>
            </a:spcAft>
            <a:buClrTx/>
            <a:buSzTx/>
            <a:buFont typeface="+mj-lt"/>
            <a:buAutoNum type="arabicParenR"/>
            <a:tabLst/>
            <a:defRPr sz="1000"/>
          </a:pP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výslednou cenu v buňce 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C12</a:t>
          </a:r>
          <a:r>
            <a:rPr kumimoji="0" lang="cs-CZ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zaokrouhlete nahoru "na korunu"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0</xdr:row>
      <xdr:rowOff>57151</xdr:rowOff>
    </xdr:from>
    <xdr:to>
      <xdr:col>14</xdr:col>
      <xdr:colOff>447675</xdr:colOff>
      <xdr:row>17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962525" y="57151"/>
          <a:ext cx="4429125" cy="3276599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t" upright="1"/>
        <a:lstStyle/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Vyhodnocování fyzických parametrů uchazečů o službu letušky/stewarda:</a:t>
          </a: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předpokládejme, že pro povolání letušky/stewarda jsou závazné níže uvedené podmínky pro potřebnou výšku postavy a tedy na základě takto definované "vhodnosti" potřebujeme u anonymních uchazečů v tabulce vyhodnotit zdali ji splňují/nesplňují...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Calibri"/>
            </a:rPr>
            <a:t>• 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výška muže musí být mezi 170 - 190 cm</a:t>
          </a: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Calibri"/>
            </a:rPr>
            <a:t>• 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výška ženy musí být mezi 160 - 180 cm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Do adekvátních řádků ve sloupci E vyjádřete slovy </a:t>
          </a:r>
          <a:r>
            <a:rPr lang="cs-CZ" sz="1100" b="1" i="0" u="none" strike="noStrike" baseline="0">
              <a:solidFill>
                <a:srgbClr val="008000"/>
              </a:solidFill>
              <a:latin typeface="Arial"/>
              <a:cs typeface="Arial"/>
            </a:rPr>
            <a:t>ano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/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ne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 zdali daný uchazeč(ka) splňuje požadovaná kritéria a je-li tedy možno předvolat/nepředvolat k následnému pohovoru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Spočítejte počty připouštěných/nepřipustitelných k pohovoru a graficky vyjádřete výsečovým grafem viz ukázka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Vyhodnocení musí být funkční i při libovolném "Přepočítání listu" klávesou F9 ;-)</a:t>
          </a:r>
        </a:p>
      </xdr:txBody>
    </xdr:sp>
    <xdr:clientData/>
  </xdr:twoCellAnchor>
  <xdr:twoCellAnchor editAs="oneCell">
    <xdr:from>
      <xdr:col>13</xdr:col>
      <xdr:colOff>142875</xdr:colOff>
      <xdr:row>17</xdr:row>
      <xdr:rowOff>161925</xdr:rowOff>
    </xdr:from>
    <xdr:to>
      <xdr:col>18</xdr:col>
      <xdr:colOff>447675</xdr:colOff>
      <xdr:row>33</xdr:row>
      <xdr:rowOff>0</xdr:rowOff>
    </xdr:to>
    <xdr:pic>
      <xdr:nvPicPr>
        <xdr:cNvPr id="4110" name="Obrázek 2" descr="snap_22.1.2009-10.26.26.gif">
          <a:extLst>
            <a:ext uri="{FF2B5EF4-FFF2-40B4-BE49-F238E27FC236}">
              <a16:creationId xmlns:a16="http://schemas.microsoft.com/office/drawing/2014/main" id="{00000000-0008-0000-0100-00000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0" y="3400425"/>
          <a:ext cx="3352800" cy="288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12</xdr:row>
      <xdr:rowOff>104774</xdr:rowOff>
    </xdr:from>
    <xdr:to>
      <xdr:col>8</xdr:col>
      <xdr:colOff>190500</xdr:colOff>
      <xdr:row>29</xdr:row>
      <xdr:rowOff>104775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2905125" y="2047874"/>
          <a:ext cx="2162175" cy="2752726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180000" tIns="180000" rIns="180000" bIns="180000" anchor="t" upright="1"/>
        <a:lstStyle/>
        <a:p>
          <a:pPr algn="l" rtl="0">
            <a:spcAft>
              <a:spcPts val="600"/>
            </a:spcAft>
            <a:defRPr sz="1000"/>
          </a:pPr>
          <a:r>
            <a:rPr lang="cs-CZ" sz="1400" b="1" i="0" strike="noStrike">
              <a:solidFill>
                <a:srgbClr val="000000"/>
              </a:solidFill>
              <a:latin typeface="Arial"/>
              <a:cs typeface="Arial"/>
            </a:rPr>
            <a:t>V</a:t>
          </a: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 buňkách </a:t>
          </a:r>
          <a:r>
            <a:rPr lang="cs-CZ" sz="1400" b="1" i="0" strike="noStrike" baseline="0">
              <a:solidFill>
                <a:srgbClr val="FF0000"/>
              </a:solidFill>
              <a:latin typeface="Arial"/>
              <a:cs typeface="Arial"/>
            </a:rPr>
            <a:t>B3:E3</a:t>
          </a: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 se mění po stisku klávesy </a:t>
          </a:r>
          <a:r>
            <a:rPr lang="cs-CZ" sz="1400" b="1" i="0" strike="noStrike" baseline="0">
              <a:solidFill>
                <a:srgbClr val="FF0000"/>
              </a:solidFill>
              <a:latin typeface="Arial"/>
              <a:cs typeface="Arial"/>
            </a:rPr>
            <a:t>F9</a:t>
          </a: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 typ a váha náhrdelníku a přívěšku, který se zrovna nabízí k prodeji. (někdy jde jen o náhrdelník bez přívěšku)</a:t>
          </a:r>
        </a:p>
        <a:p>
          <a:pPr algn="l" rtl="0">
            <a:spcAft>
              <a:spcPts val="600"/>
            </a:spcAft>
            <a:defRPr sz="1000"/>
          </a:pP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Vaším úkolem je vytvořit do buňky </a:t>
          </a:r>
          <a:r>
            <a:rPr lang="cs-CZ" sz="1400" b="1" i="0" strike="noStrike" baseline="0">
              <a:solidFill>
                <a:srgbClr val="FF0000"/>
              </a:solidFill>
              <a:latin typeface="Arial"/>
              <a:cs typeface="Arial"/>
            </a:rPr>
            <a:t>C16 </a:t>
          </a: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výraz, který bude vypočítávat správnou prodejní cenu za nabízený komplet či jen samotný náhrdelník.</a:t>
          </a:r>
        </a:p>
        <a:p>
          <a:pPr algn="l" rtl="0">
            <a:spcAft>
              <a:spcPts val="600"/>
            </a:spcAft>
            <a:defRPr sz="1000"/>
          </a:pP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Červeně orámované buňky </a:t>
          </a:r>
          <a:r>
            <a:rPr lang="cs-CZ" sz="1400" b="1" i="0" strike="noStrike" baseline="0">
              <a:solidFill>
                <a:srgbClr val="FF0000"/>
              </a:solidFill>
              <a:latin typeface="Arial"/>
              <a:cs typeface="Arial"/>
            </a:rPr>
            <a:t>C9:C13</a:t>
          </a: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 můžete použít pro mezivýpočty.</a:t>
          </a:r>
        </a:p>
        <a:p>
          <a:pPr algn="l" rtl="0">
            <a:spcAft>
              <a:spcPts val="600"/>
            </a:spcAft>
            <a:defRPr sz="1000"/>
          </a:pP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Výsledná cena musí být zaokrouhlena nahoru na koruny, mít dvě desetinná místa a symbol měny (</a:t>
          </a:r>
          <a:r>
            <a:rPr lang="cs-CZ" sz="1400" b="1" i="0" strike="noStrike" baseline="0">
              <a:solidFill>
                <a:srgbClr val="FF0000"/>
              </a:solidFill>
              <a:latin typeface="Arial"/>
              <a:cs typeface="Arial"/>
            </a:rPr>
            <a:t>Kč</a:t>
          </a:r>
          <a:r>
            <a:rPr lang="cs-CZ" sz="1400" b="1" i="0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  <a:p>
          <a:pPr algn="l" rtl="0">
            <a:lnSpc>
              <a:spcPts val="1400"/>
            </a:lnSpc>
            <a:defRPr sz="1000"/>
          </a:pPr>
          <a:endParaRPr lang="cs-CZ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0</xdr:row>
      <xdr:rowOff>66675</xdr:rowOff>
    </xdr:from>
    <xdr:to>
      <xdr:col>16</xdr:col>
      <xdr:colOff>476250</xdr:colOff>
      <xdr:row>19</xdr:row>
      <xdr:rowOff>47625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4352925" y="66675"/>
          <a:ext cx="5715000" cy="3600450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t" upright="1"/>
        <a:lstStyle/>
        <a:p>
          <a:pPr algn="l" rtl="0">
            <a:defRPr sz="1000"/>
          </a:pPr>
          <a:r>
            <a:rPr lang="cs-CZ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Vyhodnocování fyzických dispozic uchazečů o službu ponorkového námořníka:</a:t>
          </a: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předpokládejme, že pro povolání ponorkového námořníka jsou závazné níže uvedené podmínky pro potřebnou výšku postavy a  hmotnosti a tedy na základě takto definovaných "vhodností" potřebujeme u anonymních uchazečů v tabulce vyhodnotit zdali jsou ideálními nebo alespoň motivovatelnými kandidáty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Calibri"/>
            </a:rPr>
            <a:t>• 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výška uchazeče musí být do 176 cm</a:t>
          </a: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Calibri"/>
            </a:rPr>
            <a:t>• 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hmotnost uchazeče musí být mezi 68 až 79 kg</a:t>
          </a: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Calibri"/>
            </a:rPr>
            <a:t>• 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pokud je hmotnost uchazeče o 4 kg nižší nebo vyšší ale splňuje předepsanou výšku, nechť je vyhodnocen jako povolatelný, avšak s podmínkou na zhubnutí či přibrání na "váze"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Do adekvátních řádků ve sloupci 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 vyjádřete jedním ze slov 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přijat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/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nepřijat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/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zhubnout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/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přibrat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 status každého hodnoceného adepta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Spočítejte počty 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přijat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/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nepřijat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/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zhubnout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/</a:t>
          </a:r>
          <a:r>
            <a:rPr lang="cs-CZ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přibrat</a:t>
          </a: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 a graficky vyjádřete výsečovým grafem viz ukázka - tuto pak smažte...</a:t>
          </a:r>
        </a:p>
        <a:p>
          <a:pPr algn="l" rtl="0">
            <a:defRPr sz="1000"/>
          </a:pPr>
          <a:endParaRPr lang="cs-CZ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Vyhodnocení musí být funkční i při libovolném "Přepočítání listu" klávesou F9 ;-)</a:t>
          </a:r>
        </a:p>
      </xdr:txBody>
    </xdr:sp>
    <xdr:clientData/>
  </xdr:twoCellAnchor>
  <xdr:twoCellAnchor editAs="oneCell">
    <xdr:from>
      <xdr:col>12</xdr:col>
      <xdr:colOff>257175</xdr:colOff>
      <xdr:row>22</xdr:row>
      <xdr:rowOff>76200</xdr:rowOff>
    </xdr:from>
    <xdr:to>
      <xdr:col>18</xdr:col>
      <xdr:colOff>247650</xdr:colOff>
      <xdr:row>38</xdr:row>
      <xdr:rowOff>142875</xdr:rowOff>
    </xdr:to>
    <xdr:pic>
      <xdr:nvPicPr>
        <xdr:cNvPr id="1040" name="Picture 2" descr="snap_22">
          <a:extLst>
            <a:ext uri="{FF2B5EF4-FFF2-40B4-BE49-F238E27FC236}">
              <a16:creationId xmlns:a16="http://schemas.microsoft.com/office/drawing/2014/main" id="{00000000-0008-0000-03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267200"/>
          <a:ext cx="3648075" cy="3114675"/>
        </a:xfrm>
        <a:prstGeom prst="rect">
          <a:avLst/>
        </a:prstGeom>
        <a:noFill/>
        <a:ln w="28575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3</xdr:row>
      <xdr:rowOff>285749</xdr:rowOff>
    </xdr:from>
    <xdr:to>
      <xdr:col>9</xdr:col>
      <xdr:colOff>28574</xdr:colOff>
      <xdr:row>5</xdr:row>
      <xdr:rowOff>114299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476249" y="1238249"/>
          <a:ext cx="8620125" cy="1514475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do buněk D2:D3 vložte dnešní kurzy k euru a US dolaru</a:t>
          </a:r>
        </a:p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ve sloupci H spočítejte prodejní cenu - ta je navýšena o paušální rabat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20%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z nákupní ceny, pokud je však víno staršího ročníku než rok 2000, je tento rabat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33%</a:t>
          </a:r>
          <a:endParaRPr lang="cs-CZ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dopočítejte ceny v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€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a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$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, jako výchozí cenu k přepočtu použijte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prodejní (Kč)</a:t>
          </a:r>
          <a:endParaRPr lang="cs-CZ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ceny vín vyšší než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15€ 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včetně formátujte červeným tučným písmem</a:t>
          </a:r>
        </a:p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do buňky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I2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vložte počet vín, která jsou staršího ročníku než z roku 2000</a:t>
          </a:r>
        </a:p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do buňky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I3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vložte počet vín, která jsou v rozmezí cen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15-20€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(musí být funkční i při dramatických změnách kurzu)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topLeftCell="B1" workbookViewId="0">
      <selection activeCell="C13" sqref="C13"/>
    </sheetView>
  </sheetViews>
  <sheetFormatPr defaultRowHeight="12.75"/>
  <cols>
    <col min="2" max="2" width="13.42578125" customWidth="1"/>
    <col min="3" max="3" width="18.5703125" customWidth="1"/>
    <col min="6" max="6" width="17.42578125" customWidth="1"/>
    <col min="7" max="9" width="12.140625" customWidth="1"/>
  </cols>
  <sheetData>
    <row r="1" spans="1:10">
      <c r="C1" s="1"/>
    </row>
    <row r="2" spans="1:10">
      <c r="C2" s="1"/>
    </row>
    <row r="3" spans="1:10" ht="19.5" customHeight="1">
      <c r="B3" s="48" t="s">
        <v>0</v>
      </c>
      <c r="C3" s="47" t="str">
        <f ca="1">IF(RAND()&lt;0.33,"kapr",IF(RAND()&gt;0.66,"amur","tolstolobik"))</f>
        <v>amur</v>
      </c>
      <c r="F3" s="46"/>
      <c r="G3" s="45" t="s">
        <v>1</v>
      </c>
      <c r="H3" s="45" t="s">
        <v>2</v>
      </c>
      <c r="I3" s="45" t="s">
        <v>3</v>
      </c>
    </row>
    <row r="4" spans="1:10" ht="19.5" customHeight="1">
      <c r="B4" s="44" t="s">
        <v>4</v>
      </c>
      <c r="C4" s="43">
        <f ca="1">CEILING((RAND()*4)+2.5,0.05)</f>
        <v>3.75</v>
      </c>
      <c r="F4" s="42" t="s">
        <v>5</v>
      </c>
      <c r="G4" s="41">
        <f>55</f>
        <v>55</v>
      </c>
      <c r="H4" s="41">
        <f>66</f>
        <v>66</v>
      </c>
      <c r="I4" s="41">
        <f>62</f>
        <v>62</v>
      </c>
      <c r="J4" s="1"/>
    </row>
    <row r="5" spans="1:10" ht="13.5" thickBot="1">
      <c r="G5" s="1"/>
      <c r="H5" s="1"/>
      <c r="I5" s="1"/>
      <c r="J5" s="1"/>
    </row>
    <row r="6" spans="1:10" ht="11.25" customHeight="1">
      <c r="C6" s="6"/>
      <c r="F6" s="71" t="s">
        <v>6</v>
      </c>
      <c r="G6" s="74">
        <f>0.13</f>
        <v>0.13</v>
      </c>
      <c r="H6" s="1"/>
      <c r="I6" s="1"/>
      <c r="J6" s="1"/>
    </row>
    <row r="7" spans="1:10" ht="13.5" thickBot="1">
      <c r="C7" s="6"/>
      <c r="F7" s="72"/>
      <c r="G7" s="75"/>
      <c r="H7" s="1"/>
      <c r="I7" s="1"/>
      <c r="J7" s="1"/>
    </row>
    <row r="8" spans="1:10" ht="13.5" thickTop="1">
      <c r="C8" s="65"/>
      <c r="D8" s="64"/>
      <c r="F8" s="72"/>
      <c r="G8" s="75"/>
      <c r="H8" s="1"/>
      <c r="I8" s="1"/>
      <c r="J8" s="1"/>
    </row>
    <row r="9" spans="1:10" ht="13.5" thickBot="1">
      <c r="C9" s="66"/>
      <c r="F9" s="73"/>
      <c r="G9" s="76"/>
      <c r="H9" s="1"/>
      <c r="I9" s="1"/>
      <c r="J9" s="1"/>
    </row>
    <row r="10" spans="1:10" ht="13.5" thickTop="1">
      <c r="C10" s="6"/>
    </row>
    <row r="11" spans="1:10" ht="13.5" thickBot="1">
      <c r="C11" s="6"/>
    </row>
    <row r="12" spans="1:10" ht="25.5" customHeight="1" thickBot="1">
      <c r="C12" s="70"/>
    </row>
    <row r="13" spans="1:10">
      <c r="A13" s="1"/>
      <c r="B13" s="1"/>
      <c r="C13" s="1"/>
      <c r="D13" s="1"/>
      <c r="E13" s="1"/>
    </row>
    <row r="14" spans="1:10" ht="15" customHeight="1">
      <c r="A14" s="1"/>
      <c r="B14" s="1"/>
      <c r="C14" s="1"/>
      <c r="D14" s="1"/>
      <c r="E14" s="1"/>
    </row>
    <row r="15" spans="1:10">
      <c r="A15" s="1"/>
      <c r="B15" s="1"/>
      <c r="C15" s="1"/>
      <c r="D15" s="1"/>
      <c r="E15" s="1"/>
    </row>
    <row r="16" spans="1:10">
      <c r="A16" s="1"/>
      <c r="B16" s="1"/>
      <c r="C16" s="1"/>
      <c r="D16" s="1"/>
      <c r="E16" s="1"/>
    </row>
    <row r="17" spans="1:6">
      <c r="A17" s="1"/>
      <c r="B17" s="1"/>
      <c r="C17" s="1"/>
      <c r="D17" s="1"/>
      <c r="E17" s="1"/>
    </row>
    <row r="18" spans="1:6">
      <c r="A18" s="1"/>
      <c r="B18" s="1"/>
      <c r="C18" s="1"/>
      <c r="D18" s="1"/>
      <c r="E18" s="1"/>
    </row>
    <row r="19" spans="1:6">
      <c r="A19" s="1"/>
      <c r="B19" s="1"/>
      <c r="C19" s="1"/>
      <c r="D19" s="1"/>
      <c r="E19" s="1"/>
    </row>
    <row r="20" spans="1:6">
      <c r="A20" s="1"/>
      <c r="B20" s="1"/>
      <c r="C20" s="1"/>
      <c r="D20" s="1"/>
      <c r="E20" s="1"/>
    </row>
    <row r="21" spans="1:6">
      <c r="A21" s="1"/>
      <c r="B21" s="1"/>
      <c r="C21" s="1"/>
      <c r="D21" s="1"/>
      <c r="E21" s="1"/>
    </row>
    <row r="22" spans="1:6">
      <c r="A22" s="1"/>
      <c r="B22" s="1"/>
      <c r="C22" s="1"/>
      <c r="D22" s="1"/>
      <c r="E22" s="1"/>
    </row>
    <row r="23" spans="1:6">
      <c r="A23" s="1"/>
      <c r="B23" s="1"/>
      <c r="C23" s="1"/>
      <c r="D23" s="1"/>
      <c r="E23" s="1"/>
    </row>
    <row r="24" spans="1:6">
      <c r="A24" s="1"/>
      <c r="B24" s="1"/>
      <c r="C24" s="1"/>
      <c r="D24" s="1"/>
      <c r="E24" s="1"/>
    </row>
    <row r="25" spans="1:6">
      <c r="A25" s="1"/>
      <c r="B25" s="1"/>
      <c r="C25" s="1"/>
      <c r="D25" s="1"/>
      <c r="E25" s="1"/>
    </row>
    <row r="26" spans="1:6">
      <c r="A26" s="1"/>
      <c r="B26" s="1"/>
      <c r="C26" s="1"/>
      <c r="D26" s="1"/>
      <c r="E26" s="1"/>
    </row>
    <row r="27" spans="1:6">
      <c r="A27" s="1"/>
      <c r="B27" s="1"/>
      <c r="C27" s="1"/>
      <c r="D27" s="1"/>
      <c r="E27" s="1"/>
    </row>
    <row r="28" spans="1:6">
      <c r="A28" s="1"/>
      <c r="B28" s="1"/>
      <c r="C28" s="1"/>
      <c r="D28" s="1"/>
      <c r="E28" s="1"/>
    </row>
    <row r="29" spans="1:6">
      <c r="A29" s="1"/>
      <c r="B29" s="1"/>
      <c r="C29" s="1"/>
      <c r="D29" s="1"/>
      <c r="E29" s="1"/>
    </row>
    <row r="30" spans="1:6">
      <c r="A30" s="1"/>
      <c r="B30" s="1"/>
      <c r="C30" s="1"/>
      <c r="D30" s="1"/>
      <c r="E30" s="1"/>
    </row>
    <row r="31" spans="1:6">
      <c r="A31" s="1"/>
      <c r="B31" s="1"/>
      <c r="C31" s="1"/>
      <c r="D31" s="1"/>
      <c r="E31" s="1"/>
    </row>
    <row r="32" spans="1:6">
      <c r="A32" s="1"/>
      <c r="B32" s="1"/>
      <c r="C32" s="1"/>
      <c r="D32" s="1"/>
      <c r="E32" s="1"/>
      <c r="F32" s="63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36"/>
      <c r="C50" s="1"/>
      <c r="D50" s="1"/>
      <c r="E50" s="1"/>
    </row>
    <row r="51" spans="1:5">
      <c r="A51" s="1"/>
      <c r="B51" s="36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</sheetData>
  <sheetProtection password="9B72" sheet="1" objects="1" scenarios="1" formatCells="0" formatColumns="0" formatRows="0"/>
  <mergeCells count="2">
    <mergeCell ref="F6:F9"/>
    <mergeCell ref="G6:G9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25"/>
  <sheetViews>
    <sheetView workbookViewId="0">
      <selection activeCell="E4" sqref="E4"/>
    </sheetView>
  </sheetViews>
  <sheetFormatPr defaultRowHeight="15"/>
  <cols>
    <col min="1" max="1" width="16.28515625" style="9" customWidth="1"/>
    <col min="2" max="2" width="19.28515625" style="9" hidden="1" customWidth="1"/>
    <col min="3" max="3" width="12.85546875" style="9" customWidth="1"/>
    <col min="4" max="4" width="9.140625" style="9"/>
    <col min="5" max="5" width="13.5703125" style="8" customWidth="1"/>
    <col min="6" max="16384" width="9.140625" style="8"/>
  </cols>
  <sheetData>
    <row r="2" spans="1:5">
      <c r="A2" s="10" t="s">
        <v>7</v>
      </c>
      <c r="B2" s="10"/>
      <c r="C2" s="10" t="s">
        <v>8</v>
      </c>
      <c r="D2" s="10" t="s">
        <v>9</v>
      </c>
      <c r="E2" s="12" t="s">
        <v>10</v>
      </c>
    </row>
    <row r="3" spans="1:5">
      <c r="A3" s="9">
        <v>1</v>
      </c>
      <c r="B3" s="9">
        <f ca="1">ROUND(50*RAND()+150,0)</f>
        <v>182</v>
      </c>
      <c r="C3" s="9" t="str">
        <f ca="1">IF(B3&gt;=171,"muž","žena")</f>
        <v>muž</v>
      </c>
      <c r="D3" s="9">
        <f ca="1">B3</f>
        <v>182</v>
      </c>
    </row>
    <row r="4" spans="1:5">
      <c r="A4" s="9">
        <v>2</v>
      </c>
      <c r="B4" s="9">
        <f ca="1">ROUND(50*RAND()+150,0)</f>
        <v>153</v>
      </c>
      <c r="C4" s="9" t="str">
        <f ca="1">IF(B4&gt;=171,"muž","žena")</f>
        <v>žena</v>
      </c>
      <c r="D4" s="9">
        <f ca="1">B4</f>
        <v>153</v>
      </c>
    </row>
    <row r="5" spans="1:5">
      <c r="A5" s="9">
        <v>3</v>
      </c>
      <c r="B5" s="9">
        <f ca="1">ROUND(50*RAND()+150,0)</f>
        <v>187</v>
      </c>
      <c r="C5" s="9" t="str">
        <f ca="1">IF(B5&gt;=171,"muž","žena")</f>
        <v>muž</v>
      </c>
      <c r="D5" s="9">
        <f ca="1">B5</f>
        <v>187</v>
      </c>
    </row>
    <row r="6" spans="1:5">
      <c r="A6" s="9">
        <v>4</v>
      </c>
      <c r="B6" s="9">
        <f ca="1">ROUND(50*RAND()+150,0)</f>
        <v>176</v>
      </c>
      <c r="C6" s="9" t="str">
        <f ca="1">IF(B6&gt;=171,"muž","žena")</f>
        <v>muž</v>
      </c>
      <c r="D6" s="9">
        <f ca="1">B6</f>
        <v>176</v>
      </c>
    </row>
    <row r="7" spans="1:5">
      <c r="A7" s="9">
        <v>5</v>
      </c>
      <c r="B7" s="9">
        <f ca="1">ROUND(50*RAND()+150,0)</f>
        <v>162</v>
      </c>
      <c r="C7" s="9" t="str">
        <f ca="1">IF(B7&gt;=171,"muž","žena")</f>
        <v>žena</v>
      </c>
      <c r="D7" s="9">
        <f ca="1">B7</f>
        <v>162</v>
      </c>
    </row>
    <row r="8" spans="1:5">
      <c r="A8" s="9">
        <v>6</v>
      </c>
      <c r="B8" s="9">
        <f ca="1">ROUND(50*RAND()+150,0)</f>
        <v>175</v>
      </c>
      <c r="C8" s="9" t="str">
        <f ca="1">IF(B8&gt;=171,"muž","žena")</f>
        <v>muž</v>
      </c>
      <c r="D8" s="9">
        <f ca="1">B8</f>
        <v>175</v>
      </c>
    </row>
    <row r="9" spans="1:5">
      <c r="A9" s="9">
        <v>7</v>
      </c>
      <c r="B9" s="9">
        <f ca="1">ROUND(50*RAND()+150,0)</f>
        <v>191</v>
      </c>
      <c r="C9" s="9" t="str">
        <f ca="1">IF(B9&gt;=171,"muž","žena")</f>
        <v>muž</v>
      </c>
      <c r="D9" s="9">
        <f ca="1">B9</f>
        <v>191</v>
      </c>
    </row>
    <row r="10" spans="1:5">
      <c r="A10" s="9">
        <v>8</v>
      </c>
      <c r="B10" s="9">
        <f ca="1">ROUND(50*RAND()+150,0)</f>
        <v>195</v>
      </c>
      <c r="C10" s="9" t="str">
        <f ca="1">IF(B10&gt;=171,"muž","žena")</f>
        <v>muž</v>
      </c>
      <c r="D10" s="9">
        <f ca="1">B10</f>
        <v>195</v>
      </c>
    </row>
    <row r="11" spans="1:5">
      <c r="A11" s="9">
        <v>9</v>
      </c>
      <c r="B11" s="9">
        <f ca="1">ROUND(50*RAND()+150,0)</f>
        <v>172</v>
      </c>
      <c r="C11" s="9" t="str">
        <f ca="1">IF(B11&gt;=171,"muž","žena")</f>
        <v>muž</v>
      </c>
      <c r="D11" s="9">
        <f ca="1">B11</f>
        <v>172</v>
      </c>
    </row>
    <row r="12" spans="1:5">
      <c r="A12" s="9">
        <v>10</v>
      </c>
      <c r="B12" s="9">
        <f ca="1">ROUND(50*RAND()+150,0)</f>
        <v>171</v>
      </c>
      <c r="C12" s="9" t="str">
        <f ca="1">IF(B12&gt;=171,"muž","žena")</f>
        <v>muž</v>
      </c>
      <c r="D12" s="9">
        <f ca="1">B12</f>
        <v>171</v>
      </c>
    </row>
    <row r="13" spans="1:5">
      <c r="A13" s="9">
        <v>11</v>
      </c>
      <c r="B13" s="9">
        <f ca="1">ROUND(50*RAND()+150,0)</f>
        <v>153</v>
      </c>
      <c r="C13" s="9" t="str">
        <f ca="1">IF(B13&gt;=171,"muž","žena")</f>
        <v>žena</v>
      </c>
      <c r="D13" s="9">
        <f ca="1">B13</f>
        <v>153</v>
      </c>
    </row>
    <row r="14" spans="1:5">
      <c r="A14" s="9">
        <v>12</v>
      </c>
      <c r="B14" s="9">
        <f ca="1">ROUND(50*RAND()+150,0)</f>
        <v>189</v>
      </c>
      <c r="C14" s="9" t="str">
        <f ca="1">IF(B14&gt;=171,"muž","žena")</f>
        <v>muž</v>
      </c>
      <c r="D14" s="9">
        <f ca="1">B14</f>
        <v>189</v>
      </c>
    </row>
    <row r="15" spans="1:5">
      <c r="A15" s="9">
        <v>13</v>
      </c>
      <c r="B15" s="9">
        <f ca="1">ROUND(50*RAND()+150,0)</f>
        <v>152</v>
      </c>
      <c r="C15" s="9" t="str">
        <f ca="1">IF(B15&gt;=171,"muž","žena")</f>
        <v>žena</v>
      </c>
      <c r="D15" s="9">
        <f ca="1">B15</f>
        <v>152</v>
      </c>
    </row>
    <row r="16" spans="1:5">
      <c r="A16" s="9">
        <v>14</v>
      </c>
      <c r="B16" s="9">
        <f ca="1">ROUND(50*RAND()+150,0)</f>
        <v>167</v>
      </c>
      <c r="C16" s="9" t="str">
        <f ca="1">IF(B16&gt;=171,"muž","žena")</f>
        <v>žena</v>
      </c>
      <c r="D16" s="9">
        <f ca="1">B16</f>
        <v>167</v>
      </c>
    </row>
    <row r="17" spans="1:4">
      <c r="A17" s="9">
        <v>15</v>
      </c>
      <c r="B17" s="9">
        <f ca="1">ROUND(50*RAND()+150,0)</f>
        <v>151</v>
      </c>
      <c r="C17" s="9" t="str">
        <f ca="1">IF(B17&gt;=171,"muž","žena")</f>
        <v>žena</v>
      </c>
      <c r="D17" s="9">
        <f ca="1">B17</f>
        <v>151</v>
      </c>
    </row>
    <row r="18" spans="1:4">
      <c r="A18" s="9">
        <v>16</v>
      </c>
      <c r="B18" s="9">
        <f ca="1">ROUND(50*RAND()+150,0)</f>
        <v>182</v>
      </c>
      <c r="C18" s="9" t="str">
        <f ca="1">IF(B18&gt;=171,"muž","žena")</f>
        <v>muž</v>
      </c>
      <c r="D18" s="9">
        <f ca="1">B18</f>
        <v>182</v>
      </c>
    </row>
    <row r="19" spans="1:4">
      <c r="A19" s="9">
        <v>17</v>
      </c>
      <c r="B19" s="9">
        <f ca="1">ROUND(50*RAND()+150,0)</f>
        <v>177</v>
      </c>
      <c r="C19" s="9" t="str">
        <f ca="1">IF(B19&gt;=171,"muž","žena")</f>
        <v>muž</v>
      </c>
      <c r="D19" s="9">
        <f ca="1">B19</f>
        <v>177</v>
      </c>
    </row>
    <row r="20" spans="1:4">
      <c r="A20" s="9">
        <v>18</v>
      </c>
      <c r="B20" s="9">
        <f ca="1">ROUND(50*RAND()+150,0)</f>
        <v>200</v>
      </c>
      <c r="C20" s="9" t="str">
        <f ca="1">IF(B20&gt;=171,"muž","žena")</f>
        <v>muž</v>
      </c>
      <c r="D20" s="9">
        <f ca="1">B20</f>
        <v>200</v>
      </c>
    </row>
    <row r="21" spans="1:4">
      <c r="A21" s="9">
        <v>19</v>
      </c>
      <c r="B21" s="9">
        <f ca="1">ROUND(50*RAND()+150,0)</f>
        <v>163</v>
      </c>
      <c r="C21" s="9" t="str">
        <f ca="1">IF(B21&gt;=171,"muž","žena")</f>
        <v>žena</v>
      </c>
      <c r="D21" s="9">
        <f ca="1">B21</f>
        <v>163</v>
      </c>
    </row>
    <row r="22" spans="1:4">
      <c r="A22" s="9">
        <v>20</v>
      </c>
      <c r="B22" s="9">
        <f ca="1">ROUND(50*RAND()+150,0)</f>
        <v>164</v>
      </c>
      <c r="C22" s="9" t="str">
        <f ca="1">IF(B22&gt;=171,"muž","žena")</f>
        <v>žena</v>
      </c>
      <c r="D22" s="9">
        <f ca="1">B22</f>
        <v>164</v>
      </c>
    </row>
    <row r="23" spans="1:4">
      <c r="A23" s="9">
        <v>21</v>
      </c>
      <c r="B23" s="9">
        <f ca="1">ROUND(50*RAND()+150,0)</f>
        <v>171</v>
      </c>
      <c r="C23" s="9" t="str">
        <f ca="1">IF(B23&gt;=171,"muž","žena")</f>
        <v>muž</v>
      </c>
      <c r="D23" s="9">
        <f ca="1">B23</f>
        <v>171</v>
      </c>
    </row>
    <row r="24" spans="1:4">
      <c r="A24" s="9">
        <v>22</v>
      </c>
      <c r="B24" s="9">
        <f ca="1">ROUND(50*RAND()+150,0)</f>
        <v>173</v>
      </c>
      <c r="C24" s="9" t="str">
        <f ca="1">IF(B24&gt;=171,"muž","žena")</f>
        <v>muž</v>
      </c>
      <c r="D24" s="9">
        <f ca="1">B24</f>
        <v>173</v>
      </c>
    </row>
    <row r="25" spans="1:4">
      <c r="A25" s="9">
        <v>23</v>
      </c>
      <c r="B25" s="9">
        <f ca="1">ROUND(50*RAND()+150,0)</f>
        <v>164</v>
      </c>
      <c r="C25" s="9" t="str">
        <f ca="1">IF(B25&gt;=171,"muž","žena")</f>
        <v>žena</v>
      </c>
      <c r="D25" s="9">
        <f ca="1">B25</f>
        <v>164</v>
      </c>
    </row>
    <row r="26" spans="1:4">
      <c r="A26" s="9">
        <v>24</v>
      </c>
      <c r="B26" s="9">
        <f ca="1">ROUND(50*RAND()+150,0)</f>
        <v>161</v>
      </c>
      <c r="C26" s="9" t="str">
        <f ca="1">IF(B26&gt;=171,"muž","žena")</f>
        <v>žena</v>
      </c>
      <c r="D26" s="9">
        <f ca="1">B26</f>
        <v>161</v>
      </c>
    </row>
    <row r="27" spans="1:4">
      <c r="A27" s="9">
        <v>25</v>
      </c>
      <c r="B27" s="9">
        <f ca="1">ROUND(50*RAND()+150,0)</f>
        <v>159</v>
      </c>
      <c r="C27" s="9" t="str">
        <f ca="1">IF(B27&gt;=171,"muž","žena")</f>
        <v>žena</v>
      </c>
      <c r="D27" s="9">
        <f ca="1">B27</f>
        <v>159</v>
      </c>
    </row>
    <row r="28" spans="1:4">
      <c r="A28" s="9">
        <v>26</v>
      </c>
      <c r="B28" s="9">
        <f ca="1">ROUND(50*RAND()+150,0)</f>
        <v>152</v>
      </c>
      <c r="C28" s="9" t="str">
        <f ca="1">IF(B28&gt;=171,"muž","žena")</f>
        <v>žena</v>
      </c>
      <c r="D28" s="9">
        <f ca="1">B28</f>
        <v>152</v>
      </c>
    </row>
    <row r="29" spans="1:4">
      <c r="A29" s="9">
        <v>27</v>
      </c>
      <c r="B29" s="9">
        <f ca="1">ROUND(50*RAND()+150,0)</f>
        <v>191</v>
      </c>
      <c r="C29" s="9" t="str">
        <f ca="1">IF(B29&gt;=171,"muž","žena")</f>
        <v>muž</v>
      </c>
      <c r="D29" s="9">
        <f ca="1">B29</f>
        <v>191</v>
      </c>
    </row>
    <row r="30" spans="1:4">
      <c r="A30" s="9">
        <v>28</v>
      </c>
      <c r="B30" s="9">
        <f ca="1">ROUND(50*RAND()+150,0)</f>
        <v>155</v>
      </c>
      <c r="C30" s="9" t="str">
        <f ca="1">IF(B30&gt;=171,"muž","žena")</f>
        <v>žena</v>
      </c>
      <c r="D30" s="9">
        <f ca="1">B30</f>
        <v>155</v>
      </c>
    </row>
    <row r="31" spans="1:4">
      <c r="A31" s="9">
        <v>29</v>
      </c>
      <c r="B31" s="9">
        <f ca="1">ROUND(50*RAND()+150,0)</f>
        <v>172</v>
      </c>
      <c r="C31" s="9" t="str">
        <f ca="1">IF(B31&gt;=171,"muž","žena")</f>
        <v>muž</v>
      </c>
      <c r="D31" s="9">
        <f ca="1">B31</f>
        <v>172</v>
      </c>
    </row>
    <row r="32" spans="1:4">
      <c r="A32" s="9">
        <v>30</v>
      </c>
      <c r="B32" s="9">
        <f ca="1">ROUND(50*RAND()+150,0)</f>
        <v>169</v>
      </c>
      <c r="C32" s="9" t="str">
        <f ca="1">IF(B32&gt;=171,"muž","žena")</f>
        <v>žena</v>
      </c>
      <c r="D32" s="9">
        <f ca="1">B32</f>
        <v>169</v>
      </c>
    </row>
    <row r="33" spans="1:4">
      <c r="A33" s="9">
        <v>31</v>
      </c>
      <c r="B33" s="9">
        <f ca="1">ROUND(50*RAND()+150,0)</f>
        <v>174</v>
      </c>
      <c r="C33" s="9" t="str">
        <f ca="1">IF(B33&gt;=171,"muž","žena")</f>
        <v>muž</v>
      </c>
      <c r="D33" s="9">
        <f ca="1">B33</f>
        <v>174</v>
      </c>
    </row>
    <row r="34" spans="1:4">
      <c r="A34" s="9">
        <v>32</v>
      </c>
      <c r="B34" s="9">
        <f ca="1">ROUND(50*RAND()+150,0)</f>
        <v>175</v>
      </c>
      <c r="C34" s="9" t="str">
        <f ca="1">IF(B34&gt;=171,"muž","žena")</f>
        <v>muž</v>
      </c>
      <c r="D34" s="9">
        <f ca="1">B34</f>
        <v>175</v>
      </c>
    </row>
    <row r="35" spans="1:4">
      <c r="A35" s="9">
        <v>33</v>
      </c>
      <c r="B35" s="9">
        <f ca="1">ROUND(50*RAND()+150,0)</f>
        <v>173</v>
      </c>
      <c r="C35" s="9" t="str">
        <f ca="1">IF(B35&gt;=171,"muž","žena")</f>
        <v>muž</v>
      </c>
      <c r="D35" s="9">
        <f ca="1">B35</f>
        <v>173</v>
      </c>
    </row>
    <row r="36" spans="1:4">
      <c r="A36" s="9">
        <v>34</v>
      </c>
      <c r="B36" s="9">
        <f ca="1">ROUND(50*RAND()+150,0)</f>
        <v>193</v>
      </c>
      <c r="C36" s="9" t="str">
        <f ca="1">IF(B36&gt;=171,"muž","žena")</f>
        <v>muž</v>
      </c>
      <c r="D36" s="9">
        <f ca="1">B36</f>
        <v>193</v>
      </c>
    </row>
    <row r="37" spans="1:4">
      <c r="A37" s="9">
        <v>35</v>
      </c>
      <c r="B37" s="9">
        <f ca="1">ROUND(50*RAND()+150,0)</f>
        <v>161</v>
      </c>
      <c r="C37" s="9" t="str">
        <f ca="1">IF(B37&gt;=171,"muž","žena")</f>
        <v>žena</v>
      </c>
      <c r="D37" s="9">
        <f ca="1">B37</f>
        <v>161</v>
      </c>
    </row>
    <row r="38" spans="1:4">
      <c r="A38" s="9">
        <v>36</v>
      </c>
      <c r="B38" s="9">
        <f ca="1">ROUND(50*RAND()+150,0)</f>
        <v>182</v>
      </c>
      <c r="C38" s="9" t="str">
        <f ca="1">IF(B38&gt;=171,"muž","žena")</f>
        <v>muž</v>
      </c>
      <c r="D38" s="9">
        <f ca="1">B38</f>
        <v>182</v>
      </c>
    </row>
    <row r="39" spans="1:4">
      <c r="A39" s="9">
        <v>37</v>
      </c>
      <c r="B39" s="9">
        <f ca="1">ROUND(50*RAND()+150,0)</f>
        <v>173</v>
      </c>
      <c r="C39" s="9" t="str">
        <f ca="1">IF(B39&gt;=171,"muž","žena")</f>
        <v>muž</v>
      </c>
      <c r="D39" s="9">
        <f ca="1">B39</f>
        <v>173</v>
      </c>
    </row>
    <row r="40" spans="1:4">
      <c r="A40" s="9">
        <v>38</v>
      </c>
      <c r="B40" s="9">
        <f ca="1">ROUND(50*RAND()+150,0)</f>
        <v>195</v>
      </c>
      <c r="C40" s="9" t="str">
        <f ca="1">IF(B40&gt;=171,"muž","žena")</f>
        <v>muž</v>
      </c>
      <c r="D40" s="9">
        <f ca="1">B40</f>
        <v>195</v>
      </c>
    </row>
    <row r="41" spans="1:4">
      <c r="A41" s="9">
        <v>39</v>
      </c>
      <c r="B41" s="9">
        <f ca="1">ROUND(50*RAND()+150,0)</f>
        <v>196</v>
      </c>
      <c r="C41" s="9" t="str">
        <f ca="1">IF(B41&gt;=171,"muž","žena")</f>
        <v>muž</v>
      </c>
      <c r="D41" s="9">
        <f ca="1">B41</f>
        <v>196</v>
      </c>
    </row>
    <row r="42" spans="1:4">
      <c r="A42" s="9">
        <v>40</v>
      </c>
      <c r="B42" s="9">
        <f ca="1">ROUND(50*RAND()+150,0)</f>
        <v>194</v>
      </c>
      <c r="C42" s="9" t="str">
        <f ca="1">IF(B42&gt;=171,"muž","žena")</f>
        <v>muž</v>
      </c>
      <c r="D42" s="9">
        <f ca="1">B42</f>
        <v>194</v>
      </c>
    </row>
    <row r="43" spans="1:4">
      <c r="A43" s="9">
        <v>41</v>
      </c>
      <c r="B43" s="9">
        <f ca="1">ROUND(50*RAND()+150,0)</f>
        <v>179</v>
      </c>
      <c r="C43" s="9" t="str">
        <f ca="1">IF(B43&gt;=171,"muž","žena")</f>
        <v>muž</v>
      </c>
      <c r="D43" s="9">
        <f ca="1">B43</f>
        <v>179</v>
      </c>
    </row>
    <row r="44" spans="1:4">
      <c r="A44" s="9">
        <v>42</v>
      </c>
      <c r="B44" s="9">
        <f ca="1">ROUND(50*RAND()+150,0)</f>
        <v>182</v>
      </c>
      <c r="C44" s="9" t="str">
        <f ca="1">IF(B44&gt;=171,"muž","žena")</f>
        <v>muž</v>
      </c>
      <c r="D44" s="9">
        <f ca="1">B44</f>
        <v>182</v>
      </c>
    </row>
    <row r="45" spans="1:4">
      <c r="A45" s="9">
        <v>43</v>
      </c>
      <c r="B45" s="9">
        <f ca="1">ROUND(50*RAND()+150,0)</f>
        <v>200</v>
      </c>
      <c r="C45" s="9" t="str">
        <f ca="1">IF(B45&gt;=171,"muž","žena")</f>
        <v>muž</v>
      </c>
      <c r="D45" s="9">
        <f ca="1">B45</f>
        <v>200</v>
      </c>
    </row>
    <row r="46" spans="1:4">
      <c r="A46" s="9">
        <v>44</v>
      </c>
      <c r="B46" s="9">
        <f ca="1">ROUND(50*RAND()+150,0)</f>
        <v>155</v>
      </c>
      <c r="C46" s="9" t="str">
        <f ca="1">IF(B46&gt;=171,"muž","žena")</f>
        <v>žena</v>
      </c>
      <c r="D46" s="9">
        <f ca="1">B46</f>
        <v>155</v>
      </c>
    </row>
    <row r="47" spans="1:4">
      <c r="A47" s="9">
        <v>45</v>
      </c>
      <c r="B47" s="9">
        <f ca="1">ROUND(50*RAND()+150,0)</f>
        <v>194</v>
      </c>
      <c r="C47" s="9" t="str">
        <f ca="1">IF(B47&gt;=171,"muž","žena")</f>
        <v>muž</v>
      </c>
      <c r="D47" s="9">
        <f ca="1">B47</f>
        <v>194</v>
      </c>
    </row>
    <row r="48" spans="1:4">
      <c r="A48" s="9">
        <v>46</v>
      </c>
      <c r="B48" s="9">
        <f ca="1">ROUND(50*RAND()+150,0)</f>
        <v>172</v>
      </c>
      <c r="C48" s="9" t="str">
        <f ca="1">IF(B48&gt;=171,"muž","žena")</f>
        <v>muž</v>
      </c>
      <c r="D48" s="9">
        <f ca="1">B48</f>
        <v>172</v>
      </c>
    </row>
    <row r="49" spans="1:4">
      <c r="A49" s="9">
        <v>47</v>
      </c>
      <c r="B49" s="9">
        <f ca="1">ROUND(50*RAND()+150,0)</f>
        <v>157</v>
      </c>
      <c r="C49" s="9" t="str">
        <f ca="1">IF(B49&gt;=171,"muž","žena")</f>
        <v>žena</v>
      </c>
      <c r="D49" s="9">
        <f ca="1">B49</f>
        <v>157</v>
      </c>
    </row>
    <row r="50" spans="1:4">
      <c r="A50" s="9">
        <v>48</v>
      </c>
      <c r="B50" s="9">
        <f ca="1">ROUND(50*RAND()+150,0)</f>
        <v>154</v>
      </c>
      <c r="C50" s="9" t="str">
        <f ca="1">IF(B50&gt;=171,"muž","žena")</f>
        <v>žena</v>
      </c>
      <c r="D50" s="9">
        <f ca="1">B50</f>
        <v>154</v>
      </c>
    </row>
    <row r="51" spans="1:4">
      <c r="A51" s="9">
        <v>49</v>
      </c>
      <c r="B51" s="9">
        <f ca="1">ROUND(50*RAND()+150,0)</f>
        <v>176</v>
      </c>
      <c r="C51" s="9" t="str">
        <f ca="1">IF(B51&gt;=171,"muž","žena")</f>
        <v>muž</v>
      </c>
      <c r="D51" s="9">
        <f ca="1">B51</f>
        <v>176</v>
      </c>
    </row>
    <row r="52" spans="1:4">
      <c r="A52" s="9">
        <v>50</v>
      </c>
      <c r="B52" s="9">
        <f ca="1">ROUND(50*RAND()+150,0)</f>
        <v>163</v>
      </c>
      <c r="C52" s="9" t="str">
        <f ca="1">IF(B52&gt;=171,"muž","žena")</f>
        <v>žena</v>
      </c>
      <c r="D52" s="9">
        <f ca="1">B52</f>
        <v>163</v>
      </c>
    </row>
    <row r="53" spans="1:4">
      <c r="A53" s="9">
        <v>51</v>
      </c>
      <c r="B53" s="9">
        <f ca="1">ROUND(50*RAND()+150,0)</f>
        <v>196</v>
      </c>
      <c r="C53" s="9" t="str">
        <f ca="1">IF(B53&gt;=171,"muž","žena")</f>
        <v>muž</v>
      </c>
      <c r="D53" s="9">
        <f ca="1">B53</f>
        <v>196</v>
      </c>
    </row>
    <row r="54" spans="1:4">
      <c r="A54" s="9">
        <v>52</v>
      </c>
      <c r="B54" s="9">
        <f ca="1">ROUND(50*RAND()+150,0)</f>
        <v>154</v>
      </c>
      <c r="C54" s="9" t="str">
        <f ca="1">IF(B54&gt;=171,"muž","žena")</f>
        <v>žena</v>
      </c>
      <c r="D54" s="9">
        <f ca="1">B54</f>
        <v>154</v>
      </c>
    </row>
    <row r="55" spans="1:4">
      <c r="A55" s="9">
        <v>53</v>
      </c>
      <c r="B55" s="9">
        <f ca="1">ROUND(50*RAND()+150,0)</f>
        <v>153</v>
      </c>
      <c r="C55" s="9" t="str">
        <f ca="1">IF(B55&gt;=171,"muž","žena")</f>
        <v>žena</v>
      </c>
      <c r="D55" s="9">
        <f ca="1">B55</f>
        <v>153</v>
      </c>
    </row>
    <row r="56" spans="1:4">
      <c r="A56" s="9">
        <v>54</v>
      </c>
      <c r="B56" s="9">
        <f ca="1">ROUND(50*RAND()+150,0)</f>
        <v>155</v>
      </c>
      <c r="C56" s="9" t="str">
        <f ca="1">IF(B56&gt;=171,"muž","žena")</f>
        <v>žena</v>
      </c>
      <c r="D56" s="9">
        <f ca="1">B56</f>
        <v>155</v>
      </c>
    </row>
    <row r="57" spans="1:4">
      <c r="A57" s="9">
        <v>55</v>
      </c>
      <c r="B57" s="9">
        <f ca="1">ROUND(50*RAND()+150,0)</f>
        <v>186</v>
      </c>
      <c r="C57" s="9" t="str">
        <f ca="1">IF(B57&gt;=171,"muž","žena")</f>
        <v>muž</v>
      </c>
      <c r="D57" s="9">
        <f ca="1">B57</f>
        <v>186</v>
      </c>
    </row>
    <row r="58" spans="1:4">
      <c r="A58" s="9">
        <v>56</v>
      </c>
      <c r="B58" s="9">
        <f ca="1">ROUND(50*RAND()+150,0)</f>
        <v>152</v>
      </c>
      <c r="C58" s="9" t="str">
        <f ca="1">IF(B58&gt;=171,"muž","žena")</f>
        <v>žena</v>
      </c>
      <c r="D58" s="9">
        <f ca="1">B58</f>
        <v>152</v>
      </c>
    </row>
    <row r="59" spans="1:4">
      <c r="A59" s="9">
        <v>57</v>
      </c>
      <c r="B59" s="9">
        <f ca="1">ROUND(50*RAND()+150,0)</f>
        <v>192</v>
      </c>
      <c r="C59" s="9" t="str">
        <f ca="1">IF(B59&gt;=171,"muž","žena")</f>
        <v>muž</v>
      </c>
      <c r="D59" s="9">
        <f ca="1">B59</f>
        <v>192</v>
      </c>
    </row>
    <row r="60" spans="1:4">
      <c r="A60" s="9">
        <v>58</v>
      </c>
      <c r="B60" s="9">
        <f ca="1">ROUND(50*RAND()+150,0)</f>
        <v>195</v>
      </c>
      <c r="C60" s="9" t="str">
        <f ca="1">IF(B60&gt;=171,"muž","žena")</f>
        <v>muž</v>
      </c>
      <c r="D60" s="9">
        <f ca="1">B60</f>
        <v>195</v>
      </c>
    </row>
    <row r="61" spans="1:4">
      <c r="A61" s="9">
        <v>59</v>
      </c>
      <c r="B61" s="9">
        <f ca="1">ROUND(50*RAND()+150,0)</f>
        <v>185</v>
      </c>
      <c r="C61" s="9" t="str">
        <f ca="1">IF(B61&gt;=171,"muž","žena")</f>
        <v>muž</v>
      </c>
      <c r="D61" s="9">
        <f ca="1">B61</f>
        <v>185</v>
      </c>
    </row>
    <row r="62" spans="1:4">
      <c r="A62" s="9">
        <v>60</v>
      </c>
      <c r="B62" s="9">
        <f ca="1">ROUND(50*RAND()+150,0)</f>
        <v>171</v>
      </c>
      <c r="C62" s="9" t="str">
        <f ca="1">IF(B62&gt;=171,"muž","žena")</f>
        <v>muž</v>
      </c>
      <c r="D62" s="9">
        <f ca="1">B62</f>
        <v>171</v>
      </c>
    </row>
    <row r="63" spans="1:4">
      <c r="A63" s="9">
        <v>61</v>
      </c>
      <c r="B63" s="9">
        <f ca="1">ROUND(50*RAND()+150,0)</f>
        <v>172</v>
      </c>
      <c r="C63" s="9" t="str">
        <f ca="1">IF(B63&gt;=171,"muž","žena")</f>
        <v>muž</v>
      </c>
      <c r="D63" s="9">
        <f ca="1">B63</f>
        <v>172</v>
      </c>
    </row>
    <row r="64" spans="1:4">
      <c r="A64" s="9">
        <v>62</v>
      </c>
      <c r="B64" s="9">
        <f ca="1">ROUND(50*RAND()+150,0)</f>
        <v>172</v>
      </c>
      <c r="C64" s="9" t="str">
        <f ca="1">IF(B64&gt;=171,"muž","žena")</f>
        <v>muž</v>
      </c>
      <c r="D64" s="9">
        <f ca="1">B64</f>
        <v>172</v>
      </c>
    </row>
    <row r="65" spans="1:4">
      <c r="A65" s="9">
        <v>63</v>
      </c>
      <c r="B65" s="9">
        <f ca="1">ROUND(50*RAND()+150,0)</f>
        <v>151</v>
      </c>
      <c r="C65" s="9" t="str">
        <f ca="1">IF(B65&gt;=171,"muž","žena")</f>
        <v>žena</v>
      </c>
      <c r="D65" s="9">
        <f ca="1">B65</f>
        <v>151</v>
      </c>
    </row>
    <row r="66" spans="1:4">
      <c r="A66" s="9">
        <v>64</v>
      </c>
      <c r="B66" s="9">
        <f ca="1">ROUND(50*RAND()+150,0)</f>
        <v>180</v>
      </c>
      <c r="C66" s="9" t="str">
        <f ca="1">IF(B66&gt;=171,"muž","žena")</f>
        <v>muž</v>
      </c>
      <c r="D66" s="9">
        <f ca="1">B66</f>
        <v>180</v>
      </c>
    </row>
    <row r="67" spans="1:4">
      <c r="A67" s="9">
        <v>65</v>
      </c>
      <c r="B67" s="9">
        <f ca="1">ROUND(50*RAND()+150,0)</f>
        <v>185</v>
      </c>
      <c r="C67" s="9" t="str">
        <f ca="1">IF(B67&gt;=171,"muž","žena")</f>
        <v>muž</v>
      </c>
      <c r="D67" s="9">
        <f ca="1">B67</f>
        <v>185</v>
      </c>
    </row>
    <row r="68" spans="1:4">
      <c r="A68" s="9">
        <v>66</v>
      </c>
      <c r="B68" s="9">
        <f ca="1">ROUND(50*RAND()+150,0)</f>
        <v>173</v>
      </c>
      <c r="C68" s="9" t="str">
        <f ca="1">IF(B68&gt;=171,"muž","žena")</f>
        <v>muž</v>
      </c>
      <c r="D68" s="9">
        <f ca="1">B68</f>
        <v>173</v>
      </c>
    </row>
    <row r="69" spans="1:4">
      <c r="A69" s="9">
        <v>67</v>
      </c>
      <c r="B69" s="9">
        <f ca="1">ROUND(50*RAND()+150,0)</f>
        <v>172</v>
      </c>
      <c r="C69" s="9" t="str">
        <f ca="1">IF(B69&gt;=171,"muž","žena")</f>
        <v>muž</v>
      </c>
      <c r="D69" s="9">
        <f ca="1">B69</f>
        <v>172</v>
      </c>
    </row>
    <row r="70" spans="1:4">
      <c r="A70" s="9">
        <v>68</v>
      </c>
      <c r="B70" s="9">
        <f ca="1">ROUND(50*RAND()+150,0)</f>
        <v>151</v>
      </c>
      <c r="C70" s="9" t="str">
        <f ca="1">IF(B70&gt;=171,"muž","žena")</f>
        <v>žena</v>
      </c>
      <c r="D70" s="9">
        <f ca="1">B70</f>
        <v>151</v>
      </c>
    </row>
    <row r="71" spans="1:4">
      <c r="A71" s="9">
        <v>69</v>
      </c>
      <c r="B71" s="9">
        <f ca="1">ROUND(50*RAND()+150,0)</f>
        <v>189</v>
      </c>
      <c r="C71" s="9" t="str">
        <f ca="1">IF(B71&gt;=171,"muž","žena")</f>
        <v>muž</v>
      </c>
      <c r="D71" s="9">
        <f ca="1">B71</f>
        <v>189</v>
      </c>
    </row>
    <row r="72" spans="1:4">
      <c r="A72" s="9">
        <v>70</v>
      </c>
      <c r="B72" s="9">
        <f ca="1">ROUND(50*RAND()+150,0)</f>
        <v>151</v>
      </c>
      <c r="C72" s="9" t="str">
        <f ca="1">IF(B72&gt;=171,"muž","žena")</f>
        <v>žena</v>
      </c>
      <c r="D72" s="9">
        <f ca="1">B72</f>
        <v>151</v>
      </c>
    </row>
    <row r="73" spans="1:4">
      <c r="A73" s="9">
        <v>71</v>
      </c>
      <c r="B73" s="9">
        <f ca="1">ROUND(50*RAND()+150,0)</f>
        <v>161</v>
      </c>
      <c r="C73" s="9" t="str">
        <f ca="1">IF(B73&gt;=171,"muž","žena")</f>
        <v>žena</v>
      </c>
      <c r="D73" s="9">
        <f ca="1">B73</f>
        <v>161</v>
      </c>
    </row>
    <row r="74" spans="1:4">
      <c r="A74" s="9">
        <v>72</v>
      </c>
      <c r="B74" s="9">
        <f ca="1">ROUND(50*RAND()+150,0)</f>
        <v>182</v>
      </c>
      <c r="C74" s="9" t="str">
        <f ca="1">IF(B74&gt;=171,"muž","žena")</f>
        <v>muž</v>
      </c>
      <c r="D74" s="9">
        <f ca="1">B74</f>
        <v>182</v>
      </c>
    </row>
    <row r="75" spans="1:4">
      <c r="A75" s="9">
        <v>73</v>
      </c>
      <c r="B75" s="9">
        <f ca="1">ROUND(50*RAND()+150,0)</f>
        <v>182</v>
      </c>
      <c r="C75" s="9" t="str">
        <f ca="1">IF(B75&gt;=171,"muž","žena")</f>
        <v>muž</v>
      </c>
      <c r="D75" s="9">
        <f ca="1">B75</f>
        <v>182</v>
      </c>
    </row>
    <row r="76" spans="1:4">
      <c r="A76" s="9">
        <v>74</v>
      </c>
      <c r="B76" s="9">
        <f ca="1">ROUND(50*RAND()+150,0)</f>
        <v>155</v>
      </c>
      <c r="C76" s="9" t="str">
        <f ca="1">IF(B76&gt;=171,"muž","žena")</f>
        <v>žena</v>
      </c>
      <c r="D76" s="9">
        <f ca="1">B76</f>
        <v>155</v>
      </c>
    </row>
    <row r="77" spans="1:4">
      <c r="A77" s="9">
        <v>75</v>
      </c>
      <c r="B77" s="9">
        <f ca="1">ROUND(50*RAND()+150,0)</f>
        <v>191</v>
      </c>
      <c r="C77" s="9" t="str">
        <f ca="1">IF(B77&gt;=171,"muž","žena")</f>
        <v>muž</v>
      </c>
      <c r="D77" s="9">
        <f ca="1">B77</f>
        <v>191</v>
      </c>
    </row>
    <row r="78" spans="1:4">
      <c r="A78" s="9">
        <v>76</v>
      </c>
      <c r="B78" s="9">
        <f ca="1">ROUND(50*RAND()+150,0)</f>
        <v>183</v>
      </c>
      <c r="C78" s="9" t="str">
        <f ca="1">IF(B78&gt;=171,"muž","žena")</f>
        <v>muž</v>
      </c>
      <c r="D78" s="9">
        <f ca="1">B78</f>
        <v>183</v>
      </c>
    </row>
    <row r="79" spans="1:4">
      <c r="A79" s="9">
        <v>77</v>
      </c>
      <c r="B79" s="9">
        <f ca="1">ROUND(50*RAND()+150,0)</f>
        <v>177</v>
      </c>
      <c r="C79" s="9" t="str">
        <f ca="1">IF(B79&gt;=171,"muž","žena")</f>
        <v>muž</v>
      </c>
      <c r="D79" s="9">
        <f ca="1">B79</f>
        <v>177</v>
      </c>
    </row>
    <row r="80" spans="1:4">
      <c r="A80" s="9">
        <v>78</v>
      </c>
      <c r="B80" s="9">
        <f ca="1">ROUND(50*RAND()+150,0)</f>
        <v>177</v>
      </c>
      <c r="C80" s="9" t="str">
        <f ca="1">IF(B80&gt;=171,"muž","žena")</f>
        <v>muž</v>
      </c>
      <c r="D80" s="9">
        <f ca="1">B80</f>
        <v>177</v>
      </c>
    </row>
    <row r="81" spans="1:4">
      <c r="A81" s="9">
        <v>79</v>
      </c>
      <c r="B81" s="9">
        <f ca="1">ROUND(50*RAND()+150,0)</f>
        <v>152</v>
      </c>
      <c r="C81" s="9" t="str">
        <f ca="1">IF(B81&gt;=171,"muž","žena")</f>
        <v>žena</v>
      </c>
      <c r="D81" s="9">
        <f ca="1">B81</f>
        <v>152</v>
      </c>
    </row>
    <row r="82" spans="1:4">
      <c r="A82" s="9">
        <v>80</v>
      </c>
      <c r="B82" s="9">
        <f ca="1">ROUND(50*RAND()+150,0)</f>
        <v>186</v>
      </c>
      <c r="C82" s="9" t="str">
        <f ca="1">IF(B82&gt;=171,"muž","žena")</f>
        <v>muž</v>
      </c>
      <c r="D82" s="9">
        <f ca="1">B82</f>
        <v>186</v>
      </c>
    </row>
    <row r="83" spans="1:4">
      <c r="A83" s="9">
        <v>81</v>
      </c>
      <c r="B83" s="9">
        <f ca="1">ROUND(50*RAND()+150,0)</f>
        <v>161</v>
      </c>
      <c r="C83" s="9" t="str">
        <f ca="1">IF(B83&gt;=171,"muž","žena")</f>
        <v>žena</v>
      </c>
      <c r="D83" s="9">
        <f ca="1">B83</f>
        <v>161</v>
      </c>
    </row>
    <row r="84" spans="1:4">
      <c r="A84" s="9">
        <v>82</v>
      </c>
      <c r="B84" s="9">
        <f ca="1">ROUND(50*RAND()+150,0)</f>
        <v>159</v>
      </c>
      <c r="C84" s="9" t="str">
        <f ca="1">IF(B84&gt;=171,"muž","žena")</f>
        <v>žena</v>
      </c>
      <c r="D84" s="9">
        <f ca="1">B84</f>
        <v>159</v>
      </c>
    </row>
    <row r="85" spans="1:4">
      <c r="A85" s="9">
        <v>83</v>
      </c>
      <c r="B85" s="9">
        <f ca="1">ROUND(50*RAND()+150,0)</f>
        <v>158</v>
      </c>
      <c r="C85" s="9" t="str">
        <f ca="1">IF(B85&gt;=171,"muž","žena")</f>
        <v>žena</v>
      </c>
      <c r="D85" s="9">
        <f ca="1">B85</f>
        <v>158</v>
      </c>
    </row>
    <row r="86" spans="1:4">
      <c r="A86" s="9">
        <v>84</v>
      </c>
      <c r="B86" s="9">
        <f ca="1">ROUND(50*RAND()+150,0)</f>
        <v>191</v>
      </c>
      <c r="C86" s="9" t="str">
        <f ca="1">IF(B86&gt;=171,"muž","žena")</f>
        <v>muž</v>
      </c>
      <c r="D86" s="9">
        <f ca="1">B86</f>
        <v>191</v>
      </c>
    </row>
    <row r="87" spans="1:4">
      <c r="A87" s="9">
        <v>85</v>
      </c>
      <c r="B87" s="9">
        <f ca="1">ROUND(50*RAND()+150,0)</f>
        <v>199</v>
      </c>
      <c r="C87" s="9" t="str">
        <f ca="1">IF(B87&gt;=171,"muž","žena")</f>
        <v>muž</v>
      </c>
      <c r="D87" s="9">
        <f ca="1">B87</f>
        <v>199</v>
      </c>
    </row>
    <row r="88" spans="1:4">
      <c r="A88" s="9">
        <v>86</v>
      </c>
      <c r="B88" s="9">
        <f ca="1">ROUND(50*RAND()+150,0)</f>
        <v>180</v>
      </c>
      <c r="C88" s="9" t="str">
        <f ca="1">IF(B88&gt;=171,"muž","žena")</f>
        <v>muž</v>
      </c>
      <c r="D88" s="9">
        <f ca="1">B88</f>
        <v>180</v>
      </c>
    </row>
    <row r="89" spans="1:4">
      <c r="A89" s="9">
        <v>87</v>
      </c>
      <c r="B89" s="9">
        <f ca="1">ROUND(50*RAND()+150,0)</f>
        <v>154</v>
      </c>
      <c r="C89" s="9" t="str">
        <f ca="1">IF(B89&gt;=171,"muž","žena")</f>
        <v>žena</v>
      </c>
      <c r="D89" s="9">
        <f ca="1">B89</f>
        <v>154</v>
      </c>
    </row>
    <row r="90" spans="1:4">
      <c r="A90" s="9">
        <v>88</v>
      </c>
      <c r="B90" s="9">
        <f ca="1">ROUND(50*RAND()+150,0)</f>
        <v>165</v>
      </c>
      <c r="C90" s="9" t="str">
        <f ca="1">IF(B90&gt;=171,"muž","žena")</f>
        <v>žena</v>
      </c>
      <c r="D90" s="9">
        <f ca="1">B90</f>
        <v>165</v>
      </c>
    </row>
    <row r="91" spans="1:4">
      <c r="A91" s="9">
        <v>89</v>
      </c>
      <c r="B91" s="9">
        <f ca="1">ROUND(50*RAND()+150,0)</f>
        <v>172</v>
      </c>
      <c r="C91" s="9" t="str">
        <f ca="1">IF(B91&gt;=171,"muž","žena")</f>
        <v>muž</v>
      </c>
      <c r="D91" s="9">
        <f ca="1">B91</f>
        <v>172</v>
      </c>
    </row>
    <row r="92" spans="1:4">
      <c r="A92" s="9">
        <v>90</v>
      </c>
      <c r="B92" s="9">
        <f ca="1">ROUND(50*RAND()+150,0)</f>
        <v>198</v>
      </c>
      <c r="C92" s="9" t="str">
        <f ca="1">IF(B92&gt;=171,"muž","žena")</f>
        <v>muž</v>
      </c>
      <c r="D92" s="9">
        <f ca="1">B92</f>
        <v>198</v>
      </c>
    </row>
    <row r="93" spans="1:4">
      <c r="A93" s="9">
        <v>91</v>
      </c>
      <c r="B93" s="9">
        <f ca="1">ROUND(50*RAND()+150,0)</f>
        <v>161</v>
      </c>
      <c r="C93" s="9" t="str">
        <f ca="1">IF(B93&gt;=171,"muž","žena")</f>
        <v>žena</v>
      </c>
      <c r="D93" s="9">
        <f ca="1">B93</f>
        <v>161</v>
      </c>
    </row>
    <row r="94" spans="1:4">
      <c r="A94" s="9">
        <v>92</v>
      </c>
      <c r="B94" s="9">
        <f ca="1">ROUND(50*RAND()+150,0)</f>
        <v>173</v>
      </c>
      <c r="C94" s="9" t="str">
        <f ca="1">IF(B94&gt;=171,"muž","žena")</f>
        <v>muž</v>
      </c>
      <c r="D94" s="9">
        <f ca="1">B94</f>
        <v>173</v>
      </c>
    </row>
    <row r="95" spans="1:4">
      <c r="A95" s="9">
        <v>93</v>
      </c>
      <c r="B95" s="9">
        <f ca="1">ROUND(50*RAND()+150,0)</f>
        <v>159</v>
      </c>
      <c r="C95" s="9" t="str">
        <f ca="1">IF(B95&gt;=171,"muž","žena")</f>
        <v>žena</v>
      </c>
      <c r="D95" s="9">
        <f ca="1">B95</f>
        <v>159</v>
      </c>
    </row>
    <row r="96" spans="1:4">
      <c r="A96" s="9">
        <v>94</v>
      </c>
      <c r="B96" s="9">
        <f ca="1">ROUND(50*RAND()+150,0)</f>
        <v>197</v>
      </c>
      <c r="C96" s="9" t="str">
        <f ca="1">IF(B96&gt;=171,"muž","žena")</f>
        <v>muž</v>
      </c>
      <c r="D96" s="9">
        <f ca="1">B96</f>
        <v>197</v>
      </c>
    </row>
    <row r="97" spans="1:4">
      <c r="A97" s="9">
        <v>95</v>
      </c>
      <c r="B97" s="9">
        <f ca="1">ROUND(50*RAND()+150,0)</f>
        <v>188</v>
      </c>
      <c r="C97" s="9" t="str">
        <f ca="1">IF(B97&gt;=171,"muž","žena")</f>
        <v>muž</v>
      </c>
      <c r="D97" s="9">
        <f ca="1">B97</f>
        <v>188</v>
      </c>
    </row>
    <row r="98" spans="1:4">
      <c r="A98" s="9">
        <v>96</v>
      </c>
      <c r="B98" s="9">
        <f ca="1">ROUND(50*RAND()+150,0)</f>
        <v>167</v>
      </c>
      <c r="C98" s="9" t="str">
        <f ca="1">IF(B98&gt;=171,"muž","žena")</f>
        <v>žena</v>
      </c>
      <c r="D98" s="9">
        <f ca="1">B98</f>
        <v>167</v>
      </c>
    </row>
    <row r="99" spans="1:4">
      <c r="A99" s="9">
        <v>97</v>
      </c>
      <c r="B99" s="9">
        <f ca="1">ROUND(50*RAND()+150,0)</f>
        <v>182</v>
      </c>
      <c r="C99" s="9" t="str">
        <f ca="1">IF(B99&gt;=171,"muž","žena")</f>
        <v>muž</v>
      </c>
      <c r="D99" s="9">
        <f ca="1">B99</f>
        <v>182</v>
      </c>
    </row>
    <row r="100" spans="1:4">
      <c r="A100" s="9">
        <v>98</v>
      </c>
      <c r="B100" s="9">
        <f ca="1">ROUND(50*RAND()+150,0)</f>
        <v>157</v>
      </c>
      <c r="C100" s="9" t="str">
        <f ca="1">IF(B100&gt;=171,"muž","žena")</f>
        <v>žena</v>
      </c>
      <c r="D100" s="9">
        <f ca="1">B100</f>
        <v>157</v>
      </c>
    </row>
    <row r="101" spans="1:4">
      <c r="A101" s="9">
        <v>99</v>
      </c>
      <c r="B101" s="9">
        <f ca="1">ROUND(50*RAND()+150,0)</f>
        <v>151</v>
      </c>
      <c r="C101" s="9" t="str">
        <f ca="1">IF(B101&gt;=171,"muž","žena")</f>
        <v>žena</v>
      </c>
      <c r="D101" s="9">
        <f ca="1">B101</f>
        <v>151</v>
      </c>
    </row>
    <row r="102" spans="1:4">
      <c r="A102" s="9">
        <v>100</v>
      </c>
      <c r="B102" s="9">
        <f ca="1">ROUND(50*RAND()+150,0)</f>
        <v>199</v>
      </c>
      <c r="C102" s="9" t="str">
        <f ca="1">IF(B102&gt;=171,"muž","žena")</f>
        <v>muž</v>
      </c>
      <c r="D102" s="9">
        <f ca="1">B102</f>
        <v>199</v>
      </c>
    </row>
    <row r="103" spans="1:4">
      <c r="A103" s="9">
        <v>101</v>
      </c>
      <c r="B103" s="9">
        <f ca="1">ROUND(50*RAND()+150,0)</f>
        <v>182</v>
      </c>
      <c r="C103" s="9" t="str">
        <f ca="1">IF(B103&gt;=171,"muž","žena")</f>
        <v>muž</v>
      </c>
      <c r="D103" s="9">
        <f ca="1">B103</f>
        <v>182</v>
      </c>
    </row>
    <row r="104" spans="1:4">
      <c r="A104" s="9">
        <v>102</v>
      </c>
      <c r="B104" s="9">
        <f ca="1">ROUND(50*RAND()+150,0)</f>
        <v>155</v>
      </c>
      <c r="C104" s="9" t="str">
        <f ca="1">IF(B104&gt;=171,"muž","žena")</f>
        <v>žena</v>
      </c>
      <c r="D104" s="9">
        <f ca="1">B104</f>
        <v>155</v>
      </c>
    </row>
    <row r="105" spans="1:4">
      <c r="A105" s="9">
        <v>103</v>
      </c>
      <c r="B105" s="9">
        <f ca="1">ROUND(50*RAND()+150,0)</f>
        <v>193</v>
      </c>
      <c r="C105" s="9" t="str">
        <f ca="1">IF(B105&gt;=171,"muž","žena")</f>
        <v>muž</v>
      </c>
      <c r="D105" s="9">
        <f ca="1">B105</f>
        <v>193</v>
      </c>
    </row>
    <row r="106" spans="1:4">
      <c r="A106" s="9">
        <v>104</v>
      </c>
      <c r="B106" s="9">
        <f ca="1">ROUND(50*RAND()+150,0)</f>
        <v>150</v>
      </c>
      <c r="C106" s="9" t="str">
        <f ca="1">IF(B106&gt;=171,"muž","žena")</f>
        <v>žena</v>
      </c>
      <c r="D106" s="9">
        <f ca="1">B106</f>
        <v>150</v>
      </c>
    </row>
    <row r="107" spans="1:4">
      <c r="A107" s="9">
        <v>105</v>
      </c>
      <c r="B107" s="9">
        <f ca="1">ROUND(50*RAND()+150,0)</f>
        <v>151</v>
      </c>
      <c r="C107" s="9" t="str">
        <f ca="1">IF(B107&gt;=171,"muž","žena")</f>
        <v>žena</v>
      </c>
      <c r="D107" s="9">
        <f ca="1">B107</f>
        <v>151</v>
      </c>
    </row>
    <row r="108" spans="1:4">
      <c r="A108" s="9">
        <v>106</v>
      </c>
      <c r="B108" s="9">
        <f ca="1">ROUND(50*RAND()+150,0)</f>
        <v>164</v>
      </c>
      <c r="C108" s="9" t="str">
        <f ca="1">IF(B108&gt;=171,"muž","žena")</f>
        <v>žena</v>
      </c>
      <c r="D108" s="9">
        <f ca="1">B108</f>
        <v>164</v>
      </c>
    </row>
    <row r="109" spans="1:4">
      <c r="A109" s="9">
        <v>107</v>
      </c>
      <c r="B109" s="9">
        <f ca="1">ROUND(50*RAND()+150,0)</f>
        <v>173</v>
      </c>
      <c r="C109" s="9" t="str">
        <f ca="1">IF(B109&gt;=171,"muž","žena")</f>
        <v>muž</v>
      </c>
      <c r="D109" s="9">
        <f ca="1">B109</f>
        <v>173</v>
      </c>
    </row>
    <row r="110" spans="1:4">
      <c r="A110" s="9">
        <v>108</v>
      </c>
      <c r="B110" s="9">
        <f ca="1">ROUND(50*RAND()+150,0)</f>
        <v>190</v>
      </c>
      <c r="C110" s="9" t="str">
        <f ca="1">IF(B110&gt;=171,"muž","žena")</f>
        <v>muž</v>
      </c>
      <c r="D110" s="9">
        <f ca="1">B110</f>
        <v>190</v>
      </c>
    </row>
    <row r="111" spans="1:4">
      <c r="A111" s="9">
        <v>109</v>
      </c>
      <c r="B111" s="9">
        <f ca="1">ROUND(50*RAND()+150,0)</f>
        <v>164</v>
      </c>
      <c r="C111" s="9" t="str">
        <f ca="1">IF(B111&gt;=171,"muž","žena")</f>
        <v>žena</v>
      </c>
      <c r="D111" s="9">
        <f ca="1">B111</f>
        <v>164</v>
      </c>
    </row>
    <row r="112" spans="1:4">
      <c r="A112" s="9">
        <v>110</v>
      </c>
      <c r="B112" s="9">
        <f ca="1">ROUND(50*RAND()+150,0)</f>
        <v>173</v>
      </c>
      <c r="C112" s="9" t="str">
        <f ca="1">IF(B112&gt;=171,"muž","žena")</f>
        <v>muž</v>
      </c>
      <c r="D112" s="9">
        <f ca="1">B112</f>
        <v>173</v>
      </c>
    </row>
    <row r="113" spans="1:4">
      <c r="A113" s="9">
        <v>111</v>
      </c>
      <c r="B113" s="9">
        <f ca="1">ROUND(50*RAND()+150,0)</f>
        <v>172</v>
      </c>
      <c r="C113" s="9" t="str">
        <f ca="1">IF(B113&gt;=171,"muž","žena")</f>
        <v>muž</v>
      </c>
      <c r="D113" s="9">
        <f ca="1">B113</f>
        <v>172</v>
      </c>
    </row>
    <row r="114" spans="1:4">
      <c r="A114" s="9">
        <v>112</v>
      </c>
      <c r="B114" s="9">
        <f ca="1">ROUND(50*RAND()+150,0)</f>
        <v>187</v>
      </c>
      <c r="C114" s="9" t="str">
        <f ca="1">IF(B114&gt;=171,"muž","žena")</f>
        <v>muž</v>
      </c>
      <c r="D114" s="9">
        <f ca="1">B114</f>
        <v>187</v>
      </c>
    </row>
    <row r="115" spans="1:4">
      <c r="A115" s="9">
        <v>113</v>
      </c>
      <c r="B115" s="9">
        <f ca="1">ROUND(50*RAND()+150,0)</f>
        <v>186</v>
      </c>
      <c r="C115" s="9" t="str">
        <f ca="1">IF(B115&gt;=171,"muž","žena")</f>
        <v>muž</v>
      </c>
      <c r="D115" s="9">
        <f ca="1">B115</f>
        <v>186</v>
      </c>
    </row>
    <row r="116" spans="1:4">
      <c r="A116" s="9">
        <v>114</v>
      </c>
      <c r="B116" s="9">
        <f ca="1">ROUND(50*RAND()+150,0)</f>
        <v>167</v>
      </c>
      <c r="C116" s="9" t="str">
        <f ca="1">IF(B116&gt;=171,"muž","žena")</f>
        <v>žena</v>
      </c>
      <c r="D116" s="9">
        <f ca="1">B116</f>
        <v>167</v>
      </c>
    </row>
    <row r="117" spans="1:4">
      <c r="A117" s="9">
        <v>115</v>
      </c>
      <c r="B117" s="9">
        <f ca="1">ROUND(50*RAND()+150,0)</f>
        <v>193</v>
      </c>
      <c r="C117" s="9" t="str">
        <f ca="1">IF(B117&gt;=171,"muž","žena")</f>
        <v>muž</v>
      </c>
      <c r="D117" s="9">
        <f ca="1">B117</f>
        <v>193</v>
      </c>
    </row>
    <row r="118" spans="1:4">
      <c r="A118" s="9">
        <v>116</v>
      </c>
      <c r="B118" s="9">
        <f ca="1">ROUND(50*RAND()+150,0)</f>
        <v>171</v>
      </c>
      <c r="C118" s="9" t="str">
        <f ca="1">IF(B118&gt;=171,"muž","žena")</f>
        <v>muž</v>
      </c>
      <c r="D118" s="9">
        <f ca="1">B118</f>
        <v>171</v>
      </c>
    </row>
    <row r="119" spans="1:4">
      <c r="A119" s="9">
        <v>117</v>
      </c>
      <c r="B119" s="9">
        <f ca="1">ROUND(50*RAND()+150,0)</f>
        <v>189</v>
      </c>
      <c r="C119" s="9" t="str">
        <f ca="1">IF(B119&gt;=171,"muž","žena")</f>
        <v>muž</v>
      </c>
      <c r="D119" s="9">
        <f ca="1">B119</f>
        <v>189</v>
      </c>
    </row>
    <row r="120" spans="1:4">
      <c r="A120" s="9">
        <v>118</v>
      </c>
      <c r="B120" s="9">
        <f ca="1">ROUND(50*RAND()+150,0)</f>
        <v>184</v>
      </c>
      <c r="C120" s="9" t="str">
        <f ca="1">IF(B120&gt;=171,"muž","žena")</f>
        <v>muž</v>
      </c>
      <c r="D120" s="9">
        <f ca="1">B120</f>
        <v>184</v>
      </c>
    </row>
    <row r="121" spans="1:4">
      <c r="A121" s="9">
        <v>119</v>
      </c>
      <c r="B121" s="9">
        <f ca="1">ROUND(50*RAND()+150,0)</f>
        <v>172</v>
      </c>
      <c r="C121" s="9" t="str">
        <f ca="1">IF(B121&gt;=171,"muž","žena")</f>
        <v>muž</v>
      </c>
      <c r="D121" s="9">
        <f ca="1">B121</f>
        <v>172</v>
      </c>
    </row>
    <row r="122" spans="1:4">
      <c r="A122" s="9">
        <v>120</v>
      </c>
      <c r="B122" s="9">
        <f ca="1">ROUND(50*RAND()+150,0)</f>
        <v>183</v>
      </c>
      <c r="C122" s="9" t="str">
        <f ca="1">IF(B122&gt;=171,"muž","žena")</f>
        <v>muž</v>
      </c>
      <c r="D122" s="9">
        <f ca="1">B122</f>
        <v>183</v>
      </c>
    </row>
    <row r="123" spans="1:4">
      <c r="A123" s="9">
        <v>121</v>
      </c>
      <c r="B123" s="9">
        <f ca="1">ROUND(50*RAND()+150,0)</f>
        <v>180</v>
      </c>
      <c r="C123" s="9" t="str">
        <f ca="1">IF(B123&gt;=171,"muž","žena")</f>
        <v>muž</v>
      </c>
      <c r="D123" s="9">
        <f ca="1">B123</f>
        <v>180</v>
      </c>
    </row>
    <row r="124" spans="1:4">
      <c r="A124" s="9">
        <v>122</v>
      </c>
      <c r="B124" s="9">
        <f ca="1">ROUND(50*RAND()+150,0)</f>
        <v>166</v>
      </c>
      <c r="C124" s="9" t="str">
        <f ca="1">IF(B124&gt;=171,"muž","žena")</f>
        <v>žena</v>
      </c>
      <c r="D124" s="9">
        <f ca="1">B124</f>
        <v>166</v>
      </c>
    </row>
    <row r="125" spans="1:4">
      <c r="A125" s="9">
        <v>123</v>
      </c>
      <c r="B125" s="9">
        <f ca="1">ROUND(50*RAND()+150,0)</f>
        <v>189</v>
      </c>
      <c r="C125" s="9" t="str">
        <f ca="1">IF(B125&gt;=171,"muž","žena")</f>
        <v>muž</v>
      </c>
      <c r="D125" s="9">
        <f ca="1">B125</f>
        <v>189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9"/>
  <sheetViews>
    <sheetView workbookViewId="0">
      <selection activeCell="D19" sqref="D19"/>
    </sheetView>
  </sheetViews>
  <sheetFormatPr defaultRowHeight="12.75"/>
  <cols>
    <col min="2" max="2" width="20.42578125" customWidth="1"/>
    <col min="3" max="3" width="22.7109375" customWidth="1"/>
    <col min="4" max="4" width="15.7109375" customWidth="1"/>
    <col min="5" max="5" width="24.85546875" customWidth="1"/>
    <col min="6" max="6" width="23.140625" customWidth="1"/>
    <col min="7" max="7" width="17.28515625" customWidth="1"/>
    <col min="8" max="8" width="13.85546875" customWidth="1"/>
    <col min="9" max="9" width="16" customWidth="1"/>
    <col min="10" max="10" width="17.85546875" customWidth="1"/>
  </cols>
  <sheetData>
    <row r="1" spans="2:8" ht="13.5" thickBot="1"/>
    <row r="2" spans="2:8" ht="15.75">
      <c r="B2" s="2" t="s">
        <v>11</v>
      </c>
      <c r="C2" s="3" t="s">
        <v>12</v>
      </c>
      <c r="D2" s="4" t="s">
        <v>13</v>
      </c>
      <c r="E2" s="5" t="s">
        <v>12</v>
      </c>
      <c r="F2" s="1"/>
      <c r="G2" s="1"/>
      <c r="H2" s="1"/>
    </row>
    <row r="3" spans="2:8" ht="16.5" thickBot="1">
      <c r="B3" s="56" t="str">
        <f ca="1">IF(RAND()&lt;0.33,G4,IF(RAND()&lt;0.7,G5,G6))</f>
        <v>platina</v>
      </c>
      <c r="C3" s="55">
        <f ca="1">RAND()*200+100</f>
        <v>233.16611060303214</v>
      </c>
      <c r="D3" s="54" t="str">
        <f ca="1">IF(RAND()&lt;0.33,G7,IF(RAND()&lt;0.7,G8,"není"))</f>
        <v>perla</v>
      </c>
      <c r="E3" s="53">
        <f ca="1">IF(D3="není","není",RAND()*20+10)</f>
        <v>10.731010669692973</v>
      </c>
      <c r="F3" s="1"/>
      <c r="G3" s="77" t="s">
        <v>14</v>
      </c>
      <c r="H3" s="77"/>
    </row>
    <row r="4" spans="2:8" ht="15.75">
      <c r="B4" s="1"/>
      <c r="C4" s="1"/>
      <c r="D4" s="1"/>
      <c r="E4" s="1"/>
      <c r="F4" s="78" t="s">
        <v>11</v>
      </c>
      <c r="G4" s="52" t="s">
        <v>15</v>
      </c>
      <c r="H4" s="51">
        <v>716.4</v>
      </c>
    </row>
    <row r="5" spans="2:8" ht="15.75">
      <c r="B5" s="1"/>
      <c r="C5" s="1"/>
      <c r="D5" s="1"/>
      <c r="E5" s="1"/>
      <c r="F5" s="78"/>
      <c r="G5" s="52" t="s">
        <v>16</v>
      </c>
      <c r="H5" s="51">
        <v>255</v>
      </c>
    </row>
    <row r="6" spans="2:8" ht="15.75">
      <c r="B6" s="1"/>
      <c r="C6" s="1"/>
      <c r="D6" s="1"/>
      <c r="E6" s="1"/>
      <c r="F6" s="78"/>
      <c r="G6" s="52" t="s">
        <v>17</v>
      </c>
      <c r="H6" s="51">
        <v>818</v>
      </c>
    </row>
    <row r="7" spans="2:8" ht="12.75" customHeight="1" thickBot="1">
      <c r="B7" s="1"/>
      <c r="C7" s="1"/>
      <c r="D7" s="1"/>
      <c r="E7" s="1"/>
      <c r="F7" s="79" t="s">
        <v>13</v>
      </c>
      <c r="G7" s="50" t="s">
        <v>18</v>
      </c>
      <c r="H7" s="49">
        <v>170.8</v>
      </c>
    </row>
    <row r="8" spans="2:8" ht="15.75">
      <c r="B8" s="1"/>
      <c r="C8" s="67"/>
      <c r="D8" s="1"/>
      <c r="E8" s="1"/>
      <c r="F8" s="79"/>
      <c r="G8" s="50" t="s">
        <v>19</v>
      </c>
      <c r="H8" s="49">
        <v>658</v>
      </c>
    </row>
    <row r="9" spans="2:8">
      <c r="B9" s="1"/>
      <c r="C9" s="68"/>
      <c r="E9" s="1"/>
      <c r="F9" s="1"/>
      <c r="G9" s="1"/>
      <c r="H9" s="1"/>
    </row>
    <row r="10" spans="2:8">
      <c r="B10" s="1"/>
      <c r="C10" s="68"/>
      <c r="E10" s="1"/>
      <c r="F10" s="1"/>
      <c r="G10" s="1"/>
      <c r="H10" s="1"/>
    </row>
    <row r="11" spans="2:8">
      <c r="B11" s="1"/>
      <c r="C11" s="68"/>
      <c r="E11" s="1"/>
      <c r="F11" s="1"/>
      <c r="G11" s="1"/>
      <c r="H11" s="1"/>
    </row>
    <row r="12" spans="2:8" ht="13.5" thickBot="1">
      <c r="B12" s="1"/>
      <c r="C12" s="69"/>
      <c r="E12" s="1"/>
      <c r="F12" s="1"/>
      <c r="G12" s="1"/>
      <c r="H12" s="1"/>
    </row>
    <row r="13" spans="2:8">
      <c r="B13" s="1"/>
      <c r="E13" s="1"/>
      <c r="F13" s="1"/>
      <c r="G13" s="1"/>
      <c r="H13" s="1"/>
    </row>
    <row r="14" spans="2:8">
      <c r="B14" s="1"/>
      <c r="C14" s="6"/>
      <c r="D14" s="6"/>
      <c r="E14" s="1"/>
      <c r="F14" s="1"/>
      <c r="G14" s="1"/>
      <c r="H14" s="1"/>
    </row>
    <row r="15" spans="2:8">
      <c r="B15" s="1"/>
      <c r="C15" s="6"/>
      <c r="D15" s="6"/>
      <c r="E15" s="1"/>
      <c r="F15" s="1"/>
      <c r="G15" s="1"/>
      <c r="H15" s="1"/>
    </row>
    <row r="16" spans="2:8" ht="21.75" customHeight="1">
      <c r="B16" s="7" t="s">
        <v>20</v>
      </c>
      <c r="E16" s="1"/>
      <c r="F16" s="1"/>
      <c r="G16" s="1"/>
      <c r="H16" s="1"/>
    </row>
    <row r="17" spans="2:8">
      <c r="B17" s="1"/>
      <c r="C17" s="1"/>
      <c r="D17" s="1"/>
      <c r="E17" s="1"/>
      <c r="F17" s="1"/>
      <c r="G17" s="1"/>
      <c r="H17" s="1"/>
    </row>
    <row r="18" spans="2:8">
      <c r="B18" s="1"/>
      <c r="C18" s="1"/>
      <c r="D18" s="1"/>
      <c r="E18" s="1"/>
      <c r="F18" s="1"/>
      <c r="G18" s="1"/>
      <c r="H18" s="1"/>
    </row>
    <row r="19" spans="2:8">
      <c r="B19" s="1"/>
      <c r="C19" s="1"/>
      <c r="D19" s="1"/>
      <c r="E19" s="1"/>
      <c r="F19" s="1"/>
      <c r="G19" s="1"/>
      <c r="H19" s="1"/>
    </row>
  </sheetData>
  <mergeCells count="3">
    <mergeCell ref="G3:H3"/>
    <mergeCell ref="F4:F6"/>
    <mergeCell ref="F7:F8"/>
  </mergeCells>
  <pageMargins left="0.7" right="0.7" top="0.78740157499999996" bottom="0.78740157499999996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1"/>
  <sheetViews>
    <sheetView topLeftCell="C1" workbookViewId="0">
      <selection activeCell="I26" sqref="G22:I26"/>
    </sheetView>
  </sheetViews>
  <sheetFormatPr defaultRowHeight="15"/>
  <cols>
    <col min="1" max="1" width="8.7109375" style="8" hidden="1" customWidth="1"/>
    <col min="2" max="2" width="6.7109375" style="8" hidden="1" customWidth="1"/>
    <col min="3" max="3" width="14" style="8" customWidth="1"/>
    <col min="4" max="4" width="9.140625" style="8"/>
    <col min="5" max="5" width="11.5703125" style="8" customWidth="1"/>
    <col min="6" max="6" width="17.7109375" style="9" customWidth="1"/>
    <col min="7" max="16384" width="9.140625" style="8"/>
  </cols>
  <sheetData>
    <row r="1" spans="1:6">
      <c r="C1" s="11" t="s">
        <v>21</v>
      </c>
      <c r="D1" s="11" t="s">
        <v>22</v>
      </c>
      <c r="E1" s="11" t="s">
        <v>23</v>
      </c>
      <c r="F1" s="10" t="s">
        <v>24</v>
      </c>
    </row>
    <row r="2" spans="1:6">
      <c r="A2" s="8">
        <f ca="1">RAND()</f>
        <v>0.62870480141780694</v>
      </c>
      <c r="B2" s="8">
        <f ca="1">RAND()</f>
        <v>0.13384593848342952</v>
      </c>
      <c r="C2" s="8">
        <v>1</v>
      </c>
      <c r="D2" s="8">
        <f ca="1">CEILING(A2*35+60,0.2)</f>
        <v>82.2</v>
      </c>
      <c r="E2" s="8">
        <f ca="1">CEILING(B2*35+155,0.2)</f>
        <v>159.80000000000001</v>
      </c>
      <c r="F2" s="9"/>
    </row>
    <row r="3" spans="1:6">
      <c r="A3" s="8">
        <f ca="1">RAND()</f>
        <v>0.12292761203381919</v>
      </c>
      <c r="B3" s="8">
        <f ca="1">RAND()</f>
        <v>0.54302983748988432</v>
      </c>
      <c r="C3" s="8">
        <v>2</v>
      </c>
      <c r="D3" s="8">
        <f ca="1">CEILING(A3*35+60,0.2)</f>
        <v>64.400000000000006</v>
      </c>
      <c r="E3" s="8">
        <f ca="1">CEILING(B3*35+155,0.2)</f>
        <v>174.20000000000002</v>
      </c>
      <c r="F3" s="9"/>
    </row>
    <row r="4" spans="1:6">
      <c r="A4" s="8">
        <f ca="1">RAND()</f>
        <v>0.22575049981494888</v>
      </c>
      <c r="B4" s="8">
        <f ca="1">RAND()</f>
        <v>0.48462411334511946</v>
      </c>
      <c r="C4" s="8">
        <v>3</v>
      </c>
      <c r="D4" s="8">
        <f ca="1">CEILING(A4*35+60,0.2)</f>
        <v>68</v>
      </c>
      <c r="E4" s="8">
        <f ca="1">CEILING(B4*35+155,0.2)</f>
        <v>172</v>
      </c>
      <c r="F4" s="9"/>
    </row>
    <row r="5" spans="1:6">
      <c r="A5" s="8">
        <f ca="1">RAND()</f>
        <v>0.64960401932614042</v>
      </c>
      <c r="B5" s="8">
        <f ca="1">RAND()</f>
        <v>0.46242748726137806</v>
      </c>
      <c r="C5" s="8">
        <v>4</v>
      </c>
      <c r="D5" s="8">
        <f ca="1">CEILING(A5*35+60,0.2)</f>
        <v>82.800000000000011</v>
      </c>
      <c r="E5" s="8">
        <f ca="1">CEILING(B5*35+155,0.2)</f>
        <v>171.20000000000002</v>
      </c>
      <c r="F5" s="9"/>
    </row>
    <row r="6" spans="1:6">
      <c r="A6" s="8">
        <f ca="1">RAND()</f>
        <v>0.9398071707895147</v>
      </c>
      <c r="B6" s="8">
        <f ca="1">RAND()</f>
        <v>0.9021294719745504</v>
      </c>
      <c r="C6" s="8">
        <v>5</v>
      </c>
      <c r="D6" s="8">
        <f ca="1">CEILING(A6*35+60,0.2)</f>
        <v>93</v>
      </c>
      <c r="E6" s="8">
        <f ca="1">CEILING(B6*35+155,0.2)</f>
        <v>186.60000000000002</v>
      </c>
      <c r="F6" s="9"/>
    </row>
    <row r="7" spans="1:6">
      <c r="A7" s="8">
        <f ca="1">RAND()</f>
        <v>0.2634881086874189</v>
      </c>
      <c r="B7" s="8">
        <f ca="1">RAND()</f>
        <v>0.67096442288815172</v>
      </c>
      <c r="C7" s="8">
        <v>6</v>
      </c>
      <c r="D7" s="8">
        <f ca="1">CEILING(A7*35+60,0.2)</f>
        <v>69.400000000000006</v>
      </c>
      <c r="E7" s="8">
        <f ca="1">CEILING(B7*35+155,0.2)</f>
        <v>178.60000000000002</v>
      </c>
      <c r="F7" s="9"/>
    </row>
    <row r="8" spans="1:6">
      <c r="A8" s="8">
        <f ca="1">RAND()</f>
        <v>0.94081265488758048</v>
      </c>
      <c r="B8" s="8">
        <f ca="1">RAND()</f>
        <v>0.25801375589833886</v>
      </c>
      <c r="C8" s="8">
        <v>7</v>
      </c>
      <c r="D8" s="8">
        <f ca="1">CEILING(A8*35+60,0.2)</f>
        <v>93</v>
      </c>
      <c r="E8" s="8">
        <f ca="1">CEILING(B8*35+155,0.2)</f>
        <v>164.20000000000002</v>
      </c>
      <c r="F8" s="9"/>
    </row>
    <row r="9" spans="1:6">
      <c r="A9" s="8">
        <f ca="1">RAND()</f>
        <v>0.76948816097713857</v>
      </c>
      <c r="B9" s="8">
        <f ca="1">RAND()</f>
        <v>0.40920834619650537</v>
      </c>
      <c r="C9" s="8">
        <v>8</v>
      </c>
      <c r="D9" s="8">
        <f ca="1">CEILING(A9*35+60,0.2)</f>
        <v>87</v>
      </c>
      <c r="E9" s="8">
        <f ca="1">CEILING(B9*35+155,0.2)</f>
        <v>169.4</v>
      </c>
      <c r="F9" s="9"/>
    </row>
    <row r="10" spans="1:6">
      <c r="A10" s="8">
        <f ca="1">RAND()</f>
        <v>4.4217530305061703E-2</v>
      </c>
      <c r="B10" s="8">
        <f ca="1">RAND()</f>
        <v>0.6162623380109572</v>
      </c>
      <c r="C10" s="8">
        <v>9</v>
      </c>
      <c r="D10" s="8">
        <f ca="1">CEILING(A10*35+60,0.2)</f>
        <v>61.6</v>
      </c>
      <c r="E10" s="8">
        <f ca="1">CEILING(B10*35+155,0.2)</f>
        <v>176.60000000000002</v>
      </c>
      <c r="F10" s="9"/>
    </row>
    <row r="11" spans="1:6">
      <c r="A11" s="8">
        <f ca="1">RAND()</f>
        <v>0.10510936043997732</v>
      </c>
      <c r="B11" s="8">
        <f ca="1">RAND()</f>
        <v>0.27493847316656383</v>
      </c>
      <c r="C11" s="8">
        <v>10</v>
      </c>
      <c r="D11" s="8">
        <f ca="1">CEILING(A11*35+60,0.2)</f>
        <v>63.800000000000004</v>
      </c>
      <c r="E11" s="8">
        <f ca="1">CEILING(B11*35+155,0.2)</f>
        <v>164.8</v>
      </c>
      <c r="F11" s="9"/>
    </row>
    <row r="12" spans="1:6">
      <c r="A12" s="8">
        <f ca="1">RAND()</f>
        <v>0.61740335180333972</v>
      </c>
      <c r="B12" s="8">
        <f ca="1">RAND()</f>
        <v>0.1090274631426642</v>
      </c>
      <c r="C12" s="8">
        <v>11</v>
      </c>
      <c r="D12" s="8">
        <f ca="1">CEILING(A12*35+60,0.2)</f>
        <v>81.800000000000011</v>
      </c>
      <c r="E12" s="8">
        <f ca="1">CEILING(B12*35+155,0.2)</f>
        <v>159</v>
      </c>
      <c r="F12" s="9"/>
    </row>
    <row r="13" spans="1:6">
      <c r="A13" s="8">
        <f ca="1">RAND()</f>
        <v>0.42408030132710139</v>
      </c>
      <c r="B13" s="8">
        <f ca="1">RAND()</f>
        <v>0.51872046211824774</v>
      </c>
      <c r="C13" s="8">
        <v>12</v>
      </c>
      <c r="D13" s="8">
        <f ca="1">CEILING(A13*35+60,0.2)</f>
        <v>75</v>
      </c>
      <c r="E13" s="8">
        <f ca="1">CEILING(B13*35+155,0.2)</f>
        <v>173.20000000000002</v>
      </c>
      <c r="F13" s="9"/>
    </row>
    <row r="14" spans="1:6">
      <c r="A14" s="8">
        <f ca="1">RAND()</f>
        <v>0.19659937444471975</v>
      </c>
      <c r="B14" s="8">
        <f ca="1">RAND()</f>
        <v>0.63832552165351641</v>
      </c>
      <c r="C14" s="8">
        <v>13</v>
      </c>
      <c r="D14" s="8">
        <f ca="1">CEILING(A14*35+60,0.2)</f>
        <v>67</v>
      </c>
      <c r="E14" s="8">
        <f ca="1">CEILING(B14*35+155,0.2)</f>
        <v>177.4</v>
      </c>
      <c r="F14" s="9"/>
    </row>
    <row r="15" spans="1:6">
      <c r="A15" s="8">
        <f ca="1">RAND()</f>
        <v>0.19108756965794393</v>
      </c>
      <c r="B15" s="8">
        <f ca="1">RAND()</f>
        <v>8.9140947893846745E-2</v>
      </c>
      <c r="C15" s="8">
        <v>14</v>
      </c>
      <c r="D15" s="8">
        <f ca="1">CEILING(A15*35+60,0.2)</f>
        <v>66.8</v>
      </c>
      <c r="E15" s="8">
        <f ca="1">CEILING(B15*35+155,0.2)</f>
        <v>158.20000000000002</v>
      </c>
      <c r="F15" s="9"/>
    </row>
    <row r="16" spans="1:6">
      <c r="A16" s="8">
        <f ca="1">RAND()</f>
        <v>0.83243029194600204</v>
      </c>
      <c r="B16" s="8">
        <f ca="1">RAND()</f>
        <v>0.31499283743221862</v>
      </c>
      <c r="C16" s="8">
        <v>15</v>
      </c>
      <c r="D16" s="8">
        <f ca="1">CEILING(A16*35+60,0.2)</f>
        <v>89.2</v>
      </c>
      <c r="E16" s="8">
        <f ca="1">CEILING(B16*35+155,0.2)</f>
        <v>166.20000000000002</v>
      </c>
      <c r="F16" s="9"/>
    </row>
    <row r="17" spans="1:6">
      <c r="A17" s="8">
        <f ca="1">RAND()</f>
        <v>0.51999505292196269</v>
      </c>
      <c r="B17" s="8">
        <f ca="1">RAND()</f>
        <v>8.4587594179651227E-2</v>
      </c>
      <c r="C17" s="8">
        <v>16</v>
      </c>
      <c r="D17" s="8">
        <f ca="1">CEILING(A17*35+60,0.2)</f>
        <v>78.2</v>
      </c>
      <c r="E17" s="8">
        <f ca="1">CEILING(B17*35+155,0.2)</f>
        <v>158</v>
      </c>
      <c r="F17" s="9"/>
    </row>
    <row r="18" spans="1:6">
      <c r="A18" s="8">
        <f ca="1">RAND()</f>
        <v>0.40131288929172815</v>
      </c>
      <c r="B18" s="8">
        <f ca="1">RAND()</f>
        <v>0.42509704166048301</v>
      </c>
      <c r="C18" s="8">
        <v>17</v>
      </c>
      <c r="D18" s="8">
        <f ca="1">CEILING(A18*35+60,0.2)</f>
        <v>74.2</v>
      </c>
      <c r="E18" s="8">
        <f ca="1">CEILING(B18*35+155,0.2)</f>
        <v>170</v>
      </c>
      <c r="F18" s="9"/>
    </row>
    <row r="19" spans="1:6">
      <c r="A19" s="8">
        <f ca="1">RAND()</f>
        <v>0.24042147161299898</v>
      </c>
      <c r="B19" s="8">
        <f ca="1">RAND()</f>
        <v>0.29185074414441092</v>
      </c>
      <c r="C19" s="8">
        <v>18</v>
      </c>
      <c r="D19" s="8">
        <f ca="1">CEILING(A19*35+60,0.2)</f>
        <v>68.600000000000009</v>
      </c>
      <c r="E19" s="8">
        <f ca="1">CEILING(B19*35+155,0.2)</f>
        <v>165.4</v>
      </c>
      <c r="F19" s="9"/>
    </row>
    <row r="20" spans="1:6">
      <c r="A20" s="8">
        <f ca="1">RAND()</f>
        <v>0.37631206172338305</v>
      </c>
      <c r="B20" s="8">
        <f ca="1">RAND()</f>
        <v>2.4032657312843098E-2</v>
      </c>
      <c r="C20" s="8">
        <v>19</v>
      </c>
      <c r="D20" s="8">
        <f ca="1">CEILING(A20*35+60,0.2)</f>
        <v>73.2</v>
      </c>
      <c r="E20" s="8">
        <f ca="1">CEILING(B20*35+155,0.2)</f>
        <v>156</v>
      </c>
      <c r="F20" s="9"/>
    </row>
    <row r="21" spans="1:6">
      <c r="A21" s="8">
        <f ca="1">RAND()</f>
        <v>0.5117766941344315</v>
      </c>
      <c r="B21" s="8">
        <f ca="1">RAND()</f>
        <v>4.9851989720234968E-2</v>
      </c>
      <c r="C21" s="8">
        <v>20</v>
      </c>
      <c r="D21" s="8">
        <f ca="1">CEILING(A21*35+60,0.2)</f>
        <v>78</v>
      </c>
      <c r="E21" s="8">
        <f ca="1">CEILING(B21*35+155,0.2)</f>
        <v>156.80000000000001</v>
      </c>
      <c r="F21" s="9"/>
    </row>
    <row r="22" spans="1:6">
      <c r="A22" s="8">
        <f ca="1">RAND()</f>
        <v>0.87095605468007775</v>
      </c>
      <c r="B22" s="8">
        <f ca="1">RAND()</f>
        <v>0.45492956038961596</v>
      </c>
      <c r="C22" s="8">
        <v>21</v>
      </c>
      <c r="D22" s="8">
        <f ca="1">CEILING(A22*35+60,0.2)</f>
        <v>90.600000000000009</v>
      </c>
      <c r="E22" s="8">
        <f ca="1">CEILING(B22*35+155,0.2)</f>
        <v>171</v>
      </c>
      <c r="F22" s="9"/>
    </row>
    <row r="23" spans="1:6">
      <c r="A23" s="8">
        <f ca="1">RAND()</f>
        <v>0.45835792999780978</v>
      </c>
      <c r="B23" s="8">
        <f ca="1">RAND()</f>
        <v>0.74351992937840694</v>
      </c>
      <c r="C23" s="8">
        <v>22</v>
      </c>
      <c r="D23" s="8">
        <f ca="1">CEILING(A23*35+60,0.2)</f>
        <v>76.2</v>
      </c>
      <c r="E23" s="8">
        <f ca="1">CEILING(B23*35+155,0.2)</f>
        <v>181.20000000000002</v>
      </c>
      <c r="F23" s="9"/>
    </row>
    <row r="24" spans="1:6">
      <c r="A24" s="8">
        <f ca="1">RAND()</f>
        <v>0.73742629750433397</v>
      </c>
      <c r="B24" s="8">
        <f ca="1">RAND()</f>
        <v>0.96825539523884108</v>
      </c>
      <c r="C24" s="8">
        <v>23</v>
      </c>
      <c r="D24" s="8">
        <f ca="1">CEILING(A24*35+60,0.2)</f>
        <v>86</v>
      </c>
      <c r="E24" s="8">
        <f ca="1">CEILING(B24*35+155,0.2)</f>
        <v>189</v>
      </c>
      <c r="F24" s="9"/>
    </row>
    <row r="25" spans="1:6">
      <c r="A25" s="8">
        <f ca="1">RAND()</f>
        <v>0.27613204020501281</v>
      </c>
      <c r="B25" s="8">
        <f ca="1">RAND()</f>
        <v>0.76552165299644159</v>
      </c>
      <c r="C25" s="8">
        <v>24</v>
      </c>
      <c r="D25" s="8">
        <f ca="1">CEILING(A25*35+60,0.2)</f>
        <v>69.8</v>
      </c>
      <c r="E25" s="8">
        <f ca="1">CEILING(B25*35+155,0.2)</f>
        <v>181.8</v>
      </c>
      <c r="F25" s="9"/>
    </row>
    <row r="26" spans="1:6">
      <c r="A26" s="8">
        <f ca="1">RAND()</f>
        <v>8.4926255712213905E-2</v>
      </c>
      <c r="B26" s="8">
        <f ca="1">RAND()</f>
        <v>0.69045269680905663</v>
      </c>
      <c r="C26" s="8">
        <v>25</v>
      </c>
      <c r="D26" s="8">
        <f ca="1">CEILING(A26*35+60,0.2)</f>
        <v>63</v>
      </c>
      <c r="E26" s="8">
        <f ca="1">CEILING(B26*35+155,0.2)</f>
        <v>179.20000000000002</v>
      </c>
      <c r="F26" s="9"/>
    </row>
    <row r="27" spans="1:6">
      <c r="A27" s="8">
        <f ca="1">RAND()</f>
        <v>0.24657219847820744</v>
      </c>
      <c r="B27" s="8">
        <f ca="1">RAND()</f>
        <v>0.45046671094509294</v>
      </c>
      <c r="C27" s="8">
        <v>26</v>
      </c>
      <c r="D27" s="8">
        <f ca="1">CEILING(A27*35+60,0.2)</f>
        <v>68.8</v>
      </c>
      <c r="E27" s="8">
        <f ca="1">CEILING(B27*35+155,0.2)</f>
        <v>170.8</v>
      </c>
      <c r="F27" s="9"/>
    </row>
    <row r="28" spans="1:6">
      <c r="A28" s="8">
        <f ca="1">RAND()</f>
        <v>0.83546471811829137</v>
      </c>
      <c r="B28" s="8">
        <f ca="1">RAND()</f>
        <v>0.16200816859454059</v>
      </c>
      <c r="C28" s="8">
        <v>27</v>
      </c>
      <c r="D28" s="8">
        <f ca="1">CEILING(A28*35+60,0.2)</f>
        <v>89.4</v>
      </c>
      <c r="E28" s="8">
        <f ca="1">CEILING(B28*35+155,0.2)</f>
        <v>160.80000000000001</v>
      </c>
      <c r="F28" s="9"/>
    </row>
    <row r="29" spans="1:6">
      <c r="A29" s="8">
        <f ca="1">RAND()</f>
        <v>0.29711407470749862</v>
      </c>
      <c r="B29" s="8">
        <f ca="1">RAND()</f>
        <v>0.61171466987012613</v>
      </c>
      <c r="C29" s="8">
        <v>28</v>
      </c>
      <c r="D29" s="8">
        <f ca="1">CEILING(A29*35+60,0.2)</f>
        <v>70.400000000000006</v>
      </c>
      <c r="E29" s="8">
        <f ca="1">CEILING(B29*35+155,0.2)</f>
        <v>176.60000000000002</v>
      </c>
      <c r="F29" s="9"/>
    </row>
    <row r="30" spans="1:6">
      <c r="A30" s="8">
        <f ca="1">RAND()</f>
        <v>0.93000618043613281</v>
      </c>
      <c r="B30" s="8">
        <f ca="1">RAND()</f>
        <v>0.55998573467371471</v>
      </c>
      <c r="C30" s="8">
        <v>29</v>
      </c>
      <c r="D30" s="8">
        <f ca="1">CEILING(A30*35+60,0.2)</f>
        <v>92.600000000000009</v>
      </c>
      <c r="E30" s="8">
        <f ca="1">CEILING(B30*35+155,0.2)</f>
        <v>174.60000000000002</v>
      </c>
      <c r="F30" s="9"/>
    </row>
    <row r="31" spans="1:6">
      <c r="A31" s="8">
        <f ca="1">RAND()</f>
        <v>0.61689950967966012</v>
      </c>
      <c r="B31" s="8">
        <f ca="1">RAND()</f>
        <v>0.96780347810590017</v>
      </c>
      <c r="C31" s="8">
        <v>30</v>
      </c>
      <c r="D31" s="8">
        <f ca="1">CEILING(A31*35+60,0.2)</f>
        <v>81.600000000000009</v>
      </c>
      <c r="E31" s="8">
        <f ca="1">CEILING(B31*35+155,0.2)</f>
        <v>189</v>
      </c>
      <c r="F31" s="9"/>
    </row>
    <row r="32" spans="1:6">
      <c r="A32" s="8">
        <f ca="1">RAND()</f>
        <v>0.52470368356647445</v>
      </c>
      <c r="B32" s="8">
        <f ca="1">RAND()</f>
        <v>0.5894977253924949</v>
      </c>
      <c r="C32" s="8">
        <v>31</v>
      </c>
      <c r="D32" s="8">
        <f ca="1">CEILING(A32*35+60,0.2)</f>
        <v>78.400000000000006</v>
      </c>
      <c r="E32" s="8">
        <f ca="1">CEILING(B32*35+155,0.2)</f>
        <v>175.8</v>
      </c>
      <c r="F32" s="9"/>
    </row>
    <row r="33" spans="1:6">
      <c r="A33" s="8">
        <f ca="1">RAND()</f>
        <v>0.75613904116936237</v>
      </c>
      <c r="B33" s="8">
        <f ca="1">RAND()</f>
        <v>0.90794838326563332</v>
      </c>
      <c r="C33" s="8">
        <v>32</v>
      </c>
      <c r="D33" s="8">
        <f ca="1">CEILING(A33*35+60,0.2)</f>
        <v>86.600000000000009</v>
      </c>
      <c r="E33" s="8">
        <f ca="1">CEILING(B33*35+155,0.2)</f>
        <v>186.8</v>
      </c>
      <c r="F33" s="9"/>
    </row>
    <row r="34" spans="1:6">
      <c r="A34" s="8">
        <f ca="1">RAND()</f>
        <v>0.41178249289536561</v>
      </c>
      <c r="B34" s="8">
        <f ca="1">RAND()</f>
        <v>0.88998176937175089</v>
      </c>
      <c r="C34" s="8">
        <v>33</v>
      </c>
      <c r="D34" s="8">
        <f ca="1">CEILING(A34*35+60,0.2)</f>
        <v>74.600000000000009</v>
      </c>
      <c r="E34" s="8">
        <f ca="1">CEILING(B34*35+155,0.2)</f>
        <v>186.20000000000002</v>
      </c>
      <c r="F34" s="9"/>
    </row>
    <row r="35" spans="1:6">
      <c r="A35" s="8">
        <f ca="1">RAND()</f>
        <v>0.85830152963684581</v>
      </c>
      <c r="B35" s="8">
        <f ca="1">RAND()</f>
        <v>0.98500746929466099</v>
      </c>
      <c r="C35" s="8">
        <v>34</v>
      </c>
      <c r="D35" s="8">
        <f ca="1">CEILING(A35*35+60,0.2)</f>
        <v>90.2</v>
      </c>
      <c r="E35" s="8">
        <f ca="1">CEILING(B35*35+155,0.2)</f>
        <v>189.60000000000002</v>
      </c>
      <c r="F35" s="9"/>
    </row>
    <row r="36" spans="1:6">
      <c r="A36" s="8">
        <f ca="1">RAND()</f>
        <v>0.23510000371602657</v>
      </c>
      <c r="B36" s="8">
        <f ca="1">RAND()</f>
        <v>0.8360711447799698</v>
      </c>
      <c r="C36" s="8">
        <v>35</v>
      </c>
      <c r="D36" s="8">
        <f ca="1">CEILING(A36*35+60,0.2)</f>
        <v>68.400000000000006</v>
      </c>
      <c r="E36" s="8">
        <f ca="1">CEILING(B36*35+155,0.2)</f>
        <v>184.4</v>
      </c>
      <c r="F36" s="9"/>
    </row>
    <row r="37" spans="1:6">
      <c r="A37" s="8">
        <f ca="1">RAND()</f>
        <v>0.107829029379646</v>
      </c>
      <c r="B37" s="8">
        <f ca="1">RAND()</f>
        <v>0.6903476974812589</v>
      </c>
      <c r="C37" s="8">
        <v>36</v>
      </c>
      <c r="D37" s="8">
        <f ca="1">CEILING(A37*35+60,0.2)</f>
        <v>63.800000000000004</v>
      </c>
      <c r="E37" s="8">
        <f ca="1">CEILING(B37*35+155,0.2)</f>
        <v>179.20000000000002</v>
      </c>
      <c r="F37" s="9"/>
    </row>
    <row r="38" spans="1:6">
      <c r="A38" s="8">
        <f ca="1">RAND()</f>
        <v>0.23316092505849428</v>
      </c>
      <c r="B38" s="8">
        <f ca="1">RAND()</f>
        <v>0.49691780766590132</v>
      </c>
      <c r="C38" s="8">
        <v>37</v>
      </c>
      <c r="D38" s="8">
        <f ca="1">CEILING(A38*35+60,0.2)</f>
        <v>68.2</v>
      </c>
      <c r="E38" s="8">
        <f ca="1">CEILING(B38*35+155,0.2)</f>
        <v>172.4</v>
      </c>
      <c r="F38" s="9"/>
    </row>
    <row r="39" spans="1:6">
      <c r="A39" s="8">
        <f ca="1">RAND()</f>
        <v>0.39396251902017498</v>
      </c>
      <c r="B39" s="8">
        <f ca="1">RAND()</f>
        <v>0.33085621116815644</v>
      </c>
      <c r="C39" s="8">
        <v>38</v>
      </c>
      <c r="D39" s="8">
        <f ca="1">CEILING(A39*35+60,0.2)</f>
        <v>73.8</v>
      </c>
      <c r="E39" s="8">
        <f ca="1">CEILING(B39*35+155,0.2)</f>
        <v>166.60000000000002</v>
      </c>
      <c r="F39" s="9"/>
    </row>
    <row r="40" spans="1:6">
      <c r="A40" s="8">
        <f ca="1">RAND()</f>
        <v>0.7701733689800303</v>
      </c>
      <c r="B40" s="8">
        <f ca="1">RAND()</f>
        <v>0.81104897729662806</v>
      </c>
      <c r="C40" s="8">
        <v>39</v>
      </c>
      <c r="D40" s="8">
        <f ca="1">CEILING(A40*35+60,0.2)</f>
        <v>87</v>
      </c>
      <c r="E40" s="8">
        <f ca="1">CEILING(B40*35+155,0.2)</f>
        <v>183.4</v>
      </c>
      <c r="F40" s="9"/>
    </row>
    <row r="41" spans="1:6">
      <c r="A41" s="8">
        <f ca="1">RAND()</f>
        <v>0.53474423317765085</v>
      </c>
      <c r="B41" s="8">
        <f ca="1">RAND()</f>
        <v>0.92082327183263124</v>
      </c>
      <c r="C41" s="8">
        <v>40</v>
      </c>
      <c r="D41" s="8">
        <f ca="1">CEILING(A41*35+60,0.2)</f>
        <v>78.800000000000011</v>
      </c>
      <c r="E41" s="8">
        <f ca="1">CEILING(B41*35+155,0.2)</f>
        <v>187.4</v>
      </c>
      <c r="F41" s="9"/>
    </row>
    <row r="42" spans="1:6">
      <c r="A42" s="8">
        <f ca="1">RAND()</f>
        <v>0.86069864734461876</v>
      </c>
      <c r="B42" s="8">
        <f ca="1">RAND()</f>
        <v>0.78265308179967674</v>
      </c>
      <c r="C42" s="8">
        <v>41</v>
      </c>
      <c r="D42" s="8">
        <f ca="1">CEILING(A42*35+60,0.2)</f>
        <v>90.2</v>
      </c>
      <c r="E42" s="8">
        <f ca="1">CEILING(B42*35+155,0.2)</f>
        <v>182.4</v>
      </c>
      <c r="F42" s="9"/>
    </row>
    <row r="43" spans="1:6">
      <c r="A43" s="8">
        <f ca="1">RAND()</f>
        <v>4.8274613763193197E-2</v>
      </c>
      <c r="B43" s="8">
        <f ca="1">RAND()</f>
        <v>0.50480597315552023</v>
      </c>
      <c r="C43" s="8">
        <v>42</v>
      </c>
      <c r="D43" s="8">
        <f ca="1">CEILING(A43*35+60,0.2)</f>
        <v>61.800000000000004</v>
      </c>
      <c r="E43" s="8">
        <f ca="1">CEILING(B43*35+155,0.2)</f>
        <v>172.8</v>
      </c>
      <c r="F43" s="9"/>
    </row>
    <row r="44" spans="1:6">
      <c r="A44" s="8">
        <f ca="1">RAND()</f>
        <v>0.98355449667058981</v>
      </c>
      <c r="B44" s="8">
        <f ca="1">RAND()</f>
        <v>0.59721028181686486</v>
      </c>
      <c r="C44" s="8">
        <v>43</v>
      </c>
      <c r="D44" s="8">
        <f ca="1">CEILING(A44*35+60,0.2)</f>
        <v>94.600000000000009</v>
      </c>
      <c r="E44" s="8">
        <f ca="1">CEILING(B44*35+155,0.2)</f>
        <v>176</v>
      </c>
      <c r="F44" s="9"/>
    </row>
    <row r="45" spans="1:6">
      <c r="A45" s="8">
        <f ca="1">RAND()</f>
        <v>0.62558784124991207</v>
      </c>
      <c r="B45" s="8">
        <f ca="1">RAND()</f>
        <v>0.55226785515209154</v>
      </c>
      <c r="C45" s="8">
        <v>44</v>
      </c>
      <c r="D45" s="8">
        <f ca="1">CEILING(A45*35+60,0.2)</f>
        <v>82</v>
      </c>
      <c r="E45" s="8">
        <f ca="1">CEILING(B45*35+155,0.2)</f>
        <v>174.4</v>
      </c>
      <c r="F45" s="9"/>
    </row>
    <row r="46" spans="1:6">
      <c r="A46" s="8">
        <f ca="1">RAND()</f>
        <v>7.9744263471342003E-2</v>
      </c>
      <c r="B46" s="8">
        <f ca="1">RAND()</f>
        <v>0.68098358707833284</v>
      </c>
      <c r="C46" s="8">
        <v>45</v>
      </c>
      <c r="D46" s="8">
        <f ca="1">CEILING(A46*35+60,0.2)</f>
        <v>62.800000000000004</v>
      </c>
      <c r="E46" s="8">
        <f ca="1">CEILING(B46*35+155,0.2)</f>
        <v>179</v>
      </c>
      <c r="F46" s="9"/>
    </row>
    <row r="47" spans="1:6">
      <c r="A47" s="8">
        <f ca="1">RAND()</f>
        <v>0.47320677293933788</v>
      </c>
      <c r="B47" s="8">
        <f ca="1">RAND()</f>
        <v>0.39849406348091077</v>
      </c>
      <c r="C47" s="8">
        <v>46</v>
      </c>
      <c r="D47" s="8">
        <f ca="1">CEILING(A47*35+60,0.2)</f>
        <v>76.600000000000009</v>
      </c>
      <c r="E47" s="8">
        <f ca="1">CEILING(B47*35+155,0.2)</f>
        <v>169</v>
      </c>
      <c r="F47" s="9"/>
    </row>
    <row r="48" spans="1:6">
      <c r="A48" s="8">
        <f ca="1">RAND()</f>
        <v>3.3985158064179455E-2</v>
      </c>
      <c r="B48" s="8">
        <f ca="1">RAND()</f>
        <v>0.88702761088527649</v>
      </c>
      <c r="C48" s="8">
        <v>47</v>
      </c>
      <c r="D48" s="8">
        <f ca="1">CEILING(A48*35+60,0.2)</f>
        <v>61.2</v>
      </c>
      <c r="E48" s="8">
        <f ca="1">CEILING(B48*35+155,0.2)</f>
        <v>186.20000000000002</v>
      </c>
      <c r="F48" s="9"/>
    </row>
    <row r="49" spans="1:6">
      <c r="A49" s="8">
        <f ca="1">RAND()</f>
        <v>0.27098598686057263</v>
      </c>
      <c r="B49" s="8">
        <f ca="1">RAND()</f>
        <v>0.12238174476169283</v>
      </c>
      <c r="C49" s="8">
        <v>48</v>
      </c>
      <c r="D49" s="8">
        <f ca="1">CEILING(A49*35+60,0.2)</f>
        <v>69.600000000000009</v>
      </c>
      <c r="E49" s="8">
        <f ca="1">CEILING(B49*35+155,0.2)</f>
        <v>159.4</v>
      </c>
      <c r="F49" s="9"/>
    </row>
    <row r="50" spans="1:6">
      <c r="A50" s="8">
        <f ca="1">RAND()</f>
        <v>0.15894854023947524</v>
      </c>
      <c r="B50" s="8">
        <f ca="1">RAND()</f>
        <v>0.40421174543678251</v>
      </c>
      <c r="C50" s="8">
        <v>49</v>
      </c>
      <c r="D50" s="8">
        <f ca="1">CEILING(A50*35+60,0.2)</f>
        <v>65.600000000000009</v>
      </c>
      <c r="E50" s="8">
        <f ca="1">CEILING(B50*35+155,0.2)</f>
        <v>169.20000000000002</v>
      </c>
      <c r="F50" s="9"/>
    </row>
    <row r="51" spans="1:6">
      <c r="A51" s="8">
        <f ca="1">RAND()</f>
        <v>0.60183358724523495</v>
      </c>
      <c r="B51" s="8">
        <f ca="1">RAND()</f>
        <v>0.536418966017291</v>
      </c>
      <c r="C51" s="8">
        <v>50</v>
      </c>
      <c r="D51" s="8">
        <f ca="1">CEILING(A51*35+60,0.2)</f>
        <v>81.2</v>
      </c>
      <c r="E51" s="8">
        <f ca="1">CEILING(B51*35+155,0.2)</f>
        <v>173.8</v>
      </c>
      <c r="F51" s="9"/>
    </row>
    <row r="52" spans="1:6">
      <c r="A52" s="8">
        <f ca="1">RAND()</f>
        <v>0.85053341868328547</v>
      </c>
      <c r="B52" s="8">
        <f ca="1">RAND()</f>
        <v>0.16941778976122446</v>
      </c>
      <c r="C52" s="8">
        <v>51</v>
      </c>
      <c r="D52" s="8">
        <f ca="1">CEILING(A52*35+60,0.2)</f>
        <v>89.800000000000011</v>
      </c>
      <c r="E52" s="8">
        <f ca="1">CEILING(B52*35+155,0.2)</f>
        <v>161</v>
      </c>
      <c r="F52" s="9"/>
    </row>
    <row r="53" spans="1:6">
      <c r="A53" s="8">
        <f ca="1">RAND()</f>
        <v>0.98555172857488049</v>
      </c>
      <c r="B53" s="8">
        <f ca="1">RAND()</f>
        <v>0.17350253690380346</v>
      </c>
      <c r="C53" s="8">
        <v>52</v>
      </c>
      <c r="D53" s="8">
        <f ca="1">CEILING(A53*35+60,0.2)</f>
        <v>94.600000000000009</v>
      </c>
      <c r="E53" s="8">
        <f ca="1">CEILING(B53*35+155,0.2)</f>
        <v>161.20000000000002</v>
      </c>
      <c r="F53" s="9"/>
    </row>
    <row r="54" spans="1:6">
      <c r="A54" s="8">
        <f ca="1">RAND()</f>
        <v>1.8689865171619968E-2</v>
      </c>
      <c r="B54" s="8">
        <f ca="1">RAND()</f>
        <v>0.74597264116884843</v>
      </c>
      <c r="C54" s="8">
        <v>53</v>
      </c>
      <c r="D54" s="8">
        <f ca="1">CEILING(A54*35+60,0.2)</f>
        <v>60.800000000000004</v>
      </c>
      <c r="E54" s="8">
        <f ca="1">CEILING(B54*35+155,0.2)</f>
        <v>181.20000000000002</v>
      </c>
      <c r="F54" s="9"/>
    </row>
    <row r="55" spans="1:6">
      <c r="A55" s="8">
        <f ca="1">RAND()</f>
        <v>0.95989019809999943</v>
      </c>
      <c r="B55" s="8">
        <f ca="1">RAND()</f>
        <v>0.46349946457909608</v>
      </c>
      <c r="C55" s="8">
        <v>54</v>
      </c>
      <c r="D55" s="8">
        <f ca="1">CEILING(A55*35+60,0.2)</f>
        <v>93.600000000000009</v>
      </c>
      <c r="E55" s="8">
        <f ca="1">CEILING(B55*35+155,0.2)</f>
        <v>171.4</v>
      </c>
      <c r="F55" s="9"/>
    </row>
    <row r="56" spans="1:6">
      <c r="A56" s="8">
        <f ca="1">RAND()</f>
        <v>0.84335735316965454</v>
      </c>
      <c r="B56" s="8">
        <f ca="1">RAND()</f>
        <v>0.67658333952785232</v>
      </c>
      <c r="C56" s="8">
        <v>55</v>
      </c>
      <c r="D56" s="8">
        <f ca="1">CEILING(A56*35+60,0.2)</f>
        <v>89.600000000000009</v>
      </c>
      <c r="E56" s="8">
        <f ca="1">CEILING(B56*35+155,0.2)</f>
        <v>178.8</v>
      </c>
      <c r="F56" s="9"/>
    </row>
    <row r="57" spans="1:6">
      <c r="A57" s="8">
        <f ca="1">RAND()</f>
        <v>0.90684784477539504</v>
      </c>
      <c r="B57" s="8">
        <f ca="1">RAND()</f>
        <v>0.70413009270476956</v>
      </c>
      <c r="C57" s="8">
        <v>56</v>
      </c>
      <c r="D57" s="8">
        <f ca="1">CEILING(A57*35+60,0.2)</f>
        <v>91.800000000000011</v>
      </c>
      <c r="E57" s="8">
        <f ca="1">CEILING(B57*35+155,0.2)</f>
        <v>179.8</v>
      </c>
      <c r="F57" s="9"/>
    </row>
    <row r="58" spans="1:6">
      <c r="A58" s="8">
        <f ca="1">RAND()</f>
        <v>0.1432349526624257</v>
      </c>
      <c r="B58" s="8">
        <f ca="1">RAND()</f>
        <v>0.99214717692293053</v>
      </c>
      <c r="C58" s="8">
        <v>57</v>
      </c>
      <c r="D58" s="8">
        <f ca="1">CEILING(A58*35+60,0.2)</f>
        <v>65.2</v>
      </c>
      <c r="E58" s="8">
        <f ca="1">CEILING(B58*35+155,0.2)</f>
        <v>189.8</v>
      </c>
      <c r="F58" s="9"/>
    </row>
    <row r="59" spans="1:6">
      <c r="A59" s="8">
        <f ca="1">RAND()</f>
        <v>0.67450777335148937</v>
      </c>
      <c r="B59" s="8">
        <f ca="1">RAND()</f>
        <v>0.24160617063021572</v>
      </c>
      <c r="C59" s="8">
        <v>58</v>
      </c>
      <c r="D59" s="8">
        <f ca="1">CEILING(A59*35+60,0.2)</f>
        <v>83.800000000000011</v>
      </c>
      <c r="E59" s="8">
        <f ca="1">CEILING(B59*35+155,0.2)</f>
        <v>163.60000000000002</v>
      </c>
      <c r="F59" s="9"/>
    </row>
    <row r="60" spans="1:6">
      <c r="A60" s="8">
        <f ca="1">RAND()</f>
        <v>0.89863334139957507</v>
      </c>
      <c r="B60" s="8">
        <f ca="1">RAND()</f>
        <v>0.84634696210141513</v>
      </c>
      <c r="C60" s="8">
        <v>59</v>
      </c>
      <c r="D60" s="8">
        <f ca="1">CEILING(A60*35+60,0.2)</f>
        <v>91.600000000000009</v>
      </c>
      <c r="E60" s="8">
        <f ca="1">CEILING(B60*35+155,0.2)</f>
        <v>184.8</v>
      </c>
      <c r="F60" s="9"/>
    </row>
    <row r="61" spans="1:6">
      <c r="A61" s="8">
        <f ca="1">RAND()</f>
        <v>0.18050193537779391</v>
      </c>
      <c r="B61" s="8">
        <f ca="1">RAND()</f>
        <v>0.60340164717123801</v>
      </c>
      <c r="C61" s="8">
        <v>60</v>
      </c>
      <c r="D61" s="8">
        <f ca="1">CEILING(A61*35+60,0.2)</f>
        <v>66.400000000000006</v>
      </c>
      <c r="E61" s="8">
        <f ca="1">CEILING(B61*35+155,0.2)</f>
        <v>176.20000000000002</v>
      </c>
      <c r="F61" s="9"/>
    </row>
    <row r="62" spans="1:6">
      <c r="A62" s="8">
        <f ca="1">RAND()</f>
        <v>0.23289551934793395</v>
      </c>
      <c r="B62" s="8">
        <f ca="1">RAND()</f>
        <v>0.35193772292479542</v>
      </c>
      <c r="C62" s="8">
        <v>61</v>
      </c>
      <c r="D62" s="8">
        <f ca="1">CEILING(A62*35+60,0.2)</f>
        <v>68.2</v>
      </c>
      <c r="E62" s="8">
        <f ca="1">CEILING(B62*35+155,0.2)</f>
        <v>167.4</v>
      </c>
      <c r="F62" s="9"/>
    </row>
    <row r="63" spans="1:6">
      <c r="A63" s="8">
        <f ca="1">RAND()</f>
        <v>0.84620082135175134</v>
      </c>
      <c r="B63" s="8">
        <f ca="1">RAND()</f>
        <v>0.66272716344517568</v>
      </c>
      <c r="C63" s="8">
        <v>62</v>
      </c>
      <c r="D63" s="8">
        <f ca="1">CEILING(A63*35+60,0.2)</f>
        <v>89.800000000000011</v>
      </c>
      <c r="E63" s="8">
        <f ca="1">CEILING(B63*35+155,0.2)</f>
        <v>178.20000000000002</v>
      </c>
      <c r="F63" s="9"/>
    </row>
    <row r="64" spans="1:6">
      <c r="A64" s="8">
        <f ca="1">RAND()</f>
        <v>0.51272510463989096</v>
      </c>
      <c r="B64" s="8">
        <f ca="1">RAND()</f>
        <v>0.40091921676636266</v>
      </c>
      <c r="C64" s="8">
        <v>63</v>
      </c>
      <c r="D64" s="8">
        <f ca="1">CEILING(A64*35+60,0.2)</f>
        <v>78</v>
      </c>
      <c r="E64" s="8">
        <f ca="1">CEILING(B64*35+155,0.2)</f>
        <v>169.20000000000002</v>
      </c>
      <c r="F64" s="9"/>
    </row>
    <row r="65" spans="1:6">
      <c r="A65" s="8">
        <f ca="1">RAND()</f>
        <v>0.30216253646691382</v>
      </c>
      <c r="B65" s="8">
        <f ca="1">RAND()</f>
        <v>0.39171682941358821</v>
      </c>
      <c r="C65" s="8">
        <v>64</v>
      </c>
      <c r="D65" s="8">
        <f ca="1">CEILING(A65*35+60,0.2)</f>
        <v>70.600000000000009</v>
      </c>
      <c r="E65" s="8">
        <f ca="1">CEILING(B65*35+155,0.2)</f>
        <v>168.8</v>
      </c>
      <c r="F65" s="9"/>
    </row>
    <row r="66" spans="1:6">
      <c r="A66" s="8">
        <f ca="1">RAND()</f>
        <v>1.865148547454587E-2</v>
      </c>
      <c r="B66" s="8">
        <f ca="1">RAND()</f>
        <v>0.97718912670940505</v>
      </c>
      <c r="C66" s="8">
        <v>65</v>
      </c>
      <c r="D66" s="8">
        <f ca="1">CEILING(A66*35+60,0.2)</f>
        <v>60.800000000000004</v>
      </c>
      <c r="E66" s="8">
        <f ca="1">CEILING(B66*35+155,0.2)</f>
        <v>189.4</v>
      </c>
      <c r="F66" s="9"/>
    </row>
    <row r="67" spans="1:6">
      <c r="A67" s="8">
        <f ca="1">RAND()</f>
        <v>0.57705075280151119</v>
      </c>
      <c r="B67" s="8">
        <f ca="1">RAND()</f>
        <v>0.82168202580575822</v>
      </c>
      <c r="C67" s="8">
        <v>66</v>
      </c>
      <c r="D67" s="8">
        <f ca="1">CEILING(A67*35+60,0.2)</f>
        <v>80.2</v>
      </c>
      <c r="E67" s="8">
        <f ca="1">CEILING(B67*35+155,0.2)</f>
        <v>183.8</v>
      </c>
      <c r="F67" s="9"/>
    </row>
    <row r="68" spans="1:6">
      <c r="A68" s="8">
        <f ca="1">RAND()</f>
        <v>0.54763311252511504</v>
      </c>
      <c r="B68" s="8">
        <f ca="1">RAND()</f>
        <v>0.58803197618334824</v>
      </c>
      <c r="C68" s="8">
        <v>67</v>
      </c>
      <c r="D68" s="8">
        <f ca="1">CEILING(A68*35+60,0.2)</f>
        <v>79.2</v>
      </c>
      <c r="E68" s="8">
        <f ca="1">CEILING(B68*35+155,0.2)</f>
        <v>175.60000000000002</v>
      </c>
      <c r="F68" s="9"/>
    </row>
    <row r="69" spans="1:6">
      <c r="A69" s="8">
        <f ca="1">RAND()</f>
        <v>0.96418145685182355</v>
      </c>
      <c r="B69" s="8">
        <f ca="1">RAND()</f>
        <v>0.18170293865121856</v>
      </c>
      <c r="C69" s="8">
        <v>68</v>
      </c>
      <c r="D69" s="8">
        <f ca="1">CEILING(A69*35+60,0.2)</f>
        <v>93.800000000000011</v>
      </c>
      <c r="E69" s="8">
        <f ca="1">CEILING(B69*35+155,0.2)</f>
        <v>161.4</v>
      </c>
      <c r="F69" s="9"/>
    </row>
    <row r="70" spans="1:6">
      <c r="A70" s="8">
        <f ca="1">RAND()</f>
        <v>0.44370510624322257</v>
      </c>
      <c r="B70" s="8">
        <f ca="1">RAND()</f>
        <v>0.16264018831627647</v>
      </c>
      <c r="C70" s="8">
        <v>69</v>
      </c>
      <c r="D70" s="8">
        <f ca="1">CEILING(A70*35+60,0.2)</f>
        <v>75.600000000000009</v>
      </c>
      <c r="E70" s="8">
        <f ca="1">CEILING(B70*35+155,0.2)</f>
        <v>160.80000000000001</v>
      </c>
      <c r="F70" s="9"/>
    </row>
    <row r="71" spans="1:6">
      <c r="A71" s="8">
        <f ca="1">RAND()</f>
        <v>5.9289106883889775E-2</v>
      </c>
      <c r="B71" s="8">
        <f ca="1">RAND()</f>
        <v>0.64700775879590877</v>
      </c>
      <c r="C71" s="8">
        <v>70</v>
      </c>
      <c r="D71" s="8">
        <f ca="1">CEILING(A71*35+60,0.2)</f>
        <v>62.2</v>
      </c>
      <c r="E71" s="8">
        <f ca="1">CEILING(B71*35+155,0.2)</f>
        <v>177.8</v>
      </c>
      <c r="F71" s="9"/>
    </row>
    <row r="72" spans="1:6">
      <c r="A72" s="8">
        <f ca="1">RAND()</f>
        <v>0.82715762116777081</v>
      </c>
      <c r="B72" s="8">
        <f ca="1">RAND()</f>
        <v>0.62459242059592657</v>
      </c>
      <c r="C72" s="8">
        <v>71</v>
      </c>
      <c r="D72" s="8">
        <f ca="1">CEILING(A72*35+60,0.2)</f>
        <v>89</v>
      </c>
      <c r="E72" s="8">
        <f ca="1">CEILING(B72*35+155,0.2)</f>
        <v>177</v>
      </c>
      <c r="F72" s="9"/>
    </row>
    <row r="73" spans="1:6">
      <c r="A73" s="8">
        <f ca="1">RAND()</f>
        <v>0.68412762055359244</v>
      </c>
      <c r="B73" s="8">
        <f ca="1">RAND()</f>
        <v>0.38612720991674487</v>
      </c>
      <c r="C73" s="8">
        <v>72</v>
      </c>
      <c r="D73" s="8">
        <f ca="1">CEILING(A73*35+60,0.2)</f>
        <v>84</v>
      </c>
      <c r="E73" s="8">
        <f ca="1">CEILING(B73*35+155,0.2)</f>
        <v>168.60000000000002</v>
      </c>
      <c r="F73" s="9"/>
    </row>
    <row r="74" spans="1:6">
      <c r="A74" s="8">
        <f ca="1">RAND()</f>
        <v>0.74321957805513694</v>
      </c>
      <c r="B74" s="8">
        <f ca="1">RAND()</f>
        <v>0.26567257772845165</v>
      </c>
      <c r="C74" s="8">
        <v>73</v>
      </c>
      <c r="D74" s="8">
        <f ca="1">CEILING(A74*35+60,0.2)</f>
        <v>86.2</v>
      </c>
      <c r="E74" s="8">
        <f ca="1">CEILING(B74*35+155,0.2)</f>
        <v>164.4</v>
      </c>
      <c r="F74" s="9"/>
    </row>
    <row r="75" spans="1:6">
      <c r="A75" s="8">
        <f ca="1">RAND()</f>
        <v>0.3397921554337916</v>
      </c>
      <c r="B75" s="8">
        <f ca="1">RAND()</f>
        <v>0.99747587176004215</v>
      </c>
      <c r="C75" s="8">
        <v>74</v>
      </c>
      <c r="D75" s="8">
        <f ca="1">CEILING(A75*35+60,0.2)</f>
        <v>72</v>
      </c>
      <c r="E75" s="8">
        <f ca="1">CEILING(B75*35+155,0.2)</f>
        <v>190</v>
      </c>
      <c r="F75" s="9"/>
    </row>
    <row r="76" spans="1:6">
      <c r="A76" s="8">
        <f ca="1">RAND()</f>
        <v>0.11514860387721815</v>
      </c>
      <c r="B76" s="8">
        <f ca="1">RAND()</f>
        <v>0.5032158833671887</v>
      </c>
      <c r="C76" s="8">
        <v>75</v>
      </c>
      <c r="D76" s="8">
        <f ca="1">CEILING(A76*35+60,0.2)</f>
        <v>64.2</v>
      </c>
      <c r="E76" s="8">
        <f ca="1">CEILING(B76*35+155,0.2)</f>
        <v>172.8</v>
      </c>
      <c r="F76" s="9"/>
    </row>
    <row r="77" spans="1:6">
      <c r="A77" s="8">
        <f ca="1">RAND()</f>
        <v>0.1974976927063018</v>
      </c>
      <c r="B77" s="8">
        <f ca="1">RAND()</f>
        <v>0.11771923444361143</v>
      </c>
      <c r="C77" s="8">
        <v>76</v>
      </c>
      <c r="D77" s="8">
        <f ca="1">CEILING(A77*35+60,0.2)</f>
        <v>67</v>
      </c>
      <c r="E77" s="8">
        <f ca="1">CEILING(B77*35+155,0.2)</f>
        <v>159.20000000000002</v>
      </c>
      <c r="F77" s="9"/>
    </row>
    <row r="78" spans="1:6">
      <c r="A78" s="8">
        <f ca="1">RAND()</f>
        <v>0.89986138338170307</v>
      </c>
      <c r="B78" s="8">
        <f ca="1">RAND()</f>
        <v>0.86466081584340349</v>
      </c>
      <c r="C78" s="8">
        <v>77</v>
      </c>
      <c r="D78" s="8">
        <f ca="1">CEILING(A78*35+60,0.2)</f>
        <v>91.600000000000009</v>
      </c>
      <c r="E78" s="8">
        <f ca="1">CEILING(B78*35+155,0.2)</f>
        <v>185.4</v>
      </c>
      <c r="F78" s="9"/>
    </row>
    <row r="79" spans="1:6">
      <c r="A79" s="8">
        <f ca="1">RAND()</f>
        <v>0.33544468796745797</v>
      </c>
      <c r="B79" s="8">
        <f ca="1">RAND()</f>
        <v>0.76025255599803165</v>
      </c>
      <c r="C79" s="8">
        <v>78</v>
      </c>
      <c r="D79" s="8">
        <f ca="1">CEILING(A79*35+60,0.2)</f>
        <v>71.8</v>
      </c>
      <c r="E79" s="8">
        <f ca="1">CEILING(B79*35+155,0.2)</f>
        <v>181.8</v>
      </c>
      <c r="F79" s="9"/>
    </row>
    <row r="80" spans="1:6">
      <c r="A80" s="8">
        <f ca="1">RAND()</f>
        <v>0.32168326792686397</v>
      </c>
      <c r="B80" s="8">
        <f ca="1">RAND()</f>
        <v>0.76665598076639563</v>
      </c>
      <c r="C80" s="8">
        <v>79</v>
      </c>
      <c r="D80" s="8">
        <f ca="1">CEILING(A80*35+60,0.2)</f>
        <v>71.400000000000006</v>
      </c>
      <c r="E80" s="8">
        <f ca="1">CEILING(B80*35+155,0.2)</f>
        <v>182</v>
      </c>
      <c r="F80" s="9"/>
    </row>
    <row r="81" spans="1:6">
      <c r="A81" s="8">
        <f ca="1">RAND()</f>
        <v>0.98374401656902721</v>
      </c>
      <c r="B81" s="8">
        <f ca="1">RAND()</f>
        <v>0.75254507777850255</v>
      </c>
      <c r="C81" s="8">
        <v>80</v>
      </c>
      <c r="D81" s="8">
        <f ca="1">CEILING(A81*35+60,0.2)</f>
        <v>94.600000000000009</v>
      </c>
      <c r="E81" s="8">
        <f ca="1">CEILING(B81*35+155,0.2)</f>
        <v>181.4</v>
      </c>
      <c r="F81" s="9"/>
    </row>
    <row r="82" spans="1:6">
      <c r="A82" s="8">
        <f ca="1">RAND()</f>
        <v>0.18264792278346698</v>
      </c>
      <c r="B82" s="8">
        <f ca="1">RAND()</f>
        <v>0.27622732566363772</v>
      </c>
      <c r="C82" s="8">
        <v>81</v>
      </c>
      <c r="D82" s="8">
        <f ca="1">CEILING(A82*35+60,0.2)</f>
        <v>66.400000000000006</v>
      </c>
      <c r="E82" s="8">
        <f ca="1">CEILING(B82*35+155,0.2)</f>
        <v>164.8</v>
      </c>
      <c r="F82" s="9"/>
    </row>
    <row r="83" spans="1:6">
      <c r="A83" s="8">
        <f ca="1">RAND()</f>
        <v>0.38793989386999794</v>
      </c>
      <c r="B83" s="8">
        <f ca="1">RAND()</f>
        <v>0.75436238942861367</v>
      </c>
      <c r="C83" s="8">
        <v>82</v>
      </c>
      <c r="D83" s="8">
        <f ca="1">CEILING(A83*35+60,0.2)</f>
        <v>73.600000000000009</v>
      </c>
      <c r="E83" s="8">
        <f ca="1">CEILING(B83*35+155,0.2)</f>
        <v>181.60000000000002</v>
      </c>
      <c r="F83" s="9"/>
    </row>
    <row r="84" spans="1:6">
      <c r="A84" s="8">
        <f ca="1">RAND()</f>
        <v>5.6197994080354419E-2</v>
      </c>
      <c r="B84" s="8">
        <f ca="1">RAND()</f>
        <v>0.34707573775505918</v>
      </c>
      <c r="C84" s="8">
        <v>83</v>
      </c>
      <c r="D84" s="8">
        <f ca="1">CEILING(A84*35+60,0.2)</f>
        <v>62</v>
      </c>
      <c r="E84" s="8">
        <f ca="1">CEILING(B84*35+155,0.2)</f>
        <v>167.20000000000002</v>
      </c>
      <c r="F84" s="9"/>
    </row>
    <row r="85" spans="1:6">
      <c r="A85" s="8">
        <f ca="1">RAND()</f>
        <v>0.57953655097971046</v>
      </c>
      <c r="B85" s="8">
        <f ca="1">RAND()</f>
        <v>0.44139657853007153</v>
      </c>
      <c r="C85" s="8">
        <v>84</v>
      </c>
      <c r="D85" s="8">
        <f ca="1">CEILING(A85*35+60,0.2)</f>
        <v>80.400000000000006</v>
      </c>
      <c r="E85" s="8">
        <f ca="1">CEILING(B85*35+155,0.2)</f>
        <v>170.60000000000002</v>
      </c>
      <c r="F85" s="9"/>
    </row>
    <row r="86" spans="1:6">
      <c r="A86" s="8">
        <f ca="1">RAND()</f>
        <v>0.58369276677216908</v>
      </c>
      <c r="B86" s="8">
        <f ca="1">RAND()</f>
        <v>0.79726215862961725</v>
      </c>
      <c r="C86" s="8">
        <v>85</v>
      </c>
      <c r="D86" s="8">
        <f ca="1">CEILING(A86*35+60,0.2)</f>
        <v>80.600000000000009</v>
      </c>
      <c r="E86" s="8">
        <f ca="1">CEILING(B86*35+155,0.2)</f>
        <v>183</v>
      </c>
      <c r="F86" s="9"/>
    </row>
    <row r="87" spans="1:6">
      <c r="A87" s="8">
        <f ca="1">RAND()</f>
        <v>0.60813908208935064</v>
      </c>
      <c r="B87" s="8">
        <f ca="1">RAND()</f>
        <v>0.69008225481614294</v>
      </c>
      <c r="C87" s="8">
        <v>86</v>
      </c>
      <c r="D87" s="8">
        <f ca="1">CEILING(A87*35+60,0.2)</f>
        <v>81.400000000000006</v>
      </c>
      <c r="E87" s="8">
        <f ca="1">CEILING(B87*35+155,0.2)</f>
        <v>179.20000000000002</v>
      </c>
      <c r="F87" s="9"/>
    </row>
    <row r="88" spans="1:6">
      <c r="A88" s="8">
        <f ca="1">RAND()</f>
        <v>0.66508679613790422</v>
      </c>
      <c r="B88" s="8">
        <f ca="1">RAND()</f>
        <v>0.83725886091862889</v>
      </c>
      <c r="C88" s="8">
        <v>87</v>
      </c>
      <c r="D88" s="8">
        <f ca="1">CEILING(A88*35+60,0.2)</f>
        <v>83.4</v>
      </c>
      <c r="E88" s="8">
        <f ca="1">CEILING(B88*35+155,0.2)</f>
        <v>184.4</v>
      </c>
      <c r="F88" s="9"/>
    </row>
    <row r="89" spans="1:6">
      <c r="A89" s="8">
        <f ca="1">RAND()</f>
        <v>0.88303015355159098</v>
      </c>
      <c r="B89" s="8">
        <f ca="1">RAND()</f>
        <v>5.9305661209295146E-2</v>
      </c>
      <c r="C89" s="8">
        <v>88</v>
      </c>
      <c r="D89" s="8">
        <f ca="1">CEILING(A89*35+60,0.2)</f>
        <v>91</v>
      </c>
      <c r="E89" s="8">
        <f ca="1">CEILING(B89*35+155,0.2)</f>
        <v>157.20000000000002</v>
      </c>
      <c r="F89" s="9"/>
    </row>
    <row r="90" spans="1:6">
      <c r="A90" s="8">
        <f ca="1">RAND()</f>
        <v>0.97396432404475042</v>
      </c>
      <c r="B90" s="8">
        <f ca="1">RAND()</f>
        <v>0.2145495719030629</v>
      </c>
      <c r="C90" s="8">
        <v>89</v>
      </c>
      <c r="D90" s="8">
        <f ca="1">CEILING(A90*35+60,0.2)</f>
        <v>94.2</v>
      </c>
      <c r="E90" s="8">
        <f ca="1">CEILING(B90*35+155,0.2)</f>
        <v>162.60000000000002</v>
      </c>
      <c r="F90" s="9"/>
    </row>
    <row r="91" spans="1:6">
      <c r="A91" s="8">
        <f ca="1">RAND()</f>
        <v>9.2574013335946059E-2</v>
      </c>
      <c r="B91" s="8">
        <f ca="1">RAND()</f>
        <v>0.77764208954578562</v>
      </c>
      <c r="C91" s="8">
        <v>90</v>
      </c>
      <c r="D91" s="8">
        <f ca="1">CEILING(A91*35+60,0.2)</f>
        <v>63.400000000000006</v>
      </c>
      <c r="E91" s="8">
        <f ca="1">CEILING(B91*35+155,0.2)</f>
        <v>182.4</v>
      </c>
      <c r="F91" s="9"/>
    </row>
    <row r="92" spans="1:6">
      <c r="A92" s="8">
        <f ca="1">RAND()</f>
        <v>0.634374664045392</v>
      </c>
      <c r="B92" s="8">
        <f ca="1">RAND()</f>
        <v>0.30863320896465307</v>
      </c>
      <c r="C92" s="8">
        <v>91</v>
      </c>
      <c r="D92" s="8">
        <f ca="1">CEILING(A92*35+60,0.2)</f>
        <v>82.4</v>
      </c>
      <c r="E92" s="8">
        <f ca="1">CEILING(B92*35+155,0.2)</f>
        <v>166</v>
      </c>
      <c r="F92" s="9"/>
    </row>
    <row r="93" spans="1:6">
      <c r="A93" s="8">
        <f ca="1">RAND()</f>
        <v>0.48317053073733718</v>
      </c>
      <c r="B93" s="8">
        <f ca="1">RAND()</f>
        <v>0.7171088933039409</v>
      </c>
      <c r="C93" s="8">
        <v>92</v>
      </c>
      <c r="D93" s="8">
        <f ca="1">CEILING(A93*35+60,0.2)</f>
        <v>77</v>
      </c>
      <c r="E93" s="8">
        <f ca="1">CEILING(B93*35+155,0.2)</f>
        <v>180.20000000000002</v>
      </c>
      <c r="F93" s="9"/>
    </row>
    <row r="94" spans="1:6">
      <c r="A94" s="8">
        <f ca="1">RAND()</f>
        <v>0.14972254847296873</v>
      </c>
      <c r="B94" s="8">
        <f ca="1">RAND()</f>
        <v>0.60542186362389461</v>
      </c>
      <c r="C94" s="8">
        <v>93</v>
      </c>
      <c r="D94" s="8">
        <f ca="1">CEILING(A94*35+60,0.2)</f>
        <v>65.400000000000006</v>
      </c>
      <c r="E94" s="8">
        <f ca="1">CEILING(B94*35+155,0.2)</f>
        <v>176.20000000000002</v>
      </c>
      <c r="F94" s="9"/>
    </row>
    <row r="95" spans="1:6">
      <c r="A95" s="8">
        <f ca="1">RAND()</f>
        <v>0.54436703377894902</v>
      </c>
      <c r="B95" s="8">
        <f ca="1">RAND()</f>
        <v>0.98893641032288737</v>
      </c>
      <c r="C95" s="8">
        <v>94</v>
      </c>
      <c r="D95" s="8">
        <f ca="1">CEILING(A95*35+60,0.2)</f>
        <v>79.2</v>
      </c>
      <c r="E95" s="8">
        <f ca="1">CEILING(B95*35+155,0.2)</f>
        <v>189.8</v>
      </c>
      <c r="F95" s="9"/>
    </row>
    <row r="96" spans="1:6">
      <c r="A96" s="8">
        <f ca="1">RAND()</f>
        <v>5.4873990446956511E-2</v>
      </c>
      <c r="B96" s="8">
        <f ca="1">RAND()</f>
        <v>0.54805341366444482</v>
      </c>
      <c r="C96" s="8">
        <v>95</v>
      </c>
      <c r="D96" s="8">
        <f ca="1">CEILING(A96*35+60,0.2)</f>
        <v>62</v>
      </c>
      <c r="E96" s="8">
        <f ca="1">CEILING(B96*35+155,0.2)</f>
        <v>174.20000000000002</v>
      </c>
      <c r="F96" s="9"/>
    </row>
    <row r="97" spans="1:6">
      <c r="A97" s="8">
        <f ca="1">RAND()</f>
        <v>0.54956169945720512</v>
      </c>
      <c r="B97" s="8">
        <f ca="1">RAND()</f>
        <v>9.3996418778359847E-2</v>
      </c>
      <c r="C97" s="8">
        <v>96</v>
      </c>
      <c r="D97" s="8">
        <f ca="1">CEILING(A97*35+60,0.2)</f>
        <v>79.400000000000006</v>
      </c>
      <c r="E97" s="8">
        <f ca="1">CEILING(B97*35+155,0.2)</f>
        <v>158.4</v>
      </c>
      <c r="F97" s="9"/>
    </row>
    <row r="98" spans="1:6">
      <c r="A98" s="8">
        <f ca="1">RAND()</f>
        <v>0.42453825175457294</v>
      </c>
      <c r="B98" s="8">
        <f ca="1">RAND()</f>
        <v>0.24958191210268243</v>
      </c>
      <c r="C98" s="8">
        <v>97</v>
      </c>
      <c r="D98" s="8">
        <f ca="1">CEILING(A98*35+60,0.2)</f>
        <v>75</v>
      </c>
      <c r="E98" s="8">
        <f ca="1">CEILING(B98*35+155,0.2)</f>
        <v>163.80000000000001</v>
      </c>
      <c r="F98" s="9"/>
    </row>
    <row r="99" spans="1:6">
      <c r="A99" s="8">
        <f ca="1">RAND()</f>
        <v>0.63919424642695732</v>
      </c>
      <c r="B99" s="8">
        <f ca="1">RAND()</f>
        <v>0.62005617131028068</v>
      </c>
      <c r="C99" s="8">
        <v>98</v>
      </c>
      <c r="D99" s="8">
        <f ca="1">CEILING(A99*35+60,0.2)</f>
        <v>82.4</v>
      </c>
      <c r="E99" s="8">
        <f ca="1">CEILING(B99*35+155,0.2)</f>
        <v>176.8</v>
      </c>
      <c r="F99" s="9"/>
    </row>
    <row r="100" spans="1:6">
      <c r="A100" s="8">
        <f ca="1">RAND()</f>
        <v>8.9584903660900772E-2</v>
      </c>
      <c r="B100" s="8">
        <f ca="1">RAND()</f>
        <v>0.60444415031819287</v>
      </c>
      <c r="C100" s="8">
        <v>99</v>
      </c>
      <c r="D100" s="8">
        <f ca="1">CEILING(A100*35+60,0.2)</f>
        <v>63.2</v>
      </c>
      <c r="E100" s="8">
        <f ca="1">CEILING(B100*35+155,0.2)</f>
        <v>176.20000000000002</v>
      </c>
      <c r="F100" s="9"/>
    </row>
    <row r="101" spans="1:6">
      <c r="A101" s="8">
        <f ca="1">RAND()</f>
        <v>0.91490215001297692</v>
      </c>
      <c r="B101" s="8">
        <f ca="1">RAND()</f>
        <v>0.99057101408448434</v>
      </c>
      <c r="C101" s="8">
        <v>100</v>
      </c>
      <c r="D101" s="8">
        <f ca="1">CEILING(A101*35+60,0.2)</f>
        <v>92.2</v>
      </c>
      <c r="E101" s="8">
        <f ca="1">CEILING(B101*35+155,0.2)</f>
        <v>189.8</v>
      </c>
      <c r="F101" s="9"/>
    </row>
    <row r="102" spans="1:6">
      <c r="A102" s="8">
        <f ca="1">RAND()</f>
        <v>0.35410987207906497</v>
      </c>
      <c r="B102" s="8">
        <f ca="1">RAND()</f>
        <v>0.10437954128508564</v>
      </c>
      <c r="C102" s="8">
        <v>101</v>
      </c>
      <c r="D102" s="8">
        <f ca="1">CEILING(A102*35+60,0.2)</f>
        <v>72.400000000000006</v>
      </c>
      <c r="E102" s="8">
        <f ca="1">CEILING(B102*35+155,0.2)</f>
        <v>158.80000000000001</v>
      </c>
      <c r="F102" s="9"/>
    </row>
    <row r="103" spans="1:6">
      <c r="A103" s="8">
        <f ca="1">RAND()</f>
        <v>0.40406804946532582</v>
      </c>
      <c r="B103" s="8">
        <f ca="1">RAND()</f>
        <v>0.70809217128714863</v>
      </c>
      <c r="C103" s="8">
        <v>102</v>
      </c>
      <c r="D103" s="8">
        <f ca="1">CEILING(A103*35+60,0.2)</f>
        <v>74.2</v>
      </c>
      <c r="E103" s="8">
        <f ca="1">CEILING(B103*35+155,0.2)</f>
        <v>179.8</v>
      </c>
      <c r="F103" s="9"/>
    </row>
    <row r="104" spans="1:6">
      <c r="A104" s="8">
        <f ca="1">RAND()</f>
        <v>0.64130003295195204</v>
      </c>
      <c r="B104" s="8">
        <f ca="1">RAND()</f>
        <v>0.24182433442138851</v>
      </c>
      <c r="C104" s="8">
        <v>103</v>
      </c>
      <c r="D104" s="8">
        <f ca="1">CEILING(A104*35+60,0.2)</f>
        <v>82.600000000000009</v>
      </c>
      <c r="E104" s="8">
        <f ca="1">CEILING(B104*35+155,0.2)</f>
        <v>163.60000000000002</v>
      </c>
      <c r="F104" s="9"/>
    </row>
    <row r="105" spans="1:6">
      <c r="A105" s="8">
        <f ca="1">RAND()</f>
        <v>0.14868772192628343</v>
      </c>
      <c r="B105" s="8">
        <f ca="1">RAND()</f>
        <v>0.39278653622153281</v>
      </c>
      <c r="C105" s="8">
        <v>104</v>
      </c>
      <c r="D105" s="8">
        <f ca="1">CEILING(A105*35+60,0.2)</f>
        <v>65.400000000000006</v>
      </c>
      <c r="E105" s="8">
        <f ca="1">CEILING(B105*35+155,0.2)</f>
        <v>168.8</v>
      </c>
      <c r="F105" s="9"/>
    </row>
    <row r="106" spans="1:6">
      <c r="A106" s="8">
        <f ca="1">RAND()</f>
        <v>0.91615708751542368</v>
      </c>
      <c r="B106" s="8">
        <f ca="1">RAND()</f>
        <v>0.92440905941268436</v>
      </c>
      <c r="C106" s="8">
        <v>105</v>
      </c>
      <c r="D106" s="8">
        <f ca="1">CEILING(A106*35+60,0.2)</f>
        <v>92.2</v>
      </c>
      <c r="E106" s="8">
        <f ca="1">CEILING(B106*35+155,0.2)</f>
        <v>187.4</v>
      </c>
      <c r="F106" s="9"/>
    </row>
    <row r="107" spans="1:6">
      <c r="A107" s="8">
        <f ca="1">RAND()</f>
        <v>0.21070803357836043</v>
      </c>
      <c r="B107" s="8">
        <f ca="1">RAND()</f>
        <v>0.73135217342090098</v>
      </c>
      <c r="C107" s="8">
        <v>106</v>
      </c>
      <c r="D107" s="8">
        <f ca="1">CEILING(A107*35+60,0.2)</f>
        <v>67.400000000000006</v>
      </c>
      <c r="E107" s="8">
        <f ca="1">CEILING(B107*35+155,0.2)</f>
        <v>180.60000000000002</v>
      </c>
      <c r="F107" s="9"/>
    </row>
    <row r="108" spans="1:6">
      <c r="A108" s="8">
        <f ca="1">RAND()</f>
        <v>0.13845219640154705</v>
      </c>
      <c r="B108" s="8">
        <f ca="1">RAND()</f>
        <v>0.23811563252208146</v>
      </c>
      <c r="C108" s="8">
        <v>107</v>
      </c>
      <c r="D108" s="8">
        <f ca="1">CEILING(A108*35+60,0.2)</f>
        <v>65</v>
      </c>
      <c r="E108" s="8">
        <f ca="1">CEILING(B108*35+155,0.2)</f>
        <v>163.4</v>
      </c>
      <c r="F108" s="9"/>
    </row>
    <row r="109" spans="1:6">
      <c r="A109" s="8">
        <f ca="1">RAND()</f>
        <v>0.3548995134397176</v>
      </c>
      <c r="B109" s="8">
        <f ca="1">RAND()</f>
        <v>0.65148179277397467</v>
      </c>
      <c r="C109" s="8">
        <v>108</v>
      </c>
      <c r="D109" s="8">
        <f ca="1">CEILING(A109*35+60,0.2)</f>
        <v>72.600000000000009</v>
      </c>
      <c r="E109" s="8">
        <f ca="1">CEILING(B109*35+155,0.2)</f>
        <v>178</v>
      </c>
      <c r="F109" s="9"/>
    </row>
    <row r="110" spans="1:6">
      <c r="A110" s="8">
        <f ca="1">RAND()</f>
        <v>0.30957975173104624</v>
      </c>
      <c r="B110" s="8">
        <f ca="1">RAND()</f>
        <v>4.5555440704788785E-2</v>
      </c>
      <c r="C110" s="8">
        <v>109</v>
      </c>
      <c r="D110" s="8">
        <f ca="1">CEILING(A110*35+60,0.2)</f>
        <v>71</v>
      </c>
      <c r="E110" s="8">
        <f ca="1">CEILING(B110*35+155,0.2)</f>
        <v>156.60000000000002</v>
      </c>
      <c r="F110" s="9"/>
    </row>
    <row r="111" spans="1:6">
      <c r="A111" s="8">
        <f ca="1">RAND()</f>
        <v>0.65538767500814765</v>
      </c>
      <c r="B111" s="8">
        <f ca="1">RAND()</f>
        <v>3.3326452946738083E-2</v>
      </c>
      <c r="C111" s="8">
        <v>110</v>
      </c>
      <c r="D111" s="8">
        <f ca="1">CEILING(A111*35+60,0.2)</f>
        <v>83</v>
      </c>
      <c r="E111" s="8">
        <f ca="1">CEILING(B111*35+155,0.2)</f>
        <v>156.20000000000002</v>
      </c>
      <c r="F111" s="9"/>
    </row>
    <row r="112" spans="1:6">
      <c r="A112" s="8">
        <f ca="1">RAND()</f>
        <v>0.10913409135193486</v>
      </c>
      <c r="B112" s="8">
        <f ca="1">RAND()</f>
        <v>0.93923390577316113</v>
      </c>
      <c r="C112" s="8">
        <v>111</v>
      </c>
      <c r="D112" s="8">
        <f ca="1">CEILING(A112*35+60,0.2)</f>
        <v>64</v>
      </c>
      <c r="E112" s="8">
        <f ca="1">CEILING(B112*35+155,0.2)</f>
        <v>188</v>
      </c>
      <c r="F112" s="9"/>
    </row>
    <row r="113" spans="1:6">
      <c r="A113" s="8">
        <f ca="1">RAND()</f>
        <v>0.75386947184277209</v>
      </c>
      <c r="B113" s="8">
        <f ca="1">RAND()</f>
        <v>0.54784924907149757</v>
      </c>
      <c r="C113" s="8">
        <v>112</v>
      </c>
      <c r="D113" s="8">
        <f ca="1">CEILING(A113*35+60,0.2)</f>
        <v>86.4</v>
      </c>
      <c r="E113" s="8">
        <f ca="1">CEILING(B113*35+155,0.2)</f>
        <v>174.20000000000002</v>
      </c>
      <c r="F113" s="9"/>
    </row>
    <row r="114" spans="1:6">
      <c r="A114" s="8">
        <f ca="1">RAND()</f>
        <v>0.86379674070823176</v>
      </c>
      <c r="B114" s="8">
        <f ca="1">RAND()</f>
        <v>0.15477481209511612</v>
      </c>
      <c r="C114" s="8">
        <v>113</v>
      </c>
      <c r="D114" s="8">
        <f ca="1">CEILING(A114*35+60,0.2)</f>
        <v>90.4</v>
      </c>
      <c r="E114" s="8">
        <f ca="1">CEILING(B114*35+155,0.2)</f>
        <v>160.60000000000002</v>
      </c>
      <c r="F114" s="9"/>
    </row>
    <row r="115" spans="1:6">
      <c r="A115" s="8">
        <f ca="1">RAND()</f>
        <v>0.94493813699053442</v>
      </c>
      <c r="B115" s="8">
        <f ca="1">RAND()</f>
        <v>0.92344984973979594</v>
      </c>
      <c r="C115" s="8">
        <v>114</v>
      </c>
      <c r="D115" s="8">
        <f ca="1">CEILING(A115*35+60,0.2)</f>
        <v>93.2</v>
      </c>
      <c r="E115" s="8">
        <f ca="1">CEILING(B115*35+155,0.2)</f>
        <v>187.4</v>
      </c>
      <c r="F115" s="9"/>
    </row>
    <row r="116" spans="1:6">
      <c r="A116" s="8">
        <f ca="1">RAND()</f>
        <v>0.46322396493617968</v>
      </c>
      <c r="B116" s="8">
        <f ca="1">RAND()</f>
        <v>0.40122764601623939</v>
      </c>
      <c r="C116" s="8">
        <v>115</v>
      </c>
      <c r="D116" s="8">
        <f ca="1">CEILING(A116*35+60,0.2)</f>
        <v>76.400000000000006</v>
      </c>
      <c r="E116" s="8">
        <f ca="1">CEILING(B116*35+155,0.2)</f>
        <v>169.20000000000002</v>
      </c>
      <c r="F116" s="9"/>
    </row>
    <row r="117" spans="1:6">
      <c r="A117" s="8">
        <f ca="1">RAND()</f>
        <v>0.36869279838544766</v>
      </c>
      <c r="B117" s="8">
        <f ca="1">RAND()</f>
        <v>0.26096948054754066</v>
      </c>
      <c r="C117" s="8">
        <v>116</v>
      </c>
      <c r="D117" s="8">
        <f ca="1">CEILING(A117*35+60,0.2)</f>
        <v>73</v>
      </c>
      <c r="E117" s="8">
        <f ca="1">CEILING(B117*35+155,0.2)</f>
        <v>164.20000000000002</v>
      </c>
      <c r="F117" s="9"/>
    </row>
    <row r="118" spans="1:6">
      <c r="A118" s="8">
        <f ca="1">RAND()</f>
        <v>0.65400429723451203</v>
      </c>
      <c r="B118" s="8">
        <f ca="1">RAND()</f>
        <v>0.37291987971516671</v>
      </c>
      <c r="C118" s="8">
        <v>117</v>
      </c>
      <c r="D118" s="8">
        <f ca="1">CEILING(A118*35+60,0.2)</f>
        <v>83</v>
      </c>
      <c r="E118" s="8">
        <f ca="1">CEILING(B118*35+155,0.2)</f>
        <v>168.20000000000002</v>
      </c>
      <c r="F118" s="9"/>
    </row>
    <row r="119" spans="1:6">
      <c r="A119" s="8">
        <f ca="1">RAND()</f>
        <v>0.14955328656222211</v>
      </c>
      <c r="B119" s="8">
        <f ca="1">RAND()</f>
        <v>0.45687256778571861</v>
      </c>
      <c r="C119" s="8">
        <v>118</v>
      </c>
      <c r="D119" s="8">
        <f ca="1">CEILING(A119*35+60,0.2)</f>
        <v>65.400000000000006</v>
      </c>
      <c r="E119" s="8">
        <f ca="1">CEILING(B119*35+155,0.2)</f>
        <v>171</v>
      </c>
      <c r="F119" s="9"/>
    </row>
    <row r="120" spans="1:6">
      <c r="A120" s="8">
        <f ca="1">RAND()</f>
        <v>0.21809679954983996</v>
      </c>
      <c r="B120" s="8">
        <f ca="1">RAND()</f>
        <v>0.33952779578041392</v>
      </c>
      <c r="C120" s="8">
        <v>119</v>
      </c>
      <c r="D120" s="8">
        <f ca="1">CEILING(A120*35+60,0.2)</f>
        <v>67.8</v>
      </c>
      <c r="E120" s="8">
        <f ca="1">CEILING(B120*35+155,0.2)</f>
        <v>167</v>
      </c>
      <c r="F120" s="9"/>
    </row>
    <row r="121" spans="1:6">
      <c r="A121" s="8">
        <f ca="1">RAND()</f>
        <v>4.6326274957478653E-2</v>
      </c>
      <c r="B121" s="8">
        <f ca="1">RAND()</f>
        <v>0.45627868277839345</v>
      </c>
      <c r="C121" s="8">
        <v>120</v>
      </c>
      <c r="D121" s="8">
        <f ca="1">CEILING(A121*35+60,0.2)</f>
        <v>61.800000000000004</v>
      </c>
      <c r="E121" s="8">
        <f ca="1">CEILING(B121*35+155,0.2)</f>
        <v>171</v>
      </c>
      <c r="F121" s="9"/>
    </row>
    <row r="122" spans="1:6">
      <c r="A122" s="8">
        <f ca="1">RAND()</f>
        <v>0.88833643766008519</v>
      </c>
      <c r="B122" s="8">
        <f ca="1">RAND()</f>
        <v>0.66457805936374159</v>
      </c>
      <c r="C122" s="8">
        <v>121</v>
      </c>
      <c r="D122" s="8">
        <f ca="1">CEILING(A122*35+60,0.2)</f>
        <v>91.2</v>
      </c>
      <c r="E122" s="8">
        <f ca="1">CEILING(B122*35+155,0.2)</f>
        <v>178.4</v>
      </c>
      <c r="F122" s="9"/>
    </row>
    <row r="123" spans="1:6">
      <c r="A123" s="8">
        <f ca="1">RAND()</f>
        <v>0.98709126920864509</v>
      </c>
      <c r="B123" s="8">
        <f ca="1">RAND()</f>
        <v>0.92019780270936991</v>
      </c>
      <c r="C123" s="8">
        <v>122</v>
      </c>
      <c r="D123" s="8">
        <f ca="1">CEILING(A123*35+60,0.2)</f>
        <v>94.600000000000009</v>
      </c>
      <c r="E123" s="8">
        <f ca="1">CEILING(B123*35+155,0.2)</f>
        <v>187.4</v>
      </c>
      <c r="F123" s="9"/>
    </row>
    <row r="124" spans="1:6">
      <c r="A124" s="8">
        <f ca="1">RAND()</f>
        <v>0.47994534900874286</v>
      </c>
      <c r="B124" s="8">
        <f ca="1">RAND()</f>
        <v>0.46096580398319009</v>
      </c>
      <c r="C124" s="8">
        <v>123</v>
      </c>
      <c r="D124" s="8">
        <f ca="1">CEILING(A124*35+60,0.2)</f>
        <v>76.800000000000011</v>
      </c>
      <c r="E124" s="8">
        <f ca="1">CEILING(B124*35+155,0.2)</f>
        <v>171.20000000000002</v>
      </c>
      <c r="F124" s="9"/>
    </row>
    <row r="125" spans="1:6">
      <c r="A125" s="8">
        <f ca="1">RAND()</f>
        <v>6.9298124283954099E-2</v>
      </c>
      <c r="B125" s="8">
        <f ca="1">RAND()</f>
        <v>0.45659388875641571</v>
      </c>
      <c r="C125" s="8">
        <v>124</v>
      </c>
      <c r="D125" s="8">
        <f ca="1">CEILING(A125*35+60,0.2)</f>
        <v>62.6</v>
      </c>
      <c r="E125" s="8">
        <f ca="1">CEILING(B125*35+155,0.2)</f>
        <v>171</v>
      </c>
      <c r="F125" s="9"/>
    </row>
    <row r="126" spans="1:6">
      <c r="A126" s="8">
        <f ca="1">RAND()</f>
        <v>0.62173348160934216</v>
      </c>
      <c r="B126" s="8">
        <f ca="1">RAND()</f>
        <v>0.9985140352329841</v>
      </c>
      <c r="C126" s="8">
        <v>125</v>
      </c>
      <c r="D126" s="8">
        <f ca="1">CEILING(A126*35+60,0.2)</f>
        <v>81.800000000000011</v>
      </c>
      <c r="E126" s="8">
        <f ca="1">CEILING(B126*35+155,0.2)</f>
        <v>190</v>
      </c>
      <c r="F126" s="9"/>
    </row>
    <row r="127" spans="1:6">
      <c r="A127" s="8">
        <f ca="1">RAND()</f>
        <v>0.31926884846392511</v>
      </c>
      <c r="B127" s="8">
        <f ca="1">RAND()</f>
        <v>0.97089076828494103</v>
      </c>
      <c r="C127" s="8">
        <v>126</v>
      </c>
      <c r="D127" s="8">
        <f ca="1">CEILING(A127*35+60,0.2)</f>
        <v>71.2</v>
      </c>
      <c r="E127" s="8">
        <f ca="1">CEILING(B127*35+155,0.2)</f>
        <v>189</v>
      </c>
      <c r="F127" s="9"/>
    </row>
    <row r="128" spans="1:6">
      <c r="A128" s="8">
        <f ca="1">RAND()</f>
        <v>0.4948164570711181</v>
      </c>
      <c r="B128" s="8">
        <f ca="1">RAND()</f>
        <v>0.37920027824190961</v>
      </c>
      <c r="C128" s="8">
        <v>127</v>
      </c>
      <c r="D128" s="8">
        <f ca="1">CEILING(A128*35+60,0.2)</f>
        <v>77.400000000000006</v>
      </c>
      <c r="E128" s="8">
        <f ca="1">CEILING(B128*35+155,0.2)</f>
        <v>168.4</v>
      </c>
      <c r="F128" s="9"/>
    </row>
    <row r="129" spans="1:6">
      <c r="A129" s="8">
        <f ca="1">RAND()</f>
        <v>0.60725985158865847</v>
      </c>
      <c r="B129" s="8">
        <f ca="1">RAND()</f>
        <v>0.68926374435836268</v>
      </c>
      <c r="C129" s="8">
        <v>128</v>
      </c>
      <c r="D129" s="8">
        <f ca="1">CEILING(A129*35+60,0.2)</f>
        <v>81.400000000000006</v>
      </c>
      <c r="E129" s="8">
        <f ca="1">CEILING(B129*35+155,0.2)</f>
        <v>179.20000000000002</v>
      </c>
      <c r="F129" s="9"/>
    </row>
    <row r="130" spans="1:6">
      <c r="A130" s="8">
        <f ca="1">RAND()</f>
        <v>0.6227403527426133</v>
      </c>
      <c r="B130" s="8">
        <f ca="1">RAND()</f>
        <v>0.80882224440428818</v>
      </c>
      <c r="C130" s="8">
        <v>129</v>
      </c>
      <c r="D130" s="8">
        <f ca="1">CEILING(A130*35+60,0.2)</f>
        <v>81.800000000000011</v>
      </c>
      <c r="E130" s="8">
        <f ca="1">CEILING(B130*35+155,0.2)</f>
        <v>183.4</v>
      </c>
      <c r="F130" s="9"/>
    </row>
    <row r="131" spans="1:6">
      <c r="A131" s="8">
        <f ca="1">RAND()</f>
        <v>0.7024673658313122</v>
      </c>
      <c r="B131" s="8">
        <f ca="1">RAND()</f>
        <v>0.45825970171974384</v>
      </c>
      <c r="C131" s="8">
        <v>130</v>
      </c>
      <c r="D131" s="8">
        <f ca="1">CEILING(A131*35+60,0.2)</f>
        <v>84.600000000000009</v>
      </c>
      <c r="E131" s="8">
        <f ca="1">CEILING(B131*35+155,0.2)</f>
        <v>171.20000000000002</v>
      </c>
      <c r="F131" s="9"/>
    </row>
    <row r="132" spans="1:6">
      <c r="A132" s="8">
        <f ca="1">RAND()</f>
        <v>0.54203048984438829</v>
      </c>
      <c r="B132" s="8">
        <f ca="1">RAND()</f>
        <v>0.46589918461410762</v>
      </c>
      <c r="C132" s="8">
        <v>131</v>
      </c>
      <c r="D132" s="8">
        <f ca="1">CEILING(A132*35+60,0.2)</f>
        <v>79</v>
      </c>
      <c r="E132" s="8">
        <f ca="1">CEILING(B132*35+155,0.2)</f>
        <v>171.4</v>
      </c>
      <c r="F132" s="9"/>
    </row>
    <row r="133" spans="1:6">
      <c r="A133" s="8">
        <f ca="1">RAND()</f>
        <v>0.98450787613055823</v>
      </c>
      <c r="B133" s="8">
        <f ca="1">RAND()</f>
        <v>0.62091747450200496</v>
      </c>
      <c r="C133" s="8">
        <v>132</v>
      </c>
      <c r="D133" s="8">
        <f ca="1">CEILING(A133*35+60,0.2)</f>
        <v>94.600000000000009</v>
      </c>
      <c r="E133" s="8">
        <f ca="1">CEILING(B133*35+155,0.2)</f>
        <v>176.8</v>
      </c>
      <c r="F133" s="9"/>
    </row>
    <row r="134" spans="1:6">
      <c r="A134" s="8">
        <f ca="1">RAND()</f>
        <v>0.17939134225346964</v>
      </c>
      <c r="B134" s="8">
        <f ca="1">RAND()</f>
        <v>0.63819172364386922</v>
      </c>
      <c r="C134" s="8">
        <v>133</v>
      </c>
      <c r="D134" s="8">
        <f ca="1">CEILING(A134*35+60,0.2)</f>
        <v>66.400000000000006</v>
      </c>
      <c r="E134" s="8">
        <f ca="1">CEILING(B134*35+155,0.2)</f>
        <v>177.4</v>
      </c>
      <c r="F134" s="9"/>
    </row>
    <row r="135" spans="1:6">
      <c r="A135" s="8">
        <f ca="1">RAND()</f>
        <v>0.49187745005366823</v>
      </c>
      <c r="B135" s="8">
        <f ca="1">RAND()</f>
        <v>0.16088802812827085</v>
      </c>
      <c r="C135" s="8">
        <v>134</v>
      </c>
      <c r="D135" s="8">
        <f ca="1">CEILING(A135*35+60,0.2)</f>
        <v>77.400000000000006</v>
      </c>
      <c r="E135" s="8">
        <f ca="1">CEILING(B135*35+155,0.2)</f>
        <v>160.80000000000001</v>
      </c>
      <c r="F135" s="9"/>
    </row>
    <row r="136" spans="1:6">
      <c r="A136" s="8">
        <f ca="1">RAND()</f>
        <v>1.6627576132042243E-2</v>
      </c>
      <c r="B136" s="8">
        <f ca="1">RAND()</f>
        <v>0.73375693694804944</v>
      </c>
      <c r="C136" s="8">
        <v>135</v>
      </c>
      <c r="D136" s="8">
        <f ca="1">CEILING(A136*35+60,0.2)</f>
        <v>60.6</v>
      </c>
      <c r="E136" s="8">
        <f ca="1">CEILING(B136*35+155,0.2)</f>
        <v>180.8</v>
      </c>
      <c r="F136" s="9"/>
    </row>
    <row r="137" spans="1:6">
      <c r="A137" s="8">
        <f ca="1">RAND()</f>
        <v>0.74972572085078515</v>
      </c>
      <c r="B137" s="8">
        <f ca="1">RAND()</f>
        <v>7.003695588457326E-2</v>
      </c>
      <c r="C137" s="8">
        <v>136</v>
      </c>
      <c r="D137" s="8">
        <f ca="1">CEILING(A137*35+60,0.2)</f>
        <v>86.4</v>
      </c>
      <c r="E137" s="8">
        <f ca="1">CEILING(B137*35+155,0.2)</f>
        <v>157.60000000000002</v>
      </c>
      <c r="F137" s="9"/>
    </row>
    <row r="138" spans="1:6">
      <c r="A138" s="8">
        <f ca="1">RAND()</f>
        <v>0.5584300915817787</v>
      </c>
      <c r="B138" s="8">
        <f ca="1">RAND()</f>
        <v>3.2328367886123921E-2</v>
      </c>
      <c r="C138" s="8">
        <v>137</v>
      </c>
      <c r="D138" s="8">
        <f ca="1">CEILING(A138*35+60,0.2)</f>
        <v>79.600000000000009</v>
      </c>
      <c r="E138" s="8">
        <f ca="1">CEILING(B138*35+155,0.2)</f>
        <v>156.20000000000002</v>
      </c>
      <c r="F138" s="9"/>
    </row>
    <row r="139" spans="1:6">
      <c r="A139" s="8">
        <f ca="1">RAND()</f>
        <v>0.50776070125077633</v>
      </c>
      <c r="B139" s="8">
        <f ca="1">RAND()</f>
        <v>0.43020300294146552</v>
      </c>
      <c r="C139" s="8">
        <v>138</v>
      </c>
      <c r="D139" s="8">
        <f ca="1">CEILING(A139*35+60,0.2)</f>
        <v>77.800000000000011</v>
      </c>
      <c r="E139" s="8">
        <f ca="1">CEILING(B139*35+155,0.2)</f>
        <v>170.20000000000002</v>
      </c>
      <c r="F139" s="9"/>
    </row>
    <row r="140" spans="1:6">
      <c r="A140" s="8">
        <f ca="1">RAND()</f>
        <v>0.36168369977669301</v>
      </c>
      <c r="B140" s="8">
        <f ca="1">RAND()</f>
        <v>0.23399283143283933</v>
      </c>
      <c r="C140" s="8">
        <v>139</v>
      </c>
      <c r="D140" s="8">
        <f ca="1">CEILING(A140*35+60,0.2)</f>
        <v>72.8</v>
      </c>
      <c r="E140" s="8">
        <f ca="1">CEILING(B140*35+155,0.2)</f>
        <v>163.20000000000002</v>
      </c>
      <c r="F140" s="9"/>
    </row>
    <row r="141" spans="1:6">
      <c r="A141" s="8">
        <f ca="1">RAND()</f>
        <v>5.942673175726132E-2</v>
      </c>
      <c r="B141" s="8">
        <f ca="1">RAND()</f>
        <v>0.46649467704153491</v>
      </c>
      <c r="C141" s="8">
        <v>140</v>
      </c>
      <c r="D141" s="8">
        <f ca="1">CEILING(A141*35+60,0.2)</f>
        <v>62.2</v>
      </c>
      <c r="E141" s="8">
        <f ca="1">CEILING(B141*35+155,0.2)</f>
        <v>171.4</v>
      </c>
      <c r="F141" s="9"/>
    </row>
    <row r="142" spans="1:6">
      <c r="A142" s="8">
        <f ca="1">RAND()</f>
        <v>0.63069553223335284</v>
      </c>
      <c r="B142" s="8">
        <f ca="1">RAND()</f>
        <v>0.86899238065014128</v>
      </c>
      <c r="C142" s="8">
        <v>141</v>
      </c>
      <c r="D142" s="8">
        <f ca="1">CEILING(A142*35+60,0.2)</f>
        <v>82.2</v>
      </c>
      <c r="E142" s="8">
        <f ca="1">CEILING(B142*35+155,0.2)</f>
        <v>185.60000000000002</v>
      </c>
      <c r="F142" s="9"/>
    </row>
    <row r="143" spans="1:6">
      <c r="A143" s="8">
        <f ca="1">RAND()</f>
        <v>0.83828545370347418</v>
      </c>
      <c r="B143" s="8">
        <f ca="1">RAND()</f>
        <v>6.4265162414808175E-2</v>
      </c>
      <c r="C143" s="8">
        <v>142</v>
      </c>
      <c r="D143" s="8">
        <f ca="1">CEILING(A143*35+60,0.2)</f>
        <v>89.4</v>
      </c>
      <c r="E143" s="8">
        <f ca="1">CEILING(B143*35+155,0.2)</f>
        <v>157.4</v>
      </c>
      <c r="F143" s="9"/>
    </row>
    <row r="144" spans="1:6">
      <c r="A144" s="8">
        <f ca="1">RAND()</f>
        <v>0.97785235859163444</v>
      </c>
      <c r="B144" s="8">
        <f ca="1">RAND()</f>
        <v>0.23507156216770708</v>
      </c>
      <c r="C144" s="8">
        <v>143</v>
      </c>
      <c r="D144" s="8">
        <f ca="1">CEILING(A144*35+60,0.2)</f>
        <v>94.4</v>
      </c>
      <c r="E144" s="8">
        <f ca="1">CEILING(B144*35+155,0.2)</f>
        <v>163.4</v>
      </c>
      <c r="F144" s="9"/>
    </row>
    <row r="145" spans="1:6">
      <c r="A145" s="8">
        <f ca="1">RAND()</f>
        <v>0.76636382934228209</v>
      </c>
      <c r="B145" s="8">
        <f ca="1">RAND()</f>
        <v>0.63394347651723992</v>
      </c>
      <c r="C145" s="8">
        <v>144</v>
      </c>
      <c r="D145" s="8">
        <f ca="1">CEILING(A145*35+60,0.2)</f>
        <v>87</v>
      </c>
      <c r="E145" s="8">
        <f ca="1">CEILING(B145*35+155,0.2)</f>
        <v>177.20000000000002</v>
      </c>
      <c r="F145" s="9"/>
    </row>
    <row r="146" spans="1:6">
      <c r="A146" s="8">
        <f ca="1">RAND()</f>
        <v>0.70781984880935278</v>
      </c>
      <c r="B146" s="8">
        <f ca="1">RAND()</f>
        <v>0.94499666883823374</v>
      </c>
      <c r="C146" s="8">
        <v>145</v>
      </c>
      <c r="D146" s="8">
        <f ca="1">CEILING(A146*35+60,0.2)</f>
        <v>84.800000000000011</v>
      </c>
      <c r="E146" s="8">
        <f ca="1">CEILING(B146*35+155,0.2)</f>
        <v>188.20000000000002</v>
      </c>
      <c r="F146" s="9"/>
    </row>
    <row r="147" spans="1:6">
      <c r="A147" s="8">
        <f ca="1">RAND()</f>
        <v>0.77175107723317371</v>
      </c>
      <c r="B147" s="8">
        <f ca="1">RAND()</f>
        <v>0.3639967370633207</v>
      </c>
      <c r="C147" s="8">
        <v>146</v>
      </c>
      <c r="D147" s="8">
        <f ca="1">CEILING(A147*35+60,0.2)</f>
        <v>87.2</v>
      </c>
      <c r="E147" s="8">
        <f ca="1">CEILING(B147*35+155,0.2)</f>
        <v>167.8</v>
      </c>
      <c r="F147" s="9"/>
    </row>
    <row r="148" spans="1:6">
      <c r="A148" s="8">
        <f ca="1">RAND()</f>
        <v>0.7299603025846364</v>
      </c>
      <c r="B148" s="8">
        <f ca="1">RAND()</f>
        <v>0.62595130942670163</v>
      </c>
      <c r="C148" s="8">
        <v>147</v>
      </c>
      <c r="D148" s="8">
        <f ca="1">CEILING(A148*35+60,0.2)</f>
        <v>85.600000000000009</v>
      </c>
      <c r="E148" s="8">
        <f ca="1">CEILING(B148*35+155,0.2)</f>
        <v>177</v>
      </c>
      <c r="F148" s="9"/>
    </row>
    <row r="149" spans="1:6">
      <c r="A149" s="8">
        <f ca="1">RAND()</f>
        <v>0.42008180865172262</v>
      </c>
      <c r="B149" s="8">
        <f ca="1">RAND()</f>
        <v>0.35407273661180438</v>
      </c>
      <c r="C149" s="8">
        <v>148</v>
      </c>
      <c r="D149" s="8">
        <f ca="1">CEILING(A149*35+60,0.2)</f>
        <v>74.8</v>
      </c>
      <c r="E149" s="8">
        <f ca="1">CEILING(B149*35+155,0.2)</f>
        <v>167.4</v>
      </c>
      <c r="F149" s="9"/>
    </row>
    <row r="150" spans="1:6">
      <c r="A150" s="8">
        <f ca="1">RAND()</f>
        <v>0.61749366426429875</v>
      </c>
      <c r="B150" s="8">
        <f ca="1">RAND()</f>
        <v>3.7788206795919321E-2</v>
      </c>
      <c r="C150" s="8">
        <v>149</v>
      </c>
      <c r="D150" s="8">
        <f ca="1">CEILING(A150*35+60,0.2)</f>
        <v>81.800000000000011</v>
      </c>
      <c r="E150" s="8">
        <f ca="1">CEILING(B150*35+155,0.2)</f>
        <v>156.4</v>
      </c>
      <c r="F150" s="9"/>
    </row>
    <row r="151" spans="1:6">
      <c r="A151" s="8">
        <f ca="1">RAND()</f>
        <v>0.24370527744793491</v>
      </c>
      <c r="B151" s="8">
        <f ca="1">RAND()</f>
        <v>0.60670607463767035</v>
      </c>
      <c r="C151" s="8">
        <v>150</v>
      </c>
      <c r="D151" s="8">
        <f ca="1">CEILING(A151*35+60,0.2)</f>
        <v>68.600000000000009</v>
      </c>
      <c r="E151" s="8">
        <f ca="1">CEILING(B151*35+155,0.2)</f>
        <v>176.4</v>
      </c>
      <c r="F151" s="9"/>
    </row>
    <row r="152" spans="1:6">
      <c r="A152" s="8">
        <f ca="1">RAND()</f>
        <v>0.91562414763609823</v>
      </c>
      <c r="B152" s="8">
        <f ca="1">RAND()</f>
        <v>0.94984284132747188</v>
      </c>
      <c r="C152" s="8">
        <v>151</v>
      </c>
      <c r="D152" s="8">
        <f ca="1">CEILING(A152*35+60,0.2)</f>
        <v>92.2</v>
      </c>
      <c r="E152" s="8">
        <f ca="1">CEILING(B152*35+155,0.2)</f>
        <v>188.4</v>
      </c>
      <c r="F152" s="9"/>
    </row>
    <row r="153" spans="1:6">
      <c r="A153" s="8">
        <f ca="1">RAND()</f>
        <v>0.7531854750299467</v>
      </c>
      <c r="B153" s="8">
        <f ca="1">RAND()</f>
        <v>0.54068321266318708</v>
      </c>
      <c r="C153" s="8">
        <v>152</v>
      </c>
      <c r="D153" s="8">
        <f ca="1">CEILING(A153*35+60,0.2)</f>
        <v>86.4</v>
      </c>
      <c r="E153" s="8">
        <f ca="1">CEILING(B153*35+155,0.2)</f>
        <v>174</v>
      </c>
      <c r="F153" s="9"/>
    </row>
    <row r="154" spans="1:6">
      <c r="A154" s="8">
        <f ca="1">RAND()</f>
        <v>0.28012695509604402</v>
      </c>
      <c r="B154" s="8">
        <f ca="1">RAND()</f>
        <v>0.17390201277277229</v>
      </c>
      <c r="C154" s="8">
        <v>153</v>
      </c>
      <c r="D154" s="8">
        <f ca="1">CEILING(A154*35+60,0.2)</f>
        <v>70</v>
      </c>
      <c r="E154" s="8">
        <f ca="1">CEILING(B154*35+155,0.2)</f>
        <v>161.20000000000002</v>
      </c>
      <c r="F154" s="9"/>
    </row>
    <row r="155" spans="1:6">
      <c r="A155" s="8">
        <f ca="1">RAND()</f>
        <v>0.2574807691284916</v>
      </c>
      <c r="B155" s="8">
        <f ca="1">RAND()</f>
        <v>0.76420614617249227</v>
      </c>
      <c r="C155" s="8">
        <v>154</v>
      </c>
      <c r="D155" s="8">
        <f ca="1">CEILING(A155*35+60,0.2)</f>
        <v>69.2</v>
      </c>
      <c r="E155" s="8">
        <f ca="1">CEILING(B155*35+155,0.2)</f>
        <v>181.8</v>
      </c>
      <c r="F155" s="9"/>
    </row>
    <row r="156" spans="1:6">
      <c r="A156" s="8">
        <f ca="1">RAND()</f>
        <v>0.70308990812593952</v>
      </c>
      <c r="B156" s="8">
        <f ca="1">RAND()</f>
        <v>0.40070066206472632</v>
      </c>
      <c r="C156" s="8">
        <v>155</v>
      </c>
      <c r="D156" s="8">
        <f ca="1">CEILING(A156*35+60,0.2)</f>
        <v>84.800000000000011</v>
      </c>
      <c r="E156" s="8">
        <f ca="1">CEILING(B156*35+155,0.2)</f>
        <v>169.20000000000002</v>
      </c>
      <c r="F156" s="9"/>
    </row>
    <row r="157" spans="1:6">
      <c r="A157" s="8">
        <f ca="1">RAND()</f>
        <v>0.56748907875339261</v>
      </c>
      <c r="B157" s="8">
        <f ca="1">RAND()</f>
        <v>0.83512655648193923</v>
      </c>
      <c r="C157" s="8">
        <v>156</v>
      </c>
      <c r="D157" s="8">
        <f ca="1">CEILING(A157*35+60,0.2)</f>
        <v>80</v>
      </c>
      <c r="E157" s="8">
        <f ca="1">CEILING(B157*35+155,0.2)</f>
        <v>184.4</v>
      </c>
      <c r="F157" s="9"/>
    </row>
    <row r="158" spans="1:6">
      <c r="A158" s="8">
        <f ca="1">RAND()</f>
        <v>0.92410263483299848</v>
      </c>
      <c r="B158" s="8">
        <f ca="1">RAND()</f>
        <v>0.36250022407827265</v>
      </c>
      <c r="C158" s="8">
        <v>157</v>
      </c>
      <c r="D158" s="8">
        <f ca="1">CEILING(A158*35+60,0.2)</f>
        <v>92.4</v>
      </c>
      <c r="E158" s="8">
        <f ca="1">CEILING(B158*35+155,0.2)</f>
        <v>167.8</v>
      </c>
      <c r="F158" s="9"/>
    </row>
    <row r="159" spans="1:6">
      <c r="A159" s="8">
        <f ca="1">RAND()</f>
        <v>0.83779304848816183</v>
      </c>
      <c r="B159" s="8">
        <f ca="1">RAND()</f>
        <v>0.11308833251891948</v>
      </c>
      <c r="C159" s="8">
        <v>158</v>
      </c>
      <c r="D159" s="8">
        <f ca="1">CEILING(A159*35+60,0.2)</f>
        <v>89.4</v>
      </c>
      <c r="E159" s="8">
        <f ca="1">CEILING(B159*35+155,0.2)</f>
        <v>159</v>
      </c>
      <c r="F159" s="9"/>
    </row>
    <row r="160" spans="1:6">
      <c r="A160" s="8">
        <f ca="1">RAND()</f>
        <v>0.66611405868873064</v>
      </c>
      <c r="B160" s="8">
        <f ca="1">RAND()</f>
        <v>9.0130289423654086E-2</v>
      </c>
      <c r="C160" s="8">
        <v>159</v>
      </c>
      <c r="D160" s="8">
        <f ca="1">CEILING(A160*35+60,0.2)</f>
        <v>83.4</v>
      </c>
      <c r="E160" s="8">
        <f ca="1">CEILING(B160*35+155,0.2)</f>
        <v>158.20000000000002</v>
      </c>
      <c r="F160" s="9"/>
    </row>
    <row r="161" spans="1:6">
      <c r="A161" s="8">
        <f ca="1">RAND()</f>
        <v>0.17131089076516881</v>
      </c>
      <c r="B161" s="8">
        <f ca="1">RAND()</f>
        <v>0.38501731596054678</v>
      </c>
      <c r="C161" s="8">
        <v>160</v>
      </c>
      <c r="D161" s="8">
        <f ca="1">CEILING(A161*35+60,0.2)</f>
        <v>66</v>
      </c>
      <c r="E161" s="8">
        <f ca="1">CEILING(B161*35+155,0.2)</f>
        <v>168.60000000000002</v>
      </c>
      <c r="F161" s="9"/>
    </row>
    <row r="162" spans="1:6">
      <c r="A162" s="8">
        <f ca="1">RAND()</f>
        <v>0.1797490466409245</v>
      </c>
      <c r="B162" s="8">
        <f ca="1">RAND()</f>
        <v>0.80010035084561448</v>
      </c>
      <c r="C162" s="8">
        <v>161</v>
      </c>
      <c r="D162" s="8">
        <f ca="1">CEILING(A162*35+60,0.2)</f>
        <v>66.400000000000006</v>
      </c>
      <c r="E162" s="8">
        <f ca="1">CEILING(B162*35+155,0.2)</f>
        <v>183.20000000000002</v>
      </c>
      <c r="F162" s="9"/>
    </row>
    <row r="163" spans="1:6">
      <c r="A163" s="8">
        <f ca="1">RAND()</f>
        <v>0.4194375879299328</v>
      </c>
      <c r="B163" s="8">
        <f ca="1">RAND()</f>
        <v>6.7256203327082931E-2</v>
      </c>
      <c r="C163" s="8">
        <v>162</v>
      </c>
      <c r="D163" s="8">
        <f ca="1">CEILING(A163*35+60,0.2)</f>
        <v>74.8</v>
      </c>
      <c r="E163" s="8">
        <f ca="1">CEILING(B163*35+155,0.2)</f>
        <v>157.4</v>
      </c>
      <c r="F163" s="9"/>
    </row>
    <row r="164" spans="1:6">
      <c r="A164" s="8">
        <f ca="1">RAND()</f>
        <v>0.41536982403422396</v>
      </c>
      <c r="B164" s="8">
        <f ca="1">RAND()</f>
        <v>0.863719470580944</v>
      </c>
      <c r="C164" s="8">
        <v>163</v>
      </c>
      <c r="D164" s="8">
        <f ca="1">CEILING(A164*35+60,0.2)</f>
        <v>74.600000000000009</v>
      </c>
      <c r="E164" s="8">
        <f ca="1">CEILING(B164*35+155,0.2)</f>
        <v>185.4</v>
      </c>
      <c r="F164" s="9"/>
    </row>
    <row r="165" spans="1:6">
      <c r="A165" s="8">
        <f ca="1">RAND()</f>
        <v>0.97464876513142651</v>
      </c>
      <c r="B165" s="8">
        <f ca="1">RAND()</f>
        <v>0.12048155652640158</v>
      </c>
      <c r="C165" s="8">
        <v>164</v>
      </c>
      <c r="D165" s="8">
        <f ca="1">CEILING(A165*35+60,0.2)</f>
        <v>94.2</v>
      </c>
      <c r="E165" s="8">
        <f ca="1">CEILING(B165*35+155,0.2)</f>
        <v>159.4</v>
      </c>
      <c r="F165" s="9"/>
    </row>
    <row r="166" spans="1:6">
      <c r="A166" s="8">
        <f ca="1">RAND()</f>
        <v>0.99060505515261188</v>
      </c>
      <c r="B166" s="8">
        <f ca="1">RAND()</f>
        <v>0.51193603431138901</v>
      </c>
      <c r="C166" s="8">
        <v>165</v>
      </c>
      <c r="D166" s="8">
        <f ca="1">CEILING(A166*35+60,0.2)</f>
        <v>94.800000000000011</v>
      </c>
      <c r="E166" s="8">
        <f ca="1">CEILING(B166*35+155,0.2)</f>
        <v>173</v>
      </c>
      <c r="F166" s="9"/>
    </row>
    <row r="167" spans="1:6">
      <c r="A167" s="8">
        <f ca="1">RAND()</f>
        <v>6.4388931128375071E-2</v>
      </c>
      <c r="B167" s="8">
        <f ca="1">RAND()</f>
        <v>0.2777039902326589</v>
      </c>
      <c r="C167" s="8">
        <v>166</v>
      </c>
      <c r="D167" s="8">
        <f ca="1">CEILING(A167*35+60,0.2)</f>
        <v>62.400000000000006</v>
      </c>
      <c r="E167" s="8">
        <f ca="1">CEILING(B167*35+155,0.2)</f>
        <v>164.8</v>
      </c>
      <c r="F167" s="9"/>
    </row>
    <row r="168" spans="1:6">
      <c r="A168" s="8">
        <f ca="1">RAND()</f>
        <v>4.5898405596001002E-3</v>
      </c>
      <c r="B168" s="8">
        <f ca="1">RAND()</f>
        <v>0.76585445587890688</v>
      </c>
      <c r="C168" s="8">
        <v>167</v>
      </c>
      <c r="D168" s="8">
        <f ca="1">CEILING(A168*35+60,0.2)</f>
        <v>60.2</v>
      </c>
      <c r="E168" s="8">
        <f ca="1">CEILING(B168*35+155,0.2)</f>
        <v>182</v>
      </c>
      <c r="F168" s="9"/>
    </row>
    <row r="169" spans="1:6">
      <c r="A169" s="8">
        <f ca="1">RAND()</f>
        <v>0.53180481230092613</v>
      </c>
      <c r="B169" s="8">
        <f ca="1">RAND()</f>
        <v>0.32619076892422139</v>
      </c>
      <c r="C169" s="8">
        <v>168</v>
      </c>
      <c r="D169" s="8">
        <f ca="1">CEILING(A169*35+60,0.2)</f>
        <v>78.800000000000011</v>
      </c>
      <c r="E169" s="8">
        <f ca="1">CEILING(B169*35+155,0.2)</f>
        <v>166.60000000000002</v>
      </c>
      <c r="F169" s="9"/>
    </row>
    <row r="170" spans="1:6">
      <c r="A170" s="8">
        <f ca="1">RAND()</f>
        <v>7.3400466594798375E-2</v>
      </c>
      <c r="B170" s="8">
        <f ca="1">RAND()</f>
        <v>0.87379632998567747</v>
      </c>
      <c r="C170" s="8">
        <v>169</v>
      </c>
      <c r="D170" s="8">
        <f ca="1">CEILING(A170*35+60,0.2)</f>
        <v>62.6</v>
      </c>
      <c r="E170" s="8">
        <f ca="1">CEILING(B170*35+155,0.2)</f>
        <v>185.60000000000002</v>
      </c>
      <c r="F170" s="9"/>
    </row>
    <row r="171" spans="1:6">
      <c r="A171" s="8">
        <f ca="1">RAND()</f>
        <v>0.79732695378391161</v>
      </c>
      <c r="B171" s="8">
        <f ca="1">RAND()</f>
        <v>0.55529333978851314</v>
      </c>
      <c r="C171" s="8">
        <v>170</v>
      </c>
      <c r="D171" s="8">
        <f ca="1">CEILING(A171*35+60,0.2)</f>
        <v>88</v>
      </c>
      <c r="E171" s="8">
        <f ca="1">CEILING(B171*35+155,0.2)</f>
        <v>174.60000000000002</v>
      </c>
      <c r="F171" s="9"/>
    </row>
    <row r="172" spans="1:6">
      <c r="A172" s="8">
        <f ca="1">RAND()</f>
        <v>2.5740433493942838E-2</v>
      </c>
      <c r="B172" s="8">
        <f ca="1">RAND()</f>
        <v>4.1738794031784821E-3</v>
      </c>
      <c r="C172" s="8">
        <v>171</v>
      </c>
      <c r="D172" s="8">
        <f ca="1">CEILING(A172*35+60,0.2)</f>
        <v>61</v>
      </c>
      <c r="E172" s="8">
        <f ca="1">CEILING(B172*35+155,0.2)</f>
        <v>155.20000000000002</v>
      </c>
      <c r="F172" s="9"/>
    </row>
    <row r="173" spans="1:6">
      <c r="A173" s="8">
        <f ca="1">RAND()</f>
        <v>0.9875775764042054</v>
      </c>
      <c r="B173" s="8">
        <f ca="1">RAND()</f>
        <v>0.1779339578096546</v>
      </c>
      <c r="C173" s="8">
        <v>172</v>
      </c>
      <c r="D173" s="8">
        <f ca="1">CEILING(A173*35+60,0.2)</f>
        <v>94.600000000000009</v>
      </c>
      <c r="E173" s="8">
        <f ca="1">CEILING(B173*35+155,0.2)</f>
        <v>161.4</v>
      </c>
      <c r="F173" s="9"/>
    </row>
    <row r="174" spans="1:6">
      <c r="A174" s="8">
        <f ca="1">RAND()</f>
        <v>0.2486897650125024</v>
      </c>
      <c r="B174" s="8">
        <f ca="1">RAND()</f>
        <v>0.81484923376419494</v>
      </c>
      <c r="C174" s="8">
        <v>173</v>
      </c>
      <c r="D174" s="8">
        <f ca="1">CEILING(A174*35+60,0.2)</f>
        <v>68.8</v>
      </c>
      <c r="E174" s="8">
        <f ca="1">CEILING(B174*35+155,0.2)</f>
        <v>183.60000000000002</v>
      </c>
      <c r="F174" s="9"/>
    </row>
    <row r="175" spans="1:6">
      <c r="A175" s="8">
        <f ca="1">RAND()</f>
        <v>8.3157780031898887E-2</v>
      </c>
      <c r="B175" s="8">
        <f ca="1">RAND()</f>
        <v>2.3211399397730537E-2</v>
      </c>
      <c r="C175" s="8">
        <v>174</v>
      </c>
      <c r="D175" s="8">
        <f ca="1">CEILING(A175*35+60,0.2)</f>
        <v>63</v>
      </c>
      <c r="E175" s="8">
        <f ca="1">CEILING(B175*35+155,0.2)</f>
        <v>156</v>
      </c>
      <c r="F175" s="9"/>
    </row>
    <row r="176" spans="1:6">
      <c r="A176" s="8">
        <f ca="1">RAND()</f>
        <v>0.64515400189104677</v>
      </c>
      <c r="B176" s="8">
        <f ca="1">RAND()</f>
        <v>0.42261198355780905</v>
      </c>
      <c r="C176" s="8">
        <v>175</v>
      </c>
      <c r="D176" s="8">
        <f ca="1">CEILING(A176*35+60,0.2)</f>
        <v>82.600000000000009</v>
      </c>
      <c r="E176" s="8">
        <f ca="1">CEILING(B176*35+155,0.2)</f>
        <v>169.8</v>
      </c>
      <c r="F176" s="9"/>
    </row>
    <row r="177" spans="1:6">
      <c r="A177" s="8">
        <f ca="1">RAND()</f>
        <v>0.64952225139267417</v>
      </c>
      <c r="B177" s="8">
        <f ca="1">RAND()</f>
        <v>0.785293231107283</v>
      </c>
      <c r="C177" s="8">
        <v>176</v>
      </c>
      <c r="D177" s="8">
        <f ca="1">CEILING(A177*35+60,0.2)</f>
        <v>82.800000000000011</v>
      </c>
      <c r="E177" s="8">
        <f ca="1">CEILING(B177*35+155,0.2)</f>
        <v>182.60000000000002</v>
      </c>
      <c r="F177" s="9"/>
    </row>
    <row r="178" spans="1:6">
      <c r="A178" s="8">
        <f ca="1">RAND()</f>
        <v>0.65763520573910195</v>
      </c>
      <c r="B178" s="8">
        <f ca="1">RAND()</f>
        <v>0.12841160346544467</v>
      </c>
      <c r="C178" s="8">
        <v>177</v>
      </c>
      <c r="D178" s="8">
        <f ca="1">CEILING(A178*35+60,0.2)</f>
        <v>83.2</v>
      </c>
      <c r="E178" s="8">
        <f ca="1">CEILING(B178*35+155,0.2)</f>
        <v>159.60000000000002</v>
      </c>
      <c r="F178" s="9"/>
    </row>
    <row r="179" spans="1:6">
      <c r="A179" s="8">
        <f ca="1">RAND()</f>
        <v>0.46655754159820995</v>
      </c>
      <c r="B179" s="8">
        <f ca="1">RAND()</f>
        <v>0.47704365557341355</v>
      </c>
      <c r="C179" s="8">
        <v>178</v>
      </c>
      <c r="D179" s="8">
        <f ca="1">CEILING(A179*35+60,0.2)</f>
        <v>76.400000000000006</v>
      </c>
      <c r="E179" s="8">
        <f ca="1">CEILING(B179*35+155,0.2)</f>
        <v>171.8</v>
      </c>
      <c r="F179" s="9"/>
    </row>
    <row r="180" spans="1:6">
      <c r="A180" s="8">
        <f ca="1">RAND()</f>
        <v>0.20675044036422163</v>
      </c>
      <c r="B180" s="8">
        <f ca="1">RAND()</f>
        <v>0.23820988144765043</v>
      </c>
      <c r="C180" s="8">
        <v>179</v>
      </c>
      <c r="D180" s="8">
        <f ca="1">CEILING(A180*35+60,0.2)</f>
        <v>67.400000000000006</v>
      </c>
      <c r="E180" s="8">
        <f ca="1">CEILING(B180*35+155,0.2)</f>
        <v>163.4</v>
      </c>
      <c r="F180" s="9"/>
    </row>
    <row r="181" spans="1:6">
      <c r="A181" s="8">
        <f ca="1">RAND()</f>
        <v>0.91300290893700808</v>
      </c>
      <c r="B181" s="8">
        <f ca="1">RAND()</f>
        <v>7.9783883635476172E-2</v>
      </c>
      <c r="C181" s="8">
        <v>180</v>
      </c>
      <c r="D181" s="8">
        <f ca="1">CEILING(A181*35+60,0.2)</f>
        <v>92</v>
      </c>
      <c r="E181" s="8">
        <f ca="1">CEILING(B181*35+155,0.2)</f>
        <v>157.80000000000001</v>
      </c>
      <c r="F181" s="9"/>
    </row>
    <row r="182" spans="1:6">
      <c r="A182" s="8">
        <f ca="1">RAND()</f>
        <v>0.57156804941919437</v>
      </c>
      <c r="B182" s="8">
        <f ca="1">RAND()</f>
        <v>0.93623408674293795</v>
      </c>
      <c r="C182" s="8">
        <v>181</v>
      </c>
      <c r="D182" s="8">
        <f ca="1">CEILING(A182*35+60,0.2)</f>
        <v>80.2</v>
      </c>
      <c r="E182" s="8">
        <f ca="1">CEILING(B182*35+155,0.2)</f>
        <v>187.8</v>
      </c>
      <c r="F182" s="9"/>
    </row>
    <row r="183" spans="1:6">
      <c r="A183" s="8">
        <f ca="1">RAND()</f>
        <v>0.77208833557849776</v>
      </c>
      <c r="B183" s="8">
        <f ca="1">RAND()</f>
        <v>0.96252509069255421</v>
      </c>
      <c r="C183" s="8">
        <v>182</v>
      </c>
      <c r="D183" s="8">
        <f ca="1">CEILING(A183*35+60,0.2)</f>
        <v>87.2</v>
      </c>
      <c r="E183" s="8">
        <f ca="1">CEILING(B183*35+155,0.2)</f>
        <v>188.8</v>
      </c>
      <c r="F183" s="9"/>
    </row>
    <row r="184" spans="1:6">
      <c r="A184" s="8">
        <f ca="1">RAND()</f>
        <v>0.76721088862157227</v>
      </c>
      <c r="B184" s="8">
        <f ca="1">RAND()</f>
        <v>0.49633135301739306</v>
      </c>
      <c r="C184" s="8">
        <v>183</v>
      </c>
      <c r="D184" s="8">
        <f ca="1">CEILING(A184*35+60,0.2)</f>
        <v>87</v>
      </c>
      <c r="E184" s="8">
        <f ca="1">CEILING(B184*35+155,0.2)</f>
        <v>172.4</v>
      </c>
      <c r="F184" s="9"/>
    </row>
    <row r="185" spans="1:6">
      <c r="A185" s="8">
        <f ca="1">RAND()</f>
        <v>0.59722589494428169</v>
      </c>
      <c r="B185" s="8">
        <f ca="1">RAND()</f>
        <v>0.19457055997014616</v>
      </c>
      <c r="C185" s="8">
        <v>184</v>
      </c>
      <c r="D185" s="8">
        <f ca="1">CEILING(A185*35+60,0.2)</f>
        <v>81</v>
      </c>
      <c r="E185" s="8">
        <f ca="1">CEILING(B185*35+155,0.2)</f>
        <v>162</v>
      </c>
      <c r="F185" s="9"/>
    </row>
    <row r="186" spans="1:6">
      <c r="A186" s="8">
        <f ca="1">RAND()</f>
        <v>0.7698473936757666</v>
      </c>
      <c r="B186" s="8">
        <f ca="1">RAND()</f>
        <v>0.81067166345539032</v>
      </c>
      <c r="C186" s="8">
        <v>185</v>
      </c>
      <c r="D186" s="8">
        <f ca="1">CEILING(A186*35+60,0.2)</f>
        <v>87</v>
      </c>
      <c r="E186" s="8">
        <f ca="1">CEILING(B186*35+155,0.2)</f>
        <v>183.4</v>
      </c>
      <c r="F186" s="9"/>
    </row>
    <row r="187" spans="1:6">
      <c r="A187" s="8">
        <f ca="1">RAND()</f>
        <v>0.13360613877011984</v>
      </c>
      <c r="B187" s="8">
        <f ca="1">RAND()</f>
        <v>0.45063557995859049</v>
      </c>
      <c r="C187" s="8">
        <v>186</v>
      </c>
      <c r="D187" s="8">
        <f ca="1">CEILING(A187*35+60,0.2)</f>
        <v>64.8</v>
      </c>
      <c r="E187" s="8">
        <f ca="1">CEILING(B187*35+155,0.2)</f>
        <v>170.8</v>
      </c>
      <c r="F187" s="9"/>
    </row>
    <row r="188" spans="1:6">
      <c r="A188" s="8">
        <f ca="1">RAND()</f>
        <v>0.72036969580558452</v>
      </c>
      <c r="B188" s="8">
        <f ca="1">RAND()</f>
        <v>0.83259079376046563</v>
      </c>
      <c r="C188" s="8">
        <v>187</v>
      </c>
      <c r="D188" s="8">
        <f ca="1">CEILING(A188*35+60,0.2)</f>
        <v>85.4</v>
      </c>
      <c r="E188" s="8">
        <f ca="1">CEILING(B188*35+155,0.2)</f>
        <v>184.20000000000002</v>
      </c>
      <c r="F188" s="9"/>
    </row>
    <row r="189" spans="1:6">
      <c r="A189" s="8">
        <f ca="1">RAND()</f>
        <v>0.86625744306419128</v>
      </c>
      <c r="B189" s="8">
        <f ca="1">RAND()</f>
        <v>0.12607316163099258</v>
      </c>
      <c r="C189" s="8">
        <v>188</v>
      </c>
      <c r="D189" s="8">
        <f ca="1">CEILING(A189*35+60,0.2)</f>
        <v>90.4</v>
      </c>
      <c r="E189" s="8">
        <f ca="1">CEILING(B189*35+155,0.2)</f>
        <v>159.60000000000002</v>
      </c>
      <c r="F189" s="9"/>
    </row>
    <row r="190" spans="1:6">
      <c r="A190" s="8">
        <f ca="1">RAND()</f>
        <v>0.57645926473739006</v>
      </c>
      <c r="B190" s="8">
        <f ca="1">RAND()</f>
        <v>0.17764712211498568</v>
      </c>
      <c r="C190" s="8">
        <v>189</v>
      </c>
      <c r="D190" s="8">
        <f ca="1">CEILING(A190*35+60,0.2)</f>
        <v>80.2</v>
      </c>
      <c r="E190" s="8">
        <f ca="1">CEILING(B190*35+155,0.2)</f>
        <v>161.4</v>
      </c>
      <c r="F190" s="9"/>
    </row>
    <row r="191" spans="1:6">
      <c r="A191" s="8">
        <f ca="1">RAND()</f>
        <v>0.47415276711142196</v>
      </c>
      <c r="B191" s="8">
        <f ca="1">RAND()</f>
        <v>0.21347806431295213</v>
      </c>
      <c r="C191" s="8">
        <v>190</v>
      </c>
      <c r="D191" s="8">
        <f ca="1">CEILING(A191*35+60,0.2)</f>
        <v>76.600000000000009</v>
      </c>
      <c r="E191" s="8">
        <f ca="1">CEILING(B191*35+155,0.2)</f>
        <v>162.60000000000002</v>
      </c>
      <c r="F191" s="9"/>
    </row>
    <row r="192" spans="1:6">
      <c r="A192" s="8">
        <f ca="1">RAND()</f>
        <v>0.31773831955725762</v>
      </c>
      <c r="B192" s="8">
        <f ca="1">RAND()</f>
        <v>0.64349886070068874</v>
      </c>
      <c r="C192" s="8">
        <v>191</v>
      </c>
      <c r="D192" s="8">
        <f ca="1">CEILING(A192*35+60,0.2)</f>
        <v>71.2</v>
      </c>
      <c r="E192" s="8">
        <f ca="1">CEILING(B192*35+155,0.2)</f>
        <v>177.60000000000002</v>
      </c>
      <c r="F192" s="9"/>
    </row>
    <row r="193" spans="1:6">
      <c r="A193" s="8">
        <f ca="1">RAND()</f>
        <v>3.8639325360285914E-2</v>
      </c>
      <c r="B193" s="8">
        <f ca="1">RAND()</f>
        <v>0.43373041970815507</v>
      </c>
      <c r="C193" s="8">
        <v>192</v>
      </c>
      <c r="D193" s="8">
        <f ca="1">CEILING(A193*35+60,0.2)</f>
        <v>61.400000000000006</v>
      </c>
      <c r="E193" s="8">
        <f ca="1">CEILING(B193*35+155,0.2)</f>
        <v>170.20000000000002</v>
      </c>
      <c r="F193" s="9"/>
    </row>
    <row r="194" spans="1:6">
      <c r="A194" s="8">
        <f ca="1">RAND()</f>
        <v>0.82061416321739988</v>
      </c>
      <c r="B194" s="8">
        <f ca="1">RAND()</f>
        <v>0.88785493603585508</v>
      </c>
      <c r="C194" s="8">
        <v>193</v>
      </c>
      <c r="D194" s="8">
        <f ca="1">CEILING(A194*35+60,0.2)</f>
        <v>88.800000000000011</v>
      </c>
      <c r="E194" s="8">
        <f ca="1">CEILING(B194*35+155,0.2)</f>
        <v>186.20000000000002</v>
      </c>
      <c r="F194" s="9"/>
    </row>
    <row r="195" spans="1:6">
      <c r="A195" s="8">
        <f ca="1">RAND()</f>
        <v>0.79984755104895278</v>
      </c>
      <c r="B195" s="8">
        <f ca="1">RAND()</f>
        <v>0.61876390684397231</v>
      </c>
      <c r="C195" s="8">
        <v>194</v>
      </c>
      <c r="D195" s="8">
        <f ca="1">CEILING(A195*35+60,0.2)</f>
        <v>88</v>
      </c>
      <c r="E195" s="8">
        <f ca="1">CEILING(B195*35+155,0.2)</f>
        <v>176.8</v>
      </c>
      <c r="F195" s="9"/>
    </row>
    <row r="196" spans="1:6">
      <c r="A196" s="8">
        <f ca="1">RAND()</f>
        <v>0.15929265408645576</v>
      </c>
      <c r="B196" s="8">
        <f ca="1">RAND()</f>
        <v>0.99670026429073466</v>
      </c>
      <c r="C196" s="8">
        <v>195</v>
      </c>
      <c r="D196" s="8">
        <f ca="1">CEILING(A196*35+60,0.2)</f>
        <v>65.600000000000009</v>
      </c>
      <c r="E196" s="8">
        <f ca="1">CEILING(B196*35+155,0.2)</f>
        <v>190</v>
      </c>
      <c r="F196" s="9"/>
    </row>
    <row r="197" spans="1:6">
      <c r="A197" s="8">
        <f ca="1">RAND()</f>
        <v>0.84023253465036696</v>
      </c>
      <c r="B197" s="8">
        <f ca="1">RAND()</f>
        <v>0.16431837932718973</v>
      </c>
      <c r="C197" s="8">
        <v>196</v>
      </c>
      <c r="D197" s="8">
        <f ca="1">CEILING(A197*35+60,0.2)</f>
        <v>89.600000000000009</v>
      </c>
      <c r="E197" s="8">
        <f ca="1">CEILING(B197*35+155,0.2)</f>
        <v>160.80000000000001</v>
      </c>
      <c r="F197" s="9"/>
    </row>
    <row r="198" spans="1:6">
      <c r="A198" s="8">
        <f ca="1">RAND()</f>
        <v>0.21605634060990586</v>
      </c>
      <c r="B198" s="8">
        <f ca="1">RAND()</f>
        <v>0.88266983606447147</v>
      </c>
      <c r="C198" s="8">
        <v>197</v>
      </c>
      <c r="D198" s="8">
        <f ca="1">CEILING(A198*35+60,0.2)</f>
        <v>67.600000000000009</v>
      </c>
      <c r="E198" s="8">
        <f ca="1">CEILING(B198*35+155,0.2)</f>
        <v>186</v>
      </c>
      <c r="F198" s="9"/>
    </row>
    <row r="199" spans="1:6">
      <c r="A199" s="8">
        <f ca="1">RAND()</f>
        <v>0.77377074175135763</v>
      </c>
      <c r="B199" s="8">
        <f ca="1">RAND()</f>
        <v>0.6022441688696557</v>
      </c>
      <c r="C199" s="8">
        <v>198</v>
      </c>
      <c r="D199" s="8">
        <f ca="1">CEILING(A199*35+60,0.2)</f>
        <v>87.2</v>
      </c>
      <c r="E199" s="8">
        <f ca="1">CEILING(B199*35+155,0.2)</f>
        <v>176.20000000000002</v>
      </c>
      <c r="F199" s="9"/>
    </row>
    <row r="200" spans="1:6">
      <c r="A200" s="8">
        <f ca="1">RAND()</f>
        <v>0.85455546740959254</v>
      </c>
      <c r="B200" s="8">
        <f ca="1">RAND()</f>
        <v>0.97616805700363629</v>
      </c>
      <c r="C200" s="8">
        <v>199</v>
      </c>
      <c r="D200" s="8">
        <f ca="1">CEILING(A200*35+60,0.2)</f>
        <v>90</v>
      </c>
      <c r="E200" s="8">
        <f ca="1">CEILING(B200*35+155,0.2)</f>
        <v>189.20000000000002</v>
      </c>
      <c r="F200" s="9"/>
    </row>
    <row r="201" spans="1:6">
      <c r="A201" s="8">
        <f ca="1">RAND()</f>
        <v>0.95655214611609041</v>
      </c>
      <c r="B201" s="8">
        <f ca="1">RAND()</f>
        <v>6.7309877728252698E-2</v>
      </c>
      <c r="C201" s="8">
        <v>200</v>
      </c>
      <c r="D201" s="8">
        <f ca="1">CEILING(A201*35+60,0.2)</f>
        <v>93.600000000000009</v>
      </c>
      <c r="E201" s="8">
        <f ca="1">CEILING(B201*35+155,0.2)</f>
        <v>157.4</v>
      </c>
      <c r="F201" s="9"/>
    </row>
    <row r="202" spans="1:6">
      <c r="A202" s="8">
        <f ca="1">RAND()</f>
        <v>0.40725452870380441</v>
      </c>
      <c r="B202" s="8">
        <f ca="1">RAND()</f>
        <v>0.60654324137055804</v>
      </c>
      <c r="C202" s="8">
        <v>201</v>
      </c>
      <c r="D202" s="8">
        <f ca="1">CEILING(A202*35+60,0.2)</f>
        <v>74.400000000000006</v>
      </c>
      <c r="E202" s="8">
        <f ca="1">CEILING(B202*35+155,0.2)</f>
        <v>176.4</v>
      </c>
      <c r="F202" s="9"/>
    </row>
    <row r="203" spans="1:6">
      <c r="A203" s="8">
        <f ca="1">RAND()</f>
        <v>0.41769133959704718</v>
      </c>
      <c r="B203" s="8">
        <f ca="1">RAND()</f>
        <v>0.55266616654317857</v>
      </c>
      <c r="C203" s="8">
        <v>202</v>
      </c>
      <c r="D203" s="8">
        <f ca="1">CEILING(A203*35+60,0.2)</f>
        <v>74.8</v>
      </c>
      <c r="E203" s="8">
        <f ca="1">CEILING(B203*35+155,0.2)</f>
        <v>174.4</v>
      </c>
      <c r="F203" s="9"/>
    </row>
    <row r="204" spans="1:6">
      <c r="A204" s="8">
        <f ca="1">RAND()</f>
        <v>0.71832375079934119</v>
      </c>
      <c r="B204" s="8">
        <f ca="1">RAND()</f>
        <v>0.60446067491888533</v>
      </c>
      <c r="C204" s="8">
        <v>203</v>
      </c>
      <c r="D204" s="8">
        <f ca="1">CEILING(A204*35+60,0.2)</f>
        <v>85.2</v>
      </c>
      <c r="E204" s="8">
        <f ca="1">CEILING(B204*35+155,0.2)</f>
        <v>176.20000000000002</v>
      </c>
      <c r="F204" s="9"/>
    </row>
    <row r="205" spans="1:6">
      <c r="A205" s="8">
        <f ca="1">RAND()</f>
        <v>0.46135359100932838</v>
      </c>
      <c r="B205" s="8">
        <f ca="1">RAND()</f>
        <v>0.64950089991044035</v>
      </c>
      <c r="C205" s="8">
        <v>204</v>
      </c>
      <c r="D205" s="8">
        <f ca="1">CEILING(A205*35+60,0.2)</f>
        <v>76.2</v>
      </c>
      <c r="E205" s="8">
        <f ca="1">CEILING(B205*35+155,0.2)</f>
        <v>177.8</v>
      </c>
      <c r="F205" s="9"/>
    </row>
    <row r="206" spans="1:6">
      <c r="A206" s="8">
        <f ca="1">RAND()</f>
        <v>0.70879140456700529</v>
      </c>
      <c r="B206" s="8">
        <f ca="1">RAND()</f>
        <v>0.3304980758371423</v>
      </c>
      <c r="C206" s="8">
        <v>205</v>
      </c>
      <c r="D206" s="8">
        <f ca="1">CEILING(A206*35+60,0.2)</f>
        <v>85</v>
      </c>
      <c r="E206" s="8">
        <f ca="1">CEILING(B206*35+155,0.2)</f>
        <v>166.60000000000002</v>
      </c>
      <c r="F206" s="9"/>
    </row>
    <row r="207" spans="1:6">
      <c r="A207" s="8">
        <f ca="1">RAND()</f>
        <v>0.74029162812131877</v>
      </c>
      <c r="B207" s="8">
        <f ca="1">RAND()</f>
        <v>7.8838541050694988E-2</v>
      </c>
      <c r="C207" s="8">
        <v>206</v>
      </c>
      <c r="D207" s="8">
        <f ca="1">CEILING(A207*35+60,0.2)</f>
        <v>86</v>
      </c>
      <c r="E207" s="8">
        <f ca="1">CEILING(B207*35+155,0.2)</f>
        <v>157.80000000000001</v>
      </c>
      <c r="F207" s="9"/>
    </row>
    <row r="208" spans="1:6">
      <c r="A208" s="8">
        <f ca="1">RAND()</f>
        <v>0.51339999859371543</v>
      </c>
      <c r="B208" s="8">
        <f ca="1">RAND()</f>
        <v>0.3828209355325306</v>
      </c>
      <c r="C208" s="8">
        <v>207</v>
      </c>
      <c r="D208" s="8">
        <f ca="1">CEILING(A208*35+60,0.2)</f>
        <v>78</v>
      </c>
      <c r="E208" s="8">
        <f ca="1">CEILING(B208*35+155,0.2)</f>
        <v>168.4</v>
      </c>
      <c r="F208" s="9"/>
    </row>
    <row r="209" spans="1:6">
      <c r="A209" s="8">
        <f ca="1">RAND()</f>
        <v>0.62532016589823747</v>
      </c>
      <c r="B209" s="8">
        <f ca="1">RAND()</f>
        <v>0.31482019112213044</v>
      </c>
      <c r="C209" s="8">
        <v>208</v>
      </c>
      <c r="D209" s="8">
        <f ca="1">CEILING(A209*35+60,0.2)</f>
        <v>82</v>
      </c>
      <c r="E209" s="8">
        <f ca="1">CEILING(B209*35+155,0.2)</f>
        <v>166.20000000000002</v>
      </c>
      <c r="F209" s="9"/>
    </row>
    <row r="210" spans="1:6">
      <c r="A210" s="8">
        <f ca="1">RAND()</f>
        <v>5.972389622499541E-2</v>
      </c>
      <c r="B210" s="8">
        <f ca="1">RAND()</f>
        <v>0.55878168215287249</v>
      </c>
      <c r="C210" s="8">
        <v>209</v>
      </c>
      <c r="D210" s="8">
        <f ca="1">CEILING(A210*35+60,0.2)</f>
        <v>62.2</v>
      </c>
      <c r="E210" s="8">
        <f ca="1">CEILING(B210*35+155,0.2)</f>
        <v>174.60000000000002</v>
      </c>
      <c r="F210" s="9"/>
    </row>
    <row r="211" spans="1:6">
      <c r="A211" s="8">
        <f ca="1">RAND()</f>
        <v>0.3560022018685236</v>
      </c>
      <c r="B211" s="8">
        <f ca="1">RAND()</f>
        <v>0.86659860388455301</v>
      </c>
      <c r="C211" s="8">
        <v>210</v>
      </c>
      <c r="D211" s="8">
        <f ca="1">CEILING(A211*35+60,0.2)</f>
        <v>72.600000000000009</v>
      </c>
      <c r="E211" s="8">
        <f ca="1">CEILING(B211*35+155,0.2)</f>
        <v>185.4</v>
      </c>
      <c r="F211" s="9"/>
    </row>
    <row r="212" spans="1:6">
      <c r="A212" s="8">
        <f ca="1">RAND()</f>
        <v>1.2946721644254477E-2</v>
      </c>
      <c r="B212" s="8">
        <f ca="1">RAND()</f>
        <v>6.9778203422890872E-2</v>
      </c>
      <c r="C212" s="8">
        <v>211</v>
      </c>
      <c r="D212" s="8">
        <f ca="1">CEILING(A212*35+60,0.2)</f>
        <v>60.6</v>
      </c>
      <c r="E212" s="8">
        <f ca="1">CEILING(B212*35+155,0.2)</f>
        <v>157.60000000000002</v>
      </c>
      <c r="F212" s="9"/>
    </row>
    <row r="213" spans="1:6">
      <c r="A213" s="8">
        <f ca="1">RAND()</f>
        <v>0.27028771757074432</v>
      </c>
      <c r="B213" s="8">
        <f ca="1">RAND()</f>
        <v>0.78788151742528723</v>
      </c>
      <c r="C213" s="8">
        <v>212</v>
      </c>
      <c r="D213" s="8">
        <f ca="1">CEILING(A213*35+60,0.2)</f>
        <v>69.600000000000009</v>
      </c>
      <c r="E213" s="8">
        <f ca="1">CEILING(B213*35+155,0.2)</f>
        <v>182.60000000000002</v>
      </c>
      <c r="F213" s="9"/>
    </row>
    <row r="214" spans="1:6">
      <c r="A214" s="8">
        <f ca="1">RAND()</f>
        <v>0.15066462944739578</v>
      </c>
      <c r="B214" s="8">
        <f ca="1">RAND()</f>
        <v>0.3738085112967876</v>
      </c>
      <c r="C214" s="8">
        <v>213</v>
      </c>
      <c r="D214" s="8">
        <f ca="1">CEILING(A214*35+60,0.2)</f>
        <v>65.400000000000006</v>
      </c>
      <c r="E214" s="8">
        <f ca="1">CEILING(B214*35+155,0.2)</f>
        <v>168.20000000000002</v>
      </c>
      <c r="F214" s="9"/>
    </row>
    <row r="215" spans="1:6">
      <c r="A215" s="8">
        <f ca="1">RAND()</f>
        <v>0.83249847135289512</v>
      </c>
      <c r="B215" s="8">
        <f ca="1">RAND()</f>
        <v>0.99759476083880205</v>
      </c>
      <c r="C215" s="8">
        <v>214</v>
      </c>
      <c r="D215" s="8">
        <f ca="1">CEILING(A215*35+60,0.2)</f>
        <v>89.2</v>
      </c>
      <c r="E215" s="8">
        <f ca="1">CEILING(B215*35+155,0.2)</f>
        <v>190</v>
      </c>
      <c r="F215" s="9"/>
    </row>
    <row r="216" spans="1:6">
      <c r="A216" s="8">
        <f ca="1">RAND()</f>
        <v>5.4024902380211959E-4</v>
      </c>
      <c r="B216" s="8">
        <f ca="1">RAND()</f>
        <v>0.20559006897290355</v>
      </c>
      <c r="C216" s="8">
        <v>215</v>
      </c>
      <c r="D216" s="8">
        <f ca="1">CEILING(A216*35+60,0.2)</f>
        <v>60.2</v>
      </c>
      <c r="E216" s="8">
        <f ca="1">CEILING(B216*35+155,0.2)</f>
        <v>162.20000000000002</v>
      </c>
      <c r="F216" s="9"/>
    </row>
    <row r="217" spans="1:6">
      <c r="A217" s="8">
        <f ca="1">RAND()</f>
        <v>0.92329570661360494</v>
      </c>
      <c r="B217" s="8">
        <f ca="1">RAND()</f>
        <v>0.67232402076411057</v>
      </c>
      <c r="C217" s="8">
        <v>216</v>
      </c>
      <c r="D217" s="8">
        <f ca="1">CEILING(A217*35+60,0.2)</f>
        <v>92.4</v>
      </c>
      <c r="E217" s="8">
        <f ca="1">CEILING(B217*35+155,0.2)</f>
        <v>178.60000000000002</v>
      </c>
      <c r="F217" s="9"/>
    </row>
    <row r="218" spans="1:6">
      <c r="A218" s="8">
        <f ca="1">RAND()</f>
        <v>0.53980656526205339</v>
      </c>
      <c r="B218" s="8">
        <f ca="1">RAND()</f>
        <v>0.46710319641180731</v>
      </c>
      <c r="C218" s="8">
        <v>217</v>
      </c>
      <c r="D218" s="8">
        <f ca="1">CEILING(A218*35+60,0.2)</f>
        <v>79</v>
      </c>
      <c r="E218" s="8">
        <f ca="1">CEILING(B218*35+155,0.2)</f>
        <v>171.4</v>
      </c>
      <c r="F218" s="9"/>
    </row>
    <row r="219" spans="1:6">
      <c r="A219" s="8">
        <f ca="1">RAND()</f>
        <v>0.53826006981635666</v>
      </c>
      <c r="B219" s="8">
        <f ca="1">RAND()</f>
        <v>0.21988044266770734</v>
      </c>
      <c r="C219" s="8">
        <v>218</v>
      </c>
      <c r="D219" s="8">
        <f ca="1">CEILING(A219*35+60,0.2)</f>
        <v>79</v>
      </c>
      <c r="E219" s="8">
        <f ca="1">CEILING(B219*35+155,0.2)</f>
        <v>162.80000000000001</v>
      </c>
      <c r="F219" s="9"/>
    </row>
    <row r="220" spans="1:6">
      <c r="A220" s="8">
        <f ca="1">RAND()</f>
        <v>4.0756612379599599E-2</v>
      </c>
      <c r="B220" s="8">
        <f ca="1">RAND()</f>
        <v>0.37405685047909698</v>
      </c>
      <c r="C220" s="8">
        <v>219</v>
      </c>
      <c r="D220" s="8">
        <f ca="1">CEILING(A220*35+60,0.2)</f>
        <v>61.6</v>
      </c>
      <c r="E220" s="8">
        <f ca="1">CEILING(B220*35+155,0.2)</f>
        <v>168.20000000000002</v>
      </c>
      <c r="F220" s="9"/>
    </row>
    <row r="221" spans="1:6">
      <c r="A221" s="8">
        <f ca="1">RAND()</f>
        <v>0.82841070390350824</v>
      </c>
      <c r="B221" s="8">
        <f ca="1">RAND()</f>
        <v>0.66095592542920956</v>
      </c>
      <c r="C221" s="8">
        <v>220</v>
      </c>
      <c r="D221" s="8">
        <f ca="1">CEILING(A221*35+60,0.2)</f>
        <v>89</v>
      </c>
      <c r="E221" s="8">
        <f ca="1">CEILING(B221*35+155,0.2)</f>
        <v>178.20000000000002</v>
      </c>
      <c r="F221" s="9"/>
    </row>
    <row r="222" spans="1:6">
      <c r="A222" s="8">
        <f ca="1">RAND()</f>
        <v>0.56478445613678585</v>
      </c>
      <c r="B222" s="8">
        <f ca="1">RAND()</f>
        <v>0.20198988468612811</v>
      </c>
      <c r="C222" s="8">
        <v>221</v>
      </c>
      <c r="D222" s="8">
        <f ca="1">CEILING(A222*35+60,0.2)</f>
        <v>79.800000000000011</v>
      </c>
      <c r="E222" s="8">
        <f ca="1">CEILING(B222*35+155,0.2)</f>
        <v>162.20000000000002</v>
      </c>
      <c r="F222" s="9"/>
    </row>
    <row r="223" spans="1:6">
      <c r="A223" s="8">
        <f ca="1">RAND()</f>
        <v>0.33421578734440549</v>
      </c>
      <c r="B223" s="8">
        <f ca="1">RAND()</f>
        <v>0.57508727215376032</v>
      </c>
      <c r="C223" s="8">
        <v>222</v>
      </c>
      <c r="D223" s="8">
        <f ca="1">CEILING(A223*35+60,0.2)</f>
        <v>71.8</v>
      </c>
      <c r="E223" s="8">
        <f ca="1">CEILING(B223*35+155,0.2)</f>
        <v>175.20000000000002</v>
      </c>
      <c r="F223" s="9"/>
    </row>
    <row r="224" spans="1:6">
      <c r="A224" s="8">
        <f ca="1">RAND()</f>
        <v>0.20241178557167827</v>
      </c>
      <c r="B224" s="8">
        <f ca="1">RAND()</f>
        <v>0.92430884498205468</v>
      </c>
      <c r="C224" s="8">
        <v>223</v>
      </c>
      <c r="D224" s="8">
        <f ca="1">CEILING(A224*35+60,0.2)</f>
        <v>67.2</v>
      </c>
      <c r="E224" s="8">
        <f ca="1">CEILING(B224*35+155,0.2)</f>
        <v>187.4</v>
      </c>
      <c r="F224" s="9"/>
    </row>
    <row r="225" spans="1:6">
      <c r="A225" s="8">
        <f ca="1">RAND()</f>
        <v>0.87824544525787684</v>
      </c>
      <c r="B225" s="8">
        <f ca="1">RAND()</f>
        <v>4.2827767000082839E-2</v>
      </c>
      <c r="C225" s="8">
        <v>224</v>
      </c>
      <c r="D225" s="8">
        <f ca="1">CEILING(A225*35+60,0.2)</f>
        <v>90.800000000000011</v>
      </c>
      <c r="E225" s="8">
        <f ca="1">CEILING(B225*35+155,0.2)</f>
        <v>156.60000000000002</v>
      </c>
      <c r="F225" s="9"/>
    </row>
    <row r="226" spans="1:6">
      <c r="A226" s="8">
        <f ca="1">RAND()</f>
        <v>0.25442086635531991</v>
      </c>
      <c r="B226" s="8">
        <f ca="1">RAND()</f>
        <v>0.77432118641885317</v>
      </c>
      <c r="C226" s="8">
        <v>225</v>
      </c>
      <c r="D226" s="8">
        <f ca="1">CEILING(A226*35+60,0.2)</f>
        <v>69</v>
      </c>
      <c r="E226" s="8">
        <f ca="1">CEILING(B226*35+155,0.2)</f>
        <v>182.20000000000002</v>
      </c>
      <c r="F226" s="9"/>
    </row>
    <row r="227" spans="1:6">
      <c r="A227" s="8">
        <f ca="1">RAND()</f>
        <v>0.15598978641565631</v>
      </c>
      <c r="B227" s="8">
        <f ca="1">RAND()</f>
        <v>7.1780649543791264E-2</v>
      </c>
      <c r="C227" s="8">
        <v>226</v>
      </c>
      <c r="D227" s="8">
        <f ca="1">CEILING(A227*35+60,0.2)</f>
        <v>65.600000000000009</v>
      </c>
      <c r="E227" s="8">
        <f ca="1">CEILING(B227*35+155,0.2)</f>
        <v>157.60000000000002</v>
      </c>
      <c r="F227" s="9"/>
    </row>
    <row r="228" spans="1:6">
      <c r="A228" s="8">
        <f ca="1">RAND()</f>
        <v>0.44136212188545343</v>
      </c>
      <c r="B228" s="8">
        <f ca="1">RAND()</f>
        <v>0.5510903273054607</v>
      </c>
      <c r="C228" s="8">
        <v>227</v>
      </c>
      <c r="D228" s="8">
        <f ca="1">CEILING(A228*35+60,0.2)</f>
        <v>75.600000000000009</v>
      </c>
      <c r="E228" s="8">
        <f ca="1">CEILING(B228*35+155,0.2)</f>
        <v>174.4</v>
      </c>
      <c r="F228" s="9"/>
    </row>
    <row r="229" spans="1:6">
      <c r="A229" s="8">
        <f ca="1">RAND()</f>
        <v>0.83238802280963997</v>
      </c>
      <c r="B229" s="8">
        <f ca="1">RAND()</f>
        <v>0.83674376428103581</v>
      </c>
      <c r="C229" s="8">
        <v>228</v>
      </c>
      <c r="D229" s="8">
        <f ca="1">CEILING(A229*35+60,0.2)</f>
        <v>89.2</v>
      </c>
      <c r="E229" s="8">
        <f ca="1">CEILING(B229*35+155,0.2)</f>
        <v>184.4</v>
      </c>
      <c r="F229" s="9"/>
    </row>
    <row r="230" spans="1:6">
      <c r="A230" s="8">
        <f ca="1">RAND()</f>
        <v>0.6449286461885515</v>
      </c>
      <c r="B230" s="8">
        <f ca="1">RAND()</f>
        <v>4.2913897310400628E-2</v>
      </c>
      <c r="C230" s="8">
        <v>229</v>
      </c>
      <c r="D230" s="8">
        <f ca="1">CEILING(A230*35+60,0.2)</f>
        <v>82.600000000000009</v>
      </c>
      <c r="E230" s="8">
        <f ca="1">CEILING(B230*35+155,0.2)</f>
        <v>156.60000000000002</v>
      </c>
      <c r="F230" s="9"/>
    </row>
    <row r="231" spans="1:6">
      <c r="A231" s="8">
        <f ca="1">RAND()</f>
        <v>0.94192072513817204</v>
      </c>
      <c r="B231" s="8">
        <f ca="1">RAND()</f>
        <v>0.52904003977047132</v>
      </c>
      <c r="C231" s="8">
        <v>230</v>
      </c>
      <c r="D231" s="8">
        <f ca="1">CEILING(A231*35+60,0.2)</f>
        <v>93</v>
      </c>
      <c r="E231" s="8">
        <f ca="1">CEILING(B231*35+155,0.2)</f>
        <v>173.60000000000002</v>
      </c>
      <c r="F231" s="9"/>
    </row>
    <row r="232" spans="1:6">
      <c r="A232" s="8">
        <f ca="1">RAND()</f>
        <v>0.11332414082110143</v>
      </c>
      <c r="B232" s="8">
        <f ca="1">RAND()</f>
        <v>0.96730725470437784</v>
      </c>
      <c r="C232" s="8">
        <v>231</v>
      </c>
      <c r="D232" s="8">
        <f ca="1">CEILING(A232*35+60,0.2)</f>
        <v>64</v>
      </c>
      <c r="E232" s="8">
        <f ca="1">CEILING(B232*35+155,0.2)</f>
        <v>189</v>
      </c>
      <c r="F232" s="9"/>
    </row>
    <row r="233" spans="1:6">
      <c r="A233" s="8">
        <f ca="1">RAND()</f>
        <v>0.92875615829647562</v>
      </c>
      <c r="B233" s="8">
        <f ca="1">RAND()</f>
        <v>0.99695620031087229</v>
      </c>
      <c r="C233" s="8">
        <v>232</v>
      </c>
      <c r="D233" s="8">
        <f ca="1">CEILING(A233*35+60,0.2)</f>
        <v>92.600000000000009</v>
      </c>
      <c r="E233" s="8">
        <f ca="1">CEILING(B233*35+155,0.2)</f>
        <v>190</v>
      </c>
      <c r="F233" s="9"/>
    </row>
    <row r="234" spans="1:6">
      <c r="A234" s="8">
        <f ca="1">RAND()</f>
        <v>0.60724778626360099</v>
      </c>
      <c r="B234" s="8">
        <f ca="1">RAND()</f>
        <v>0.55983403493315764</v>
      </c>
      <c r="C234" s="8">
        <v>233</v>
      </c>
      <c r="D234" s="8">
        <f ca="1">CEILING(A234*35+60,0.2)</f>
        <v>81.400000000000006</v>
      </c>
      <c r="E234" s="8">
        <f ca="1">CEILING(B234*35+155,0.2)</f>
        <v>174.60000000000002</v>
      </c>
      <c r="F234" s="9"/>
    </row>
    <row r="235" spans="1:6">
      <c r="A235" s="8">
        <f ca="1">RAND()</f>
        <v>0.79210095102640621</v>
      </c>
      <c r="B235" s="8">
        <f ca="1">RAND()</f>
        <v>0.77264529037292096</v>
      </c>
      <c r="C235" s="8">
        <v>234</v>
      </c>
      <c r="D235" s="8">
        <f ca="1">CEILING(A235*35+60,0.2)</f>
        <v>87.800000000000011</v>
      </c>
      <c r="E235" s="8">
        <f ca="1">CEILING(B235*35+155,0.2)</f>
        <v>182.20000000000002</v>
      </c>
      <c r="F235" s="9"/>
    </row>
    <row r="236" spans="1:6">
      <c r="A236" s="8">
        <f ca="1">RAND()</f>
        <v>0.3274260828461304</v>
      </c>
      <c r="B236" s="8">
        <f ca="1">RAND()</f>
        <v>0.85761874442787467</v>
      </c>
      <c r="C236" s="8">
        <v>235</v>
      </c>
      <c r="D236" s="8">
        <f ca="1">CEILING(A236*35+60,0.2)</f>
        <v>71.600000000000009</v>
      </c>
      <c r="E236" s="8">
        <f ca="1">CEILING(B236*35+155,0.2)</f>
        <v>185.20000000000002</v>
      </c>
      <c r="F236" s="9"/>
    </row>
    <row r="237" spans="1:6">
      <c r="A237" s="8">
        <f ca="1">RAND()</f>
        <v>0.54593930746303065</v>
      </c>
      <c r="B237" s="8">
        <f ca="1">RAND()</f>
        <v>0.50965969678698986</v>
      </c>
      <c r="C237" s="8">
        <v>236</v>
      </c>
      <c r="D237" s="8">
        <f ca="1">CEILING(A237*35+60,0.2)</f>
        <v>79.2</v>
      </c>
      <c r="E237" s="8">
        <f ca="1">CEILING(B237*35+155,0.2)</f>
        <v>173</v>
      </c>
      <c r="F237" s="9"/>
    </row>
    <row r="238" spans="1:6">
      <c r="A238" s="8">
        <f ca="1">RAND()</f>
        <v>0.89887924007702169</v>
      </c>
      <c r="B238" s="8">
        <f ca="1">RAND()</f>
        <v>0.77192817937874303</v>
      </c>
      <c r="C238" s="8">
        <v>237</v>
      </c>
      <c r="D238" s="8">
        <f ca="1">CEILING(A238*35+60,0.2)</f>
        <v>91.600000000000009</v>
      </c>
      <c r="E238" s="8">
        <f ca="1">CEILING(B238*35+155,0.2)</f>
        <v>182.20000000000002</v>
      </c>
      <c r="F238" s="9"/>
    </row>
    <row r="239" spans="1:6">
      <c r="A239" s="8">
        <f ca="1">RAND()</f>
        <v>0.70857290018225305</v>
      </c>
      <c r="B239" s="8">
        <f ca="1">RAND()</f>
        <v>0.50007199839408067</v>
      </c>
      <c r="C239" s="8">
        <v>238</v>
      </c>
      <c r="D239" s="8">
        <f ca="1">CEILING(A239*35+60,0.2)</f>
        <v>85</v>
      </c>
      <c r="E239" s="8">
        <f ca="1">CEILING(B239*35+155,0.2)</f>
        <v>172.60000000000002</v>
      </c>
      <c r="F239" s="9"/>
    </row>
    <row r="240" spans="1:6">
      <c r="A240" s="8">
        <f ca="1">RAND()</f>
        <v>0.98765424949800817</v>
      </c>
      <c r="B240" s="8">
        <f ca="1">RAND()</f>
        <v>0.95078841896802968</v>
      </c>
      <c r="C240" s="8">
        <v>239</v>
      </c>
      <c r="D240" s="8">
        <f ca="1">CEILING(A240*35+60,0.2)</f>
        <v>94.600000000000009</v>
      </c>
      <c r="E240" s="8">
        <f ca="1">CEILING(B240*35+155,0.2)</f>
        <v>188.4</v>
      </c>
      <c r="F240" s="9"/>
    </row>
    <row r="241" spans="1:6">
      <c r="A241" s="8">
        <f ca="1">RAND()</f>
        <v>0.41812502698667053</v>
      </c>
      <c r="B241" s="8">
        <f ca="1">RAND()</f>
        <v>0.23548108459648021</v>
      </c>
      <c r="C241" s="8">
        <v>240</v>
      </c>
      <c r="D241" s="8">
        <f ca="1">CEILING(A241*35+60,0.2)</f>
        <v>74.8</v>
      </c>
      <c r="E241" s="8">
        <f ca="1">CEILING(B241*35+155,0.2)</f>
        <v>163.4</v>
      </c>
      <c r="F241" s="9"/>
    </row>
    <row r="242" spans="1:6">
      <c r="A242" s="8">
        <f ca="1">RAND()</f>
        <v>0.26105881671607456</v>
      </c>
      <c r="B242" s="8">
        <f ca="1">RAND()</f>
        <v>0.79919738993280609</v>
      </c>
      <c r="C242" s="8">
        <v>241</v>
      </c>
      <c r="D242" s="8">
        <f ca="1">CEILING(A242*35+60,0.2)</f>
        <v>69.2</v>
      </c>
      <c r="E242" s="8">
        <f ca="1">CEILING(B242*35+155,0.2)</f>
        <v>183</v>
      </c>
      <c r="F242" s="9"/>
    </row>
    <row r="243" spans="1:6">
      <c r="A243" s="8">
        <f ca="1">RAND()</f>
        <v>0.55700200675079614</v>
      </c>
      <c r="B243" s="8">
        <f ca="1">RAND()</f>
        <v>0.62623734623111538</v>
      </c>
      <c r="C243" s="8">
        <v>242</v>
      </c>
      <c r="D243" s="8">
        <f ca="1">CEILING(A243*35+60,0.2)</f>
        <v>79.600000000000009</v>
      </c>
      <c r="E243" s="8">
        <f ca="1">CEILING(B243*35+155,0.2)</f>
        <v>177</v>
      </c>
      <c r="F243" s="9"/>
    </row>
    <row r="244" spans="1:6">
      <c r="A244" s="8">
        <f ca="1">RAND()</f>
        <v>0.12700870346863935</v>
      </c>
      <c r="B244" s="8">
        <f ca="1">RAND()</f>
        <v>0.59628050484775064</v>
      </c>
      <c r="C244" s="8">
        <v>243</v>
      </c>
      <c r="D244" s="8">
        <f ca="1">CEILING(A244*35+60,0.2)</f>
        <v>64.600000000000009</v>
      </c>
      <c r="E244" s="8">
        <f ca="1">CEILING(B244*35+155,0.2)</f>
        <v>176</v>
      </c>
      <c r="F244" s="9"/>
    </row>
    <row r="245" spans="1:6">
      <c r="A245" s="8">
        <f ca="1">RAND()</f>
        <v>0.55143841727402754</v>
      </c>
      <c r="B245" s="8">
        <f ca="1">RAND()</f>
        <v>0.90092376362772186</v>
      </c>
      <c r="C245" s="8">
        <v>244</v>
      </c>
      <c r="D245" s="8">
        <f ca="1">CEILING(A245*35+60,0.2)</f>
        <v>79.400000000000006</v>
      </c>
      <c r="E245" s="8">
        <f ca="1">CEILING(B245*35+155,0.2)</f>
        <v>186.60000000000002</v>
      </c>
      <c r="F245" s="9"/>
    </row>
    <row r="246" spans="1:6">
      <c r="A246" s="8">
        <f ca="1">RAND()</f>
        <v>0.14332687278164202</v>
      </c>
      <c r="B246" s="8">
        <f ca="1">RAND()</f>
        <v>0.41199484762546801</v>
      </c>
      <c r="C246" s="8">
        <v>245</v>
      </c>
      <c r="D246" s="8">
        <f ca="1">CEILING(A246*35+60,0.2)</f>
        <v>65.2</v>
      </c>
      <c r="E246" s="8">
        <f ca="1">CEILING(B246*35+155,0.2)</f>
        <v>169.60000000000002</v>
      </c>
      <c r="F246" s="9"/>
    </row>
    <row r="247" spans="1:6">
      <c r="A247" s="8">
        <f ca="1">RAND()</f>
        <v>6.5340576459453681E-2</v>
      </c>
      <c r="B247" s="8">
        <f ca="1">RAND()</f>
        <v>0.66798254342150276</v>
      </c>
      <c r="C247" s="8">
        <v>246</v>
      </c>
      <c r="D247" s="8">
        <f ca="1">CEILING(A247*35+60,0.2)</f>
        <v>62.400000000000006</v>
      </c>
      <c r="E247" s="8">
        <f ca="1">CEILING(B247*35+155,0.2)</f>
        <v>178.4</v>
      </c>
      <c r="F247" s="9"/>
    </row>
    <row r="248" spans="1:6">
      <c r="A248" s="8">
        <f ca="1">RAND()</f>
        <v>0.25482031366431512</v>
      </c>
      <c r="B248" s="8">
        <f ca="1">RAND()</f>
        <v>0.63399026387153257</v>
      </c>
      <c r="C248" s="8">
        <v>247</v>
      </c>
      <c r="D248" s="8">
        <f ca="1">CEILING(A248*35+60,0.2)</f>
        <v>69</v>
      </c>
      <c r="E248" s="8">
        <f ca="1">CEILING(B248*35+155,0.2)</f>
        <v>177.20000000000002</v>
      </c>
      <c r="F248" s="9"/>
    </row>
    <row r="249" spans="1:6">
      <c r="A249" s="8">
        <f ca="1">RAND()</f>
        <v>0.11425236094504077</v>
      </c>
      <c r="B249" s="8">
        <f ca="1">RAND()</f>
        <v>0.75870325543020822</v>
      </c>
      <c r="C249" s="8">
        <v>248</v>
      </c>
      <c r="D249" s="8">
        <f ca="1">CEILING(A249*35+60,0.2)</f>
        <v>64</v>
      </c>
      <c r="E249" s="8">
        <f ca="1">CEILING(B249*35+155,0.2)</f>
        <v>181.60000000000002</v>
      </c>
      <c r="F249" s="9"/>
    </row>
    <row r="250" spans="1:6">
      <c r="A250" s="8">
        <f ca="1">RAND()</f>
        <v>0.79516613120830437</v>
      </c>
      <c r="B250" s="8">
        <f ca="1">RAND()</f>
        <v>0.829736832735682</v>
      </c>
      <c r="C250" s="8">
        <v>249</v>
      </c>
      <c r="D250" s="8">
        <f ca="1">CEILING(A250*35+60,0.2)</f>
        <v>88</v>
      </c>
      <c r="E250" s="8">
        <f ca="1">CEILING(B250*35+155,0.2)</f>
        <v>184.20000000000002</v>
      </c>
      <c r="F250" s="9"/>
    </row>
    <row r="251" spans="1:6">
      <c r="A251" s="8">
        <f ca="1">RAND()</f>
        <v>0.18257949238429283</v>
      </c>
      <c r="B251" s="8">
        <f ca="1">RAND()</f>
        <v>0.20494011396815504</v>
      </c>
      <c r="C251" s="8">
        <v>250</v>
      </c>
      <c r="D251" s="8">
        <f ca="1">CEILING(A251*35+60,0.2)</f>
        <v>66.400000000000006</v>
      </c>
      <c r="E251" s="8">
        <f ca="1">CEILING(B251*35+155,0.2)</f>
        <v>162.20000000000002</v>
      </c>
      <c r="F251" s="9"/>
    </row>
    <row r="252" spans="1:6">
      <c r="A252" s="8">
        <f ca="1">RAND()</f>
        <v>0.61240242549675883</v>
      </c>
      <c r="B252" s="8">
        <f ca="1">RAND()</f>
        <v>0.61885156292737276</v>
      </c>
      <c r="C252" s="8">
        <v>251</v>
      </c>
      <c r="D252" s="8">
        <f ca="1">CEILING(A252*35+60,0.2)</f>
        <v>81.600000000000009</v>
      </c>
      <c r="E252" s="8">
        <f ca="1">CEILING(B252*35+155,0.2)</f>
        <v>176.8</v>
      </c>
      <c r="F252" s="9"/>
    </row>
    <row r="253" spans="1:6">
      <c r="A253" s="8">
        <f ca="1">RAND()</f>
        <v>0.15532802745754881</v>
      </c>
      <c r="B253" s="8">
        <f ca="1">RAND()</f>
        <v>0.67759871256522664</v>
      </c>
      <c r="C253" s="8">
        <v>252</v>
      </c>
      <c r="D253" s="8">
        <f ca="1">CEILING(A253*35+60,0.2)</f>
        <v>65.600000000000009</v>
      </c>
      <c r="E253" s="8">
        <f ca="1">CEILING(B253*35+155,0.2)</f>
        <v>178.8</v>
      </c>
      <c r="F253" s="9"/>
    </row>
    <row r="254" spans="1:6">
      <c r="A254" s="8">
        <f ca="1">RAND()</f>
        <v>2.8635810315357335E-2</v>
      </c>
      <c r="B254" s="8">
        <f ca="1">RAND()</f>
        <v>0.18118323683288318</v>
      </c>
      <c r="C254" s="8">
        <v>253</v>
      </c>
      <c r="D254" s="8">
        <f ca="1">CEILING(A254*35+60,0.2)</f>
        <v>61.2</v>
      </c>
      <c r="E254" s="8">
        <f ca="1">CEILING(B254*35+155,0.2)</f>
        <v>161.4</v>
      </c>
      <c r="F254" s="9"/>
    </row>
    <row r="255" spans="1:6">
      <c r="A255" s="8">
        <f ca="1">RAND()</f>
        <v>0.34567211086299798</v>
      </c>
      <c r="B255" s="8">
        <f ca="1">RAND()</f>
        <v>0.25615999570701842</v>
      </c>
      <c r="C255" s="8">
        <v>254</v>
      </c>
      <c r="D255" s="8">
        <f ca="1">CEILING(A255*35+60,0.2)</f>
        <v>72.2</v>
      </c>
      <c r="E255" s="8">
        <f ca="1">CEILING(B255*35+155,0.2)</f>
        <v>164</v>
      </c>
      <c r="F255" s="9"/>
    </row>
    <row r="256" spans="1:6">
      <c r="A256" s="8">
        <f ca="1">RAND()</f>
        <v>0.39321110599781062</v>
      </c>
      <c r="B256" s="8">
        <f ca="1">RAND()</f>
        <v>0.83407479978457089</v>
      </c>
      <c r="C256" s="8">
        <v>255</v>
      </c>
      <c r="D256" s="8">
        <f ca="1">CEILING(A256*35+60,0.2)</f>
        <v>73.8</v>
      </c>
      <c r="E256" s="8">
        <f ca="1">CEILING(B256*35+155,0.2)</f>
        <v>184.20000000000002</v>
      </c>
      <c r="F256" s="9"/>
    </row>
    <row r="257" spans="1:6">
      <c r="A257" s="8">
        <f ca="1">RAND()</f>
        <v>0.41267281442474268</v>
      </c>
      <c r="B257" s="8">
        <f ca="1">RAND()</f>
        <v>0.56475470583235299</v>
      </c>
      <c r="C257" s="8">
        <v>256</v>
      </c>
      <c r="D257" s="8">
        <f ca="1">CEILING(A257*35+60,0.2)</f>
        <v>74.600000000000009</v>
      </c>
      <c r="E257" s="8">
        <f ca="1">CEILING(B257*35+155,0.2)</f>
        <v>174.8</v>
      </c>
      <c r="F257" s="9"/>
    </row>
    <row r="258" spans="1:6">
      <c r="A258" s="8">
        <f ca="1">RAND()</f>
        <v>0.20964947967448433</v>
      </c>
      <c r="B258" s="8">
        <f ca="1">RAND()</f>
        <v>0.19687097317253865</v>
      </c>
      <c r="C258" s="8">
        <v>257</v>
      </c>
      <c r="D258" s="8">
        <f ca="1">CEILING(A258*35+60,0.2)</f>
        <v>67.400000000000006</v>
      </c>
      <c r="E258" s="8">
        <f ca="1">CEILING(B258*35+155,0.2)</f>
        <v>162</v>
      </c>
      <c r="F258" s="9"/>
    </row>
    <row r="259" spans="1:6">
      <c r="A259" s="8">
        <f ca="1">RAND()</f>
        <v>0.21720490105017198</v>
      </c>
      <c r="B259" s="8">
        <f ca="1">RAND()</f>
        <v>0.95933038048167352</v>
      </c>
      <c r="C259" s="8">
        <v>258</v>
      </c>
      <c r="D259" s="8">
        <f ca="1">CEILING(A259*35+60,0.2)</f>
        <v>67.8</v>
      </c>
      <c r="E259" s="8">
        <f ca="1">CEILING(B259*35+155,0.2)</f>
        <v>188.60000000000002</v>
      </c>
      <c r="F259" s="9"/>
    </row>
    <row r="260" spans="1:6">
      <c r="A260" s="8">
        <f ca="1">RAND()</f>
        <v>0.74141359689181763</v>
      </c>
      <c r="B260" s="8">
        <f ca="1">RAND()</f>
        <v>0.92632634372261247</v>
      </c>
      <c r="C260" s="8">
        <v>259</v>
      </c>
      <c r="D260" s="8">
        <f ca="1">CEILING(A260*35+60,0.2)</f>
        <v>86</v>
      </c>
      <c r="E260" s="8">
        <f ca="1">CEILING(B260*35+155,0.2)</f>
        <v>187.60000000000002</v>
      </c>
      <c r="F260" s="9"/>
    </row>
    <row r="261" spans="1:6">
      <c r="A261" s="8">
        <f ca="1">RAND()</f>
        <v>0.96050259050492126</v>
      </c>
      <c r="B261" s="8">
        <f ca="1">RAND()</f>
        <v>0.57449662955923697</v>
      </c>
      <c r="C261" s="8">
        <v>260</v>
      </c>
      <c r="D261" s="8">
        <f ca="1">CEILING(A261*35+60,0.2)</f>
        <v>93.800000000000011</v>
      </c>
      <c r="E261" s="8">
        <f ca="1">CEILING(B261*35+155,0.2)</f>
        <v>175.20000000000002</v>
      </c>
      <c r="F261" s="9"/>
    </row>
    <row r="262" spans="1:6">
      <c r="A262" s="8">
        <f ca="1">RAND()</f>
        <v>0.44353581282049748</v>
      </c>
      <c r="B262" s="8">
        <f ca="1">RAND()</f>
        <v>0.84920004239380265</v>
      </c>
      <c r="C262" s="8">
        <v>261</v>
      </c>
      <c r="D262" s="8">
        <f ca="1">CEILING(A262*35+60,0.2)</f>
        <v>75.600000000000009</v>
      </c>
      <c r="E262" s="8">
        <f ca="1">CEILING(B262*35+155,0.2)</f>
        <v>184.8</v>
      </c>
      <c r="F262" s="9"/>
    </row>
    <row r="263" spans="1:6">
      <c r="A263" s="8">
        <f ca="1">RAND()</f>
        <v>0.62479877675234141</v>
      </c>
      <c r="B263" s="8">
        <f ca="1">RAND()</f>
        <v>0.96920536258583223</v>
      </c>
      <c r="C263" s="8">
        <v>262</v>
      </c>
      <c r="D263" s="8">
        <f ca="1">CEILING(A263*35+60,0.2)</f>
        <v>82</v>
      </c>
      <c r="E263" s="8">
        <f ca="1">CEILING(B263*35+155,0.2)</f>
        <v>189</v>
      </c>
      <c r="F263" s="9"/>
    </row>
    <row r="264" spans="1:6">
      <c r="A264" s="8">
        <f ca="1">RAND()</f>
        <v>0.70363659325688022</v>
      </c>
      <c r="B264" s="8">
        <f ca="1">RAND()</f>
        <v>0.61305279835055593</v>
      </c>
      <c r="C264" s="8">
        <v>263</v>
      </c>
      <c r="D264" s="8">
        <f ca="1">CEILING(A264*35+60,0.2)</f>
        <v>84.800000000000011</v>
      </c>
      <c r="E264" s="8">
        <f ca="1">CEILING(B264*35+155,0.2)</f>
        <v>176.60000000000002</v>
      </c>
      <c r="F264" s="9"/>
    </row>
    <row r="265" spans="1:6">
      <c r="A265" s="8">
        <f ca="1">RAND()</f>
        <v>0.91895647228424748</v>
      </c>
      <c r="B265" s="8">
        <f ca="1">RAND()</f>
        <v>0.42916831242707132</v>
      </c>
      <c r="C265" s="8">
        <v>264</v>
      </c>
      <c r="D265" s="8">
        <f ca="1">CEILING(A265*35+60,0.2)</f>
        <v>92.2</v>
      </c>
      <c r="E265" s="8">
        <f ca="1">CEILING(B265*35+155,0.2)</f>
        <v>170.20000000000002</v>
      </c>
      <c r="F265" s="9"/>
    </row>
    <row r="266" spans="1:6">
      <c r="A266" s="8">
        <f ca="1">RAND()</f>
        <v>0.16901710441353224</v>
      </c>
      <c r="B266" s="8">
        <f ca="1">RAND()</f>
        <v>0.62925703296204993</v>
      </c>
      <c r="C266" s="8">
        <v>265</v>
      </c>
      <c r="D266" s="8">
        <f ca="1">CEILING(A266*35+60,0.2)</f>
        <v>66</v>
      </c>
      <c r="E266" s="8">
        <f ca="1">CEILING(B266*35+155,0.2)</f>
        <v>177.20000000000002</v>
      </c>
      <c r="F266" s="9"/>
    </row>
    <row r="267" spans="1:6">
      <c r="A267" s="8">
        <f ca="1">RAND()</f>
        <v>0.35543284629229954</v>
      </c>
      <c r="B267" s="8">
        <f ca="1">RAND()</f>
        <v>0.98492526384829948</v>
      </c>
      <c r="C267" s="8">
        <v>266</v>
      </c>
      <c r="D267" s="8">
        <f ca="1">CEILING(A267*35+60,0.2)</f>
        <v>72.600000000000009</v>
      </c>
      <c r="E267" s="8">
        <f ca="1">CEILING(B267*35+155,0.2)</f>
        <v>189.60000000000002</v>
      </c>
      <c r="F267" s="9"/>
    </row>
    <row r="268" spans="1:6">
      <c r="A268" s="8">
        <f ca="1">RAND()</f>
        <v>0.69313747901343392</v>
      </c>
      <c r="B268" s="8">
        <f ca="1">RAND()</f>
        <v>0.62602677908663318</v>
      </c>
      <c r="C268" s="8">
        <v>267</v>
      </c>
      <c r="D268" s="8">
        <f ca="1">CEILING(A268*35+60,0.2)</f>
        <v>84.4</v>
      </c>
      <c r="E268" s="8">
        <f ca="1">CEILING(B268*35+155,0.2)</f>
        <v>177</v>
      </c>
      <c r="F268" s="9"/>
    </row>
    <row r="269" spans="1:6">
      <c r="A269" s="8">
        <f ca="1">RAND()</f>
        <v>0.4920996932151902</v>
      </c>
      <c r="B269" s="8">
        <f ca="1">RAND()</f>
        <v>0.94599078273898807</v>
      </c>
      <c r="C269" s="8">
        <v>268</v>
      </c>
      <c r="D269" s="8">
        <f ca="1">CEILING(A269*35+60,0.2)</f>
        <v>77.400000000000006</v>
      </c>
      <c r="E269" s="8">
        <f ca="1">CEILING(B269*35+155,0.2)</f>
        <v>188.20000000000002</v>
      </c>
      <c r="F269" s="9"/>
    </row>
    <row r="270" spans="1:6">
      <c r="A270" s="8">
        <f ca="1">RAND()</f>
        <v>0.66390288442339529</v>
      </c>
      <c r="B270" s="8">
        <f ca="1">RAND()</f>
        <v>0.37715610179784731</v>
      </c>
      <c r="C270" s="8">
        <v>269</v>
      </c>
      <c r="D270" s="8">
        <f ca="1">CEILING(A270*35+60,0.2)</f>
        <v>83.4</v>
      </c>
      <c r="E270" s="8">
        <f ca="1">CEILING(B270*35+155,0.2)</f>
        <v>168.4</v>
      </c>
      <c r="F270" s="9"/>
    </row>
    <row r="271" spans="1:6">
      <c r="A271" s="8">
        <f ca="1">RAND()</f>
        <v>0.55467593197207232</v>
      </c>
      <c r="B271" s="8">
        <f ca="1">RAND()</f>
        <v>0.15250839510382752</v>
      </c>
      <c r="C271" s="8">
        <v>270</v>
      </c>
      <c r="D271" s="8">
        <f ca="1">CEILING(A271*35+60,0.2)</f>
        <v>79.600000000000009</v>
      </c>
      <c r="E271" s="8">
        <f ca="1">CEILING(B271*35+155,0.2)</f>
        <v>160.4</v>
      </c>
      <c r="F271" s="9"/>
    </row>
    <row r="272" spans="1:6">
      <c r="A272" s="8">
        <f ca="1">RAND()</f>
        <v>0.54883433054503217</v>
      </c>
      <c r="B272" s="8">
        <f ca="1">RAND()</f>
        <v>0.36434743333852382</v>
      </c>
      <c r="C272" s="8">
        <v>271</v>
      </c>
      <c r="D272" s="8">
        <f ca="1">CEILING(A272*35+60,0.2)</f>
        <v>79.400000000000006</v>
      </c>
      <c r="E272" s="8">
        <f ca="1">CEILING(B272*35+155,0.2)</f>
        <v>167.8</v>
      </c>
      <c r="F272" s="9"/>
    </row>
    <row r="273" spans="1:6">
      <c r="A273" s="8">
        <f ca="1">RAND()</f>
        <v>0.33677315138114006</v>
      </c>
      <c r="B273" s="8">
        <f ca="1">RAND()</f>
        <v>0.18967326558523545</v>
      </c>
      <c r="C273" s="8">
        <v>272</v>
      </c>
      <c r="D273" s="8">
        <f ca="1">CEILING(A273*35+60,0.2)</f>
        <v>71.8</v>
      </c>
      <c r="E273" s="8">
        <f ca="1">CEILING(B273*35+155,0.2)</f>
        <v>161.80000000000001</v>
      </c>
      <c r="F273" s="9"/>
    </row>
    <row r="274" spans="1:6">
      <c r="A274" s="8">
        <f ca="1">RAND()</f>
        <v>4.6386907232686236E-2</v>
      </c>
      <c r="B274" s="8">
        <f ca="1">RAND()</f>
        <v>0.64608705543547418</v>
      </c>
      <c r="C274" s="8">
        <v>273</v>
      </c>
      <c r="D274" s="8">
        <f ca="1">CEILING(A274*35+60,0.2)</f>
        <v>61.800000000000004</v>
      </c>
      <c r="E274" s="8">
        <f ca="1">CEILING(B274*35+155,0.2)</f>
        <v>177.8</v>
      </c>
      <c r="F274" s="9"/>
    </row>
    <row r="275" spans="1:6">
      <c r="A275" s="8">
        <f ca="1">RAND()</f>
        <v>0.65025760305168356</v>
      </c>
      <c r="B275" s="8">
        <f ca="1">RAND()</f>
        <v>0.19952312772158931</v>
      </c>
      <c r="C275" s="8">
        <v>274</v>
      </c>
      <c r="D275" s="8">
        <f ca="1">CEILING(A275*35+60,0.2)</f>
        <v>82.800000000000011</v>
      </c>
      <c r="E275" s="8">
        <f ca="1">CEILING(B275*35+155,0.2)</f>
        <v>162</v>
      </c>
      <c r="F275" s="9"/>
    </row>
    <row r="276" spans="1:6">
      <c r="A276" s="8">
        <f ca="1">RAND()</f>
        <v>0.4888156900606736</v>
      </c>
      <c r="B276" s="8">
        <f ca="1">RAND()</f>
        <v>0.73767752928219599</v>
      </c>
      <c r="C276" s="8">
        <v>275</v>
      </c>
      <c r="D276" s="8">
        <f ca="1">CEILING(A276*35+60,0.2)</f>
        <v>77.2</v>
      </c>
      <c r="E276" s="8">
        <f ca="1">CEILING(B276*35+155,0.2)</f>
        <v>181</v>
      </c>
      <c r="F276" s="9"/>
    </row>
    <row r="277" spans="1:6">
      <c r="A277" s="8">
        <f ca="1">RAND()</f>
        <v>0.83727973689111712</v>
      </c>
      <c r="B277" s="8">
        <f ca="1">RAND()</f>
        <v>0.47946512637731609</v>
      </c>
      <c r="C277" s="8">
        <v>276</v>
      </c>
      <c r="D277" s="8">
        <f ca="1">CEILING(A277*35+60,0.2)</f>
        <v>89.4</v>
      </c>
      <c r="E277" s="8">
        <f ca="1">CEILING(B277*35+155,0.2)</f>
        <v>171.8</v>
      </c>
      <c r="F277" s="9"/>
    </row>
    <row r="278" spans="1:6">
      <c r="A278" s="8">
        <f ca="1">RAND()</f>
        <v>0.32372996652060282</v>
      </c>
      <c r="B278" s="8">
        <f ca="1">RAND()</f>
        <v>0.11190881578183687</v>
      </c>
      <c r="C278" s="8">
        <v>277</v>
      </c>
      <c r="D278" s="8">
        <f ca="1">CEILING(A278*35+60,0.2)</f>
        <v>71.400000000000006</v>
      </c>
      <c r="E278" s="8">
        <f ca="1">CEILING(B278*35+155,0.2)</f>
        <v>159</v>
      </c>
      <c r="F278" s="9"/>
    </row>
    <row r="279" spans="1:6">
      <c r="A279" s="8">
        <f ca="1">RAND()</f>
        <v>0.55509996079045054</v>
      </c>
      <c r="B279" s="8">
        <f ca="1">RAND()</f>
        <v>0.53380743838939149</v>
      </c>
      <c r="C279" s="8">
        <v>278</v>
      </c>
      <c r="D279" s="8">
        <f ca="1">CEILING(A279*35+60,0.2)</f>
        <v>79.600000000000009</v>
      </c>
      <c r="E279" s="8">
        <f ca="1">CEILING(B279*35+155,0.2)</f>
        <v>173.8</v>
      </c>
      <c r="F279" s="9"/>
    </row>
    <row r="280" spans="1:6">
      <c r="A280" s="8">
        <f ca="1">RAND()</f>
        <v>0.87599007147834795</v>
      </c>
      <c r="B280" s="8">
        <f ca="1">RAND()</f>
        <v>0.81460027991327666</v>
      </c>
      <c r="C280" s="8">
        <v>279</v>
      </c>
      <c r="D280" s="8">
        <f ca="1">CEILING(A280*35+60,0.2)</f>
        <v>90.800000000000011</v>
      </c>
      <c r="E280" s="8">
        <f ca="1">CEILING(B280*35+155,0.2)</f>
        <v>183.60000000000002</v>
      </c>
      <c r="F280" s="9"/>
    </row>
    <row r="281" spans="1:6">
      <c r="A281" s="8">
        <f ca="1">RAND()</f>
        <v>0.46934222730576836</v>
      </c>
      <c r="B281" s="8">
        <f ca="1">RAND()</f>
        <v>0.11747813046758226</v>
      </c>
      <c r="C281" s="8">
        <v>280</v>
      </c>
      <c r="D281" s="8">
        <f ca="1">CEILING(A281*35+60,0.2)</f>
        <v>76.600000000000009</v>
      </c>
      <c r="E281" s="8">
        <f ca="1">CEILING(B281*35+155,0.2)</f>
        <v>159.20000000000002</v>
      </c>
      <c r="F281" s="9"/>
    </row>
    <row r="282" spans="1:6">
      <c r="A282" s="8">
        <f ca="1">RAND()</f>
        <v>0.94652113796075232</v>
      </c>
      <c r="B282" s="8">
        <f ca="1">RAND()</f>
        <v>0.85048707538104973</v>
      </c>
      <c r="C282" s="8">
        <v>281</v>
      </c>
      <c r="D282" s="8">
        <f ca="1">CEILING(A282*35+60,0.2)</f>
        <v>93.2</v>
      </c>
      <c r="E282" s="8">
        <f ca="1">CEILING(B282*35+155,0.2)</f>
        <v>184.8</v>
      </c>
      <c r="F282" s="9"/>
    </row>
    <row r="283" spans="1:6">
      <c r="A283" s="8">
        <f ca="1">RAND()</f>
        <v>0.77827808971758872</v>
      </c>
      <c r="B283" s="8">
        <f ca="1">RAND()</f>
        <v>0.19965201338556726</v>
      </c>
      <c r="C283" s="8">
        <v>282</v>
      </c>
      <c r="D283" s="8">
        <f ca="1">CEILING(A283*35+60,0.2)</f>
        <v>87.4</v>
      </c>
      <c r="E283" s="8">
        <f ca="1">CEILING(B283*35+155,0.2)</f>
        <v>162</v>
      </c>
      <c r="F283" s="9"/>
    </row>
    <row r="284" spans="1:6">
      <c r="A284" s="8">
        <f ca="1">RAND()</f>
        <v>0.59110279714891389</v>
      </c>
      <c r="B284" s="8">
        <f ca="1">RAND()</f>
        <v>0.47763778573130433</v>
      </c>
      <c r="C284" s="8">
        <v>283</v>
      </c>
      <c r="D284" s="8">
        <f ca="1">CEILING(A284*35+60,0.2)</f>
        <v>80.800000000000011</v>
      </c>
      <c r="E284" s="8">
        <f ca="1">CEILING(B284*35+155,0.2)</f>
        <v>171.8</v>
      </c>
      <c r="F284" s="9"/>
    </row>
    <row r="285" spans="1:6">
      <c r="A285" s="8">
        <f ca="1">RAND()</f>
        <v>0.97728812677435994</v>
      </c>
      <c r="B285" s="8">
        <f ca="1">RAND()</f>
        <v>0.93484123789132434</v>
      </c>
      <c r="C285" s="8">
        <v>284</v>
      </c>
      <c r="D285" s="8">
        <f ca="1">CEILING(A285*35+60,0.2)</f>
        <v>94.4</v>
      </c>
      <c r="E285" s="8">
        <f ca="1">CEILING(B285*35+155,0.2)</f>
        <v>187.8</v>
      </c>
      <c r="F285" s="9"/>
    </row>
    <row r="286" spans="1:6">
      <c r="A286" s="8">
        <f ca="1">RAND()</f>
        <v>0.19621888626077233</v>
      </c>
      <c r="B286" s="8">
        <f ca="1">RAND()</f>
        <v>0.12792157808216431</v>
      </c>
      <c r="C286" s="8">
        <v>285</v>
      </c>
      <c r="D286" s="8">
        <f ca="1">CEILING(A286*35+60,0.2)</f>
        <v>67</v>
      </c>
      <c r="E286" s="8">
        <f ca="1">CEILING(B286*35+155,0.2)</f>
        <v>159.60000000000002</v>
      </c>
      <c r="F286" s="9"/>
    </row>
    <row r="287" spans="1:6">
      <c r="A287" s="8">
        <f ca="1">RAND()</f>
        <v>0.26117270701826978</v>
      </c>
      <c r="B287" s="8">
        <f ca="1">RAND()</f>
        <v>0.52200054550325603</v>
      </c>
      <c r="C287" s="8">
        <v>286</v>
      </c>
      <c r="D287" s="8">
        <f ca="1">CEILING(A287*35+60,0.2)</f>
        <v>69.2</v>
      </c>
      <c r="E287" s="8">
        <f ca="1">CEILING(B287*35+155,0.2)</f>
        <v>173.4</v>
      </c>
      <c r="F287" s="9"/>
    </row>
    <row r="288" spans="1:6">
      <c r="A288" s="8">
        <f ca="1">RAND()</f>
        <v>0.95400857666614691</v>
      </c>
      <c r="B288" s="8">
        <f ca="1">RAND()</f>
        <v>2.6149721054129715E-2</v>
      </c>
      <c r="C288" s="8">
        <v>287</v>
      </c>
      <c r="D288" s="8">
        <f ca="1">CEILING(A288*35+60,0.2)</f>
        <v>93.4</v>
      </c>
      <c r="E288" s="8">
        <f ca="1">CEILING(B288*35+155,0.2)</f>
        <v>156</v>
      </c>
      <c r="F288" s="9"/>
    </row>
    <row r="289" spans="1:6">
      <c r="A289" s="8">
        <f ca="1">RAND()</f>
        <v>0.17876201762063304</v>
      </c>
      <c r="B289" s="8">
        <f ca="1">RAND()</f>
        <v>0.96881134478560971</v>
      </c>
      <c r="C289" s="8">
        <v>288</v>
      </c>
      <c r="D289" s="8">
        <f ca="1">CEILING(A289*35+60,0.2)</f>
        <v>66.400000000000006</v>
      </c>
      <c r="E289" s="8">
        <f ca="1">CEILING(B289*35+155,0.2)</f>
        <v>189</v>
      </c>
      <c r="F289" s="9"/>
    </row>
    <row r="290" spans="1:6">
      <c r="A290" s="8">
        <f ca="1">RAND()</f>
        <v>0.70816122830106631</v>
      </c>
      <c r="B290" s="8">
        <f ca="1">RAND()</f>
        <v>0.30854919057179186</v>
      </c>
      <c r="C290" s="8">
        <v>289</v>
      </c>
      <c r="D290" s="8">
        <f ca="1">CEILING(A290*35+60,0.2)</f>
        <v>84.800000000000011</v>
      </c>
      <c r="E290" s="8">
        <f ca="1">CEILING(B290*35+155,0.2)</f>
        <v>165.8</v>
      </c>
      <c r="F290" s="9"/>
    </row>
    <row r="291" spans="1:6">
      <c r="A291" s="8">
        <f ca="1">RAND()</f>
        <v>0.24793207035750675</v>
      </c>
      <c r="B291" s="8">
        <f ca="1">RAND()</f>
        <v>0.84178077537199802</v>
      </c>
      <c r="C291" s="8">
        <v>290</v>
      </c>
      <c r="D291" s="8">
        <f ca="1">CEILING(A291*35+60,0.2)</f>
        <v>68.8</v>
      </c>
      <c r="E291" s="8">
        <f ca="1">CEILING(B291*35+155,0.2)</f>
        <v>184.60000000000002</v>
      </c>
      <c r="F291" s="9"/>
    </row>
    <row r="292" spans="1:6">
      <c r="A292" s="8">
        <f ca="1">RAND()</f>
        <v>0.49491006005064686</v>
      </c>
      <c r="B292" s="8">
        <f ca="1">RAND()</f>
        <v>0.19387111909601629</v>
      </c>
      <c r="C292" s="8">
        <v>291</v>
      </c>
      <c r="D292" s="8">
        <f ca="1">CEILING(A292*35+60,0.2)</f>
        <v>77.400000000000006</v>
      </c>
      <c r="E292" s="8">
        <f ca="1">CEILING(B292*35+155,0.2)</f>
        <v>161.80000000000001</v>
      </c>
      <c r="F292" s="9"/>
    </row>
    <row r="293" spans="1:6">
      <c r="A293" s="8">
        <f ca="1">RAND()</f>
        <v>0.1701469886845195</v>
      </c>
      <c r="B293" s="8">
        <f ca="1">RAND()</f>
        <v>0.79668945719338258</v>
      </c>
      <c r="C293" s="8">
        <v>292</v>
      </c>
      <c r="D293" s="8">
        <f ca="1">CEILING(A293*35+60,0.2)</f>
        <v>66</v>
      </c>
      <c r="E293" s="8">
        <f ca="1">CEILING(B293*35+155,0.2)</f>
        <v>183</v>
      </c>
      <c r="F293" s="9"/>
    </row>
    <row r="294" spans="1:6">
      <c r="A294" s="8">
        <f ca="1">RAND()</f>
        <v>0.58577081084220761</v>
      </c>
      <c r="B294" s="8">
        <f ca="1">RAND()</f>
        <v>0.244911756336741</v>
      </c>
      <c r="C294" s="8">
        <v>293</v>
      </c>
      <c r="D294" s="8">
        <f ca="1">CEILING(A294*35+60,0.2)</f>
        <v>80.600000000000009</v>
      </c>
      <c r="E294" s="8">
        <f ca="1">CEILING(B294*35+155,0.2)</f>
        <v>163.60000000000002</v>
      </c>
      <c r="F294" s="9"/>
    </row>
    <row r="295" spans="1:6">
      <c r="A295" s="8">
        <f ca="1">RAND()</f>
        <v>0.27347815832430944</v>
      </c>
      <c r="B295" s="8">
        <f ca="1">RAND()</f>
        <v>0.21317104774240436</v>
      </c>
      <c r="C295" s="8">
        <v>294</v>
      </c>
      <c r="D295" s="8">
        <f ca="1">CEILING(A295*35+60,0.2)</f>
        <v>69.600000000000009</v>
      </c>
      <c r="E295" s="8">
        <f ca="1">CEILING(B295*35+155,0.2)</f>
        <v>162.60000000000002</v>
      </c>
      <c r="F295" s="9"/>
    </row>
    <row r="296" spans="1:6">
      <c r="A296" s="8">
        <f ca="1">RAND()</f>
        <v>0.49914978785513198</v>
      </c>
      <c r="B296" s="8">
        <f ca="1">RAND()</f>
        <v>4.5020116747218286E-2</v>
      </c>
      <c r="C296" s="8">
        <v>295</v>
      </c>
      <c r="D296" s="8">
        <f ca="1">CEILING(A296*35+60,0.2)</f>
        <v>77.600000000000009</v>
      </c>
      <c r="E296" s="8">
        <f ca="1">CEILING(B296*35+155,0.2)</f>
        <v>156.60000000000002</v>
      </c>
      <c r="F296" s="9"/>
    </row>
    <row r="297" spans="1:6">
      <c r="A297" s="8">
        <f ca="1">RAND()</f>
        <v>0.97675196320979707</v>
      </c>
      <c r="B297" s="8">
        <f ca="1">RAND()</f>
        <v>0.71660230204027164</v>
      </c>
      <c r="C297" s="8">
        <v>296</v>
      </c>
      <c r="D297" s="8">
        <f ca="1">CEILING(A297*35+60,0.2)</f>
        <v>94.2</v>
      </c>
      <c r="E297" s="8">
        <f ca="1">CEILING(B297*35+155,0.2)</f>
        <v>180.20000000000002</v>
      </c>
      <c r="F297" s="9"/>
    </row>
    <row r="298" spans="1:6">
      <c r="A298" s="8">
        <f ca="1">RAND()</f>
        <v>0.14718068838061116</v>
      </c>
      <c r="B298" s="8">
        <f ca="1">RAND()</f>
        <v>0.11041694107724342</v>
      </c>
      <c r="C298" s="8">
        <v>297</v>
      </c>
      <c r="D298" s="8">
        <f ca="1">CEILING(A298*35+60,0.2)</f>
        <v>65.2</v>
      </c>
      <c r="E298" s="8">
        <f ca="1">CEILING(B298*35+155,0.2)</f>
        <v>159</v>
      </c>
      <c r="F298" s="9"/>
    </row>
    <row r="299" spans="1:6">
      <c r="A299" s="8">
        <f ca="1">RAND()</f>
        <v>0.21617692738707017</v>
      </c>
      <c r="B299" s="8">
        <f ca="1">RAND()</f>
        <v>0.29338531449265526</v>
      </c>
      <c r="C299" s="8">
        <v>298</v>
      </c>
      <c r="D299" s="8">
        <f ca="1">CEILING(A299*35+60,0.2)</f>
        <v>67.600000000000009</v>
      </c>
      <c r="E299" s="8">
        <f ca="1">CEILING(B299*35+155,0.2)</f>
        <v>165.4</v>
      </c>
      <c r="F299" s="9"/>
    </row>
    <row r="300" spans="1:6">
      <c r="A300" s="8">
        <f ca="1">RAND()</f>
        <v>0.66022065081717063</v>
      </c>
      <c r="B300" s="8">
        <f ca="1">RAND()</f>
        <v>0.69766789865885892</v>
      </c>
      <c r="C300" s="8">
        <v>299</v>
      </c>
      <c r="D300" s="8">
        <f ca="1">CEILING(A300*35+60,0.2)</f>
        <v>83.2</v>
      </c>
      <c r="E300" s="8">
        <f ca="1">CEILING(B300*35+155,0.2)</f>
        <v>179.60000000000002</v>
      </c>
      <c r="F300" s="9"/>
    </row>
    <row r="301" spans="1:6">
      <c r="A301" s="8">
        <f ca="1">RAND()</f>
        <v>0.72069638286747684</v>
      </c>
      <c r="B301" s="8">
        <f ca="1">RAND()</f>
        <v>0.21751113940221034</v>
      </c>
      <c r="C301" s="8">
        <v>300</v>
      </c>
      <c r="D301" s="8">
        <f ca="1">CEILING(A301*35+60,0.2)</f>
        <v>85.4</v>
      </c>
      <c r="E301" s="8">
        <f ca="1">CEILING(B301*35+155,0.2)</f>
        <v>162.80000000000001</v>
      </c>
      <c r="F301" s="9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27"/>
  <sheetViews>
    <sheetView topLeftCell="B1" workbookViewId="0">
      <selection activeCell="J10" sqref="J10"/>
    </sheetView>
  </sheetViews>
  <sheetFormatPr defaultRowHeight="12.75"/>
  <cols>
    <col min="1" max="1" width="3.140625" style="13" customWidth="1"/>
    <col min="2" max="2" width="2.7109375" style="13" customWidth="1"/>
    <col min="3" max="3" width="4.5703125" style="13" customWidth="1"/>
    <col min="4" max="4" width="21.42578125" style="14" customWidth="1"/>
    <col min="5" max="5" width="43.85546875" style="13" customWidth="1"/>
    <col min="6" max="6" width="11.28515625" style="13" customWidth="1"/>
    <col min="7" max="7" width="15.5703125" style="13" customWidth="1"/>
    <col min="8" max="8" width="17.7109375" style="13" customWidth="1"/>
    <col min="9" max="9" width="15.7109375" style="13" customWidth="1"/>
    <col min="10" max="10" width="14.42578125" style="13" customWidth="1"/>
    <col min="11" max="16384" width="9.140625" style="13"/>
  </cols>
  <sheetData>
    <row r="1" spans="2:10" ht="13.5" thickBot="1"/>
    <row r="2" spans="2:10" ht="30.75" customHeight="1">
      <c r="C2" s="35" t="s">
        <v>25</v>
      </c>
      <c r="D2" s="34"/>
      <c r="G2" s="80" t="s">
        <v>26</v>
      </c>
      <c r="H2" s="80"/>
      <c r="I2" s="31"/>
    </row>
    <row r="3" spans="2:10" ht="30.75" customHeight="1" thickBot="1">
      <c r="C3" s="33" t="s">
        <v>27</v>
      </c>
      <c r="D3" s="32"/>
      <c r="G3" s="80" t="s">
        <v>28</v>
      </c>
      <c r="H3" s="80"/>
      <c r="I3" s="31"/>
    </row>
    <row r="4" spans="2:10" ht="55.5" customHeight="1"/>
    <row r="5" spans="2:10" ht="77.25" customHeight="1"/>
    <row r="6" spans="2:10" ht="18.75" customHeight="1"/>
    <row r="7" spans="2:10" customFormat="1" ht="18.75" customHeight="1" thickBot="1"/>
    <row r="8" spans="2:10" s="29" customFormat="1" ht="24" customHeight="1">
      <c r="D8" s="14"/>
      <c r="F8" s="30"/>
      <c r="G8" s="81" t="s">
        <v>29</v>
      </c>
      <c r="H8" s="82"/>
      <c r="I8" s="82"/>
      <c r="J8" s="83"/>
    </row>
    <row r="9" spans="2:10" ht="23.25" customHeight="1" thickBot="1">
      <c r="F9" s="28" t="s">
        <v>30</v>
      </c>
      <c r="G9" s="27" t="s">
        <v>31</v>
      </c>
      <c r="H9" s="26" t="s">
        <v>32</v>
      </c>
      <c r="I9" s="26" t="s">
        <v>33</v>
      </c>
      <c r="J9" s="25" t="s">
        <v>34</v>
      </c>
    </row>
    <row r="10" spans="2:10">
      <c r="B10"/>
      <c r="C10"/>
      <c r="D10" s="18" t="s">
        <v>35</v>
      </c>
      <c r="E10" s="17" t="s">
        <v>36</v>
      </c>
      <c r="F10" s="16">
        <v>2002</v>
      </c>
      <c r="G10" s="15">
        <v>340</v>
      </c>
      <c r="H10" s="62"/>
      <c r="I10" s="61"/>
      <c r="J10" s="60"/>
    </row>
    <row r="11" spans="2:10">
      <c r="B11"/>
      <c r="C11"/>
      <c r="D11" s="18" t="s">
        <v>35</v>
      </c>
      <c r="E11" s="17" t="s">
        <v>37</v>
      </c>
      <c r="F11" s="16">
        <v>2002</v>
      </c>
      <c r="G11" s="15">
        <v>340</v>
      </c>
      <c r="H11" s="62"/>
      <c r="I11" s="61"/>
      <c r="J11" s="60"/>
    </row>
    <row r="12" spans="2:10">
      <c r="B12"/>
      <c r="C12"/>
      <c r="D12" s="18" t="s">
        <v>38</v>
      </c>
      <c r="E12" s="17" t="s">
        <v>39</v>
      </c>
      <c r="F12" s="16">
        <v>2002</v>
      </c>
      <c r="G12" s="15">
        <v>280</v>
      </c>
      <c r="H12" s="62"/>
      <c r="I12" s="61"/>
      <c r="J12" s="60"/>
    </row>
    <row r="13" spans="2:10">
      <c r="B13"/>
      <c r="C13"/>
      <c r="D13" s="18" t="s">
        <v>38</v>
      </c>
      <c r="E13" s="17" t="s">
        <v>39</v>
      </c>
      <c r="F13" s="16">
        <v>2004</v>
      </c>
      <c r="G13" s="15">
        <v>280</v>
      </c>
      <c r="H13" s="62"/>
      <c r="I13" s="61"/>
      <c r="J13" s="60"/>
    </row>
    <row r="14" spans="2:10">
      <c r="B14"/>
      <c r="C14"/>
      <c r="D14" s="18" t="s">
        <v>38</v>
      </c>
      <c r="E14" s="17" t="s">
        <v>39</v>
      </c>
      <c r="F14" s="16">
        <v>2005</v>
      </c>
      <c r="G14" s="15">
        <v>280</v>
      </c>
      <c r="H14" s="62"/>
      <c r="I14" s="61"/>
      <c r="J14" s="60"/>
    </row>
    <row r="15" spans="2:10">
      <c r="B15"/>
      <c r="C15"/>
      <c r="D15" s="18" t="s">
        <v>38</v>
      </c>
      <c r="E15" s="17" t="s">
        <v>40</v>
      </c>
      <c r="F15" s="21">
        <v>2003</v>
      </c>
      <c r="G15" s="15">
        <v>255</v>
      </c>
      <c r="H15" s="62"/>
      <c r="I15" s="61"/>
      <c r="J15" s="60"/>
    </row>
    <row r="16" spans="2:10">
      <c r="B16"/>
      <c r="C16"/>
      <c r="D16" s="18" t="s">
        <v>38</v>
      </c>
      <c r="E16" s="17" t="s">
        <v>40</v>
      </c>
      <c r="F16" s="16">
        <v>1999</v>
      </c>
      <c r="G16" s="15">
        <v>255</v>
      </c>
      <c r="H16" s="62"/>
      <c r="I16" s="61"/>
      <c r="J16" s="60"/>
    </row>
    <row r="17" spans="2:10">
      <c r="B17"/>
      <c r="C17"/>
      <c r="D17" s="18" t="s">
        <v>38</v>
      </c>
      <c r="E17" s="17" t="s">
        <v>40</v>
      </c>
      <c r="F17" s="21">
        <v>2005</v>
      </c>
      <c r="G17" s="15">
        <v>255</v>
      </c>
      <c r="H17" s="62"/>
      <c r="I17" s="61"/>
      <c r="J17" s="60"/>
    </row>
    <row r="18" spans="2:10">
      <c r="B18"/>
      <c r="C18"/>
      <c r="D18" s="18" t="s">
        <v>38</v>
      </c>
      <c r="E18" s="17" t="s">
        <v>41</v>
      </c>
      <c r="F18" s="16">
        <v>2004</v>
      </c>
      <c r="G18" s="15">
        <v>245</v>
      </c>
      <c r="H18" s="62"/>
      <c r="I18" s="61"/>
      <c r="J18" s="60"/>
    </row>
    <row r="19" spans="2:10">
      <c r="B19"/>
      <c r="C19"/>
      <c r="D19" s="18" t="s">
        <v>38</v>
      </c>
      <c r="E19" s="17" t="s">
        <v>41</v>
      </c>
      <c r="F19" s="16">
        <v>2005</v>
      </c>
      <c r="G19" s="15">
        <v>245</v>
      </c>
      <c r="H19" s="62"/>
      <c r="I19" s="61"/>
      <c r="J19" s="60"/>
    </row>
    <row r="20" spans="2:10">
      <c r="B20"/>
      <c r="C20"/>
      <c r="D20" s="18" t="s">
        <v>38</v>
      </c>
      <c r="E20" s="17" t="s">
        <v>42</v>
      </c>
      <c r="F20" s="16">
        <v>2004</v>
      </c>
      <c r="G20" s="15">
        <v>310</v>
      </c>
      <c r="H20" s="62"/>
      <c r="I20" s="61"/>
      <c r="J20" s="60"/>
    </row>
    <row r="21" spans="2:10">
      <c r="B21"/>
      <c r="C21"/>
      <c r="D21" s="18" t="s">
        <v>38</v>
      </c>
      <c r="E21" s="17" t="s">
        <v>42</v>
      </c>
      <c r="F21" s="16">
        <v>2005</v>
      </c>
      <c r="G21" s="15">
        <v>310</v>
      </c>
      <c r="H21" s="62"/>
      <c r="I21" s="61"/>
      <c r="J21" s="60"/>
    </row>
    <row r="22" spans="2:10">
      <c r="B22"/>
      <c r="C22"/>
      <c r="D22" s="18" t="s">
        <v>38</v>
      </c>
      <c r="E22" s="20" t="s">
        <v>43</v>
      </c>
      <c r="F22" s="16">
        <v>2004</v>
      </c>
      <c r="G22" s="15">
        <v>210</v>
      </c>
      <c r="H22" s="62"/>
      <c r="I22" s="61"/>
      <c r="J22" s="60"/>
    </row>
    <row r="23" spans="2:10">
      <c r="B23"/>
      <c r="C23"/>
      <c r="D23" s="18" t="s">
        <v>38</v>
      </c>
      <c r="E23" s="20" t="s">
        <v>44</v>
      </c>
      <c r="F23" s="19">
        <v>2006</v>
      </c>
      <c r="G23" s="15">
        <v>210</v>
      </c>
      <c r="H23" s="62"/>
      <c r="I23" s="61"/>
      <c r="J23" s="60"/>
    </row>
    <row r="24" spans="2:10">
      <c r="B24"/>
      <c r="C24"/>
      <c r="D24" s="18" t="s">
        <v>45</v>
      </c>
      <c r="E24" s="17" t="s">
        <v>46</v>
      </c>
      <c r="F24" s="16">
        <v>2003</v>
      </c>
      <c r="G24" s="15">
        <v>310</v>
      </c>
      <c r="H24" s="62"/>
      <c r="I24" s="61"/>
      <c r="J24" s="60"/>
    </row>
    <row r="25" spans="2:10">
      <c r="B25"/>
      <c r="C25"/>
      <c r="D25" s="18" t="s">
        <v>45</v>
      </c>
      <c r="E25" s="17" t="s">
        <v>46</v>
      </c>
      <c r="F25" s="16">
        <v>2004</v>
      </c>
      <c r="G25" s="15">
        <v>310</v>
      </c>
      <c r="H25" s="62"/>
      <c r="I25" s="61"/>
      <c r="J25" s="60"/>
    </row>
    <row r="26" spans="2:10">
      <c r="B26"/>
      <c r="C26"/>
      <c r="D26" s="18" t="s">
        <v>45</v>
      </c>
      <c r="E26" s="17" t="s">
        <v>47</v>
      </c>
      <c r="F26" s="16">
        <v>2003</v>
      </c>
      <c r="G26" s="15">
        <v>365</v>
      </c>
      <c r="H26" s="62"/>
      <c r="I26" s="61"/>
      <c r="J26" s="60"/>
    </row>
    <row r="27" spans="2:10">
      <c r="B27"/>
      <c r="C27"/>
      <c r="D27" s="18" t="s">
        <v>45</v>
      </c>
      <c r="E27" s="17" t="s">
        <v>47</v>
      </c>
      <c r="F27" s="16">
        <v>2004</v>
      </c>
      <c r="G27" s="15">
        <v>365</v>
      </c>
      <c r="H27" s="62"/>
      <c r="I27" s="61"/>
      <c r="J27" s="60"/>
    </row>
    <row r="28" spans="2:10">
      <c r="B28"/>
      <c r="C28"/>
      <c r="D28" s="18" t="s">
        <v>45</v>
      </c>
      <c r="E28" s="17" t="s">
        <v>48</v>
      </c>
      <c r="F28" s="16">
        <v>2001</v>
      </c>
      <c r="G28" s="15">
        <v>365</v>
      </c>
      <c r="H28" s="62"/>
      <c r="I28" s="61"/>
      <c r="J28" s="60"/>
    </row>
    <row r="29" spans="2:10">
      <c r="B29"/>
      <c r="C29"/>
      <c r="D29" s="18" t="s">
        <v>45</v>
      </c>
      <c r="E29" s="17" t="s">
        <v>48</v>
      </c>
      <c r="F29" s="16">
        <v>2002</v>
      </c>
      <c r="G29" s="15">
        <v>365</v>
      </c>
      <c r="H29" s="62"/>
      <c r="I29" s="61"/>
      <c r="J29" s="60"/>
    </row>
    <row r="30" spans="2:10">
      <c r="B30"/>
      <c r="C30"/>
      <c r="D30" s="18" t="s">
        <v>45</v>
      </c>
      <c r="E30" s="17" t="s">
        <v>48</v>
      </c>
      <c r="F30" s="16">
        <v>2003</v>
      </c>
      <c r="G30" s="15">
        <v>365</v>
      </c>
      <c r="H30" s="62"/>
      <c r="I30" s="61"/>
      <c r="J30" s="60"/>
    </row>
    <row r="31" spans="2:10">
      <c r="B31"/>
      <c r="C31"/>
      <c r="D31" s="18" t="s">
        <v>49</v>
      </c>
      <c r="E31" s="17" t="s">
        <v>50</v>
      </c>
      <c r="F31" s="16">
        <v>1999</v>
      </c>
      <c r="G31" s="15">
        <v>765</v>
      </c>
      <c r="H31" s="62"/>
      <c r="I31" s="61"/>
      <c r="J31" s="60"/>
    </row>
    <row r="32" spans="2:10">
      <c r="B32"/>
      <c r="C32"/>
      <c r="D32" s="18" t="s">
        <v>49</v>
      </c>
      <c r="E32" s="17" t="s">
        <v>50</v>
      </c>
      <c r="F32" s="16">
        <v>2000</v>
      </c>
      <c r="G32" s="15">
        <v>765</v>
      </c>
      <c r="H32" s="62"/>
      <c r="I32" s="61"/>
      <c r="J32" s="60"/>
    </row>
    <row r="33" spans="2:10">
      <c r="B33"/>
      <c r="C33"/>
      <c r="D33" s="18" t="s">
        <v>49</v>
      </c>
      <c r="E33" s="17" t="s">
        <v>51</v>
      </c>
      <c r="F33" s="16">
        <v>2000</v>
      </c>
      <c r="G33" s="15">
        <v>1650</v>
      </c>
      <c r="H33" s="62"/>
      <c r="I33" s="61"/>
      <c r="J33" s="60"/>
    </row>
    <row r="34" spans="2:10">
      <c r="B34"/>
      <c r="C34"/>
      <c r="D34" s="18" t="s">
        <v>49</v>
      </c>
      <c r="E34" s="17" t="s">
        <v>51</v>
      </c>
      <c r="F34" s="16">
        <v>1999</v>
      </c>
      <c r="G34" s="15">
        <v>1650</v>
      </c>
      <c r="H34" s="62"/>
      <c r="I34" s="61"/>
      <c r="J34" s="60"/>
    </row>
    <row r="35" spans="2:10">
      <c r="B35"/>
      <c r="C35"/>
      <c r="D35" s="18" t="s">
        <v>49</v>
      </c>
      <c r="E35" s="17" t="s">
        <v>52</v>
      </c>
      <c r="F35" s="16">
        <v>2002</v>
      </c>
      <c r="G35" s="15">
        <v>1120</v>
      </c>
      <c r="H35" s="62"/>
      <c r="I35" s="61"/>
      <c r="J35" s="60"/>
    </row>
    <row r="36" spans="2:10">
      <c r="B36"/>
      <c r="C36"/>
      <c r="D36" s="18" t="s">
        <v>53</v>
      </c>
      <c r="E36" s="17" t="s">
        <v>54</v>
      </c>
      <c r="F36" s="16">
        <v>2004</v>
      </c>
      <c r="G36" s="15">
        <v>170</v>
      </c>
      <c r="H36" s="62"/>
      <c r="I36" s="61"/>
      <c r="J36" s="60"/>
    </row>
    <row r="37" spans="2:10">
      <c r="B37"/>
      <c r="C37"/>
      <c r="D37" s="18" t="s">
        <v>53</v>
      </c>
      <c r="E37" s="17" t="s">
        <v>55</v>
      </c>
      <c r="F37" s="16">
        <v>2004</v>
      </c>
      <c r="G37" s="15">
        <v>170</v>
      </c>
      <c r="H37" s="62"/>
      <c r="I37" s="61"/>
      <c r="J37" s="60"/>
    </row>
    <row r="38" spans="2:10">
      <c r="B38"/>
      <c r="C38"/>
      <c r="D38" s="18" t="s">
        <v>53</v>
      </c>
      <c r="E38" s="17" t="s">
        <v>56</v>
      </c>
      <c r="F38" s="16">
        <v>2004</v>
      </c>
      <c r="G38" s="15">
        <v>170</v>
      </c>
      <c r="H38" s="62"/>
      <c r="I38" s="61"/>
      <c r="J38" s="60"/>
    </row>
    <row r="39" spans="2:10">
      <c r="B39"/>
      <c r="C39"/>
      <c r="D39" s="18" t="s">
        <v>53</v>
      </c>
      <c r="E39" s="17" t="s">
        <v>57</v>
      </c>
      <c r="F39" s="16">
        <v>2004</v>
      </c>
      <c r="G39" s="15">
        <v>170</v>
      </c>
      <c r="H39" s="62"/>
      <c r="I39" s="61"/>
      <c r="J39" s="60"/>
    </row>
    <row r="40" spans="2:10">
      <c r="B40"/>
      <c r="C40"/>
      <c r="D40" s="18" t="s">
        <v>53</v>
      </c>
      <c r="E40" s="17" t="s">
        <v>58</v>
      </c>
      <c r="F40" s="16">
        <v>2002</v>
      </c>
      <c r="G40" s="15">
        <v>240</v>
      </c>
      <c r="H40" s="62"/>
      <c r="I40" s="61"/>
      <c r="J40" s="60"/>
    </row>
    <row r="41" spans="2:10">
      <c r="B41"/>
      <c r="C41"/>
      <c r="D41" s="18" t="s">
        <v>53</v>
      </c>
      <c r="E41" s="17" t="s">
        <v>58</v>
      </c>
      <c r="F41" s="16">
        <v>2004</v>
      </c>
      <c r="G41" s="15">
        <v>240</v>
      </c>
      <c r="H41" s="62"/>
      <c r="I41" s="61"/>
      <c r="J41" s="60"/>
    </row>
    <row r="42" spans="2:10">
      <c r="B42"/>
      <c r="C42"/>
      <c r="D42" s="18" t="s">
        <v>53</v>
      </c>
      <c r="E42" s="17" t="s">
        <v>59</v>
      </c>
      <c r="F42" s="16">
        <v>2003</v>
      </c>
      <c r="G42" s="15">
        <v>240</v>
      </c>
      <c r="H42" s="62"/>
      <c r="I42" s="61"/>
      <c r="J42" s="60"/>
    </row>
    <row r="43" spans="2:10">
      <c r="B43"/>
      <c r="C43"/>
      <c r="D43" s="18" t="s">
        <v>53</v>
      </c>
      <c r="E43" s="17" t="s">
        <v>59</v>
      </c>
      <c r="F43" s="16">
        <v>2004</v>
      </c>
      <c r="G43" s="15">
        <v>240</v>
      </c>
      <c r="H43" s="62"/>
      <c r="I43" s="61"/>
      <c r="J43" s="60"/>
    </row>
    <row r="44" spans="2:10">
      <c r="B44"/>
      <c r="C44"/>
      <c r="D44" s="18" t="s">
        <v>60</v>
      </c>
      <c r="E44" s="17" t="s">
        <v>61</v>
      </c>
      <c r="F44" s="16">
        <v>2004</v>
      </c>
      <c r="G44" s="15">
        <v>485</v>
      </c>
      <c r="H44" s="62"/>
      <c r="I44" s="61"/>
      <c r="J44" s="60"/>
    </row>
    <row r="45" spans="2:10">
      <c r="B45"/>
      <c r="C45"/>
      <c r="D45" s="18" t="s">
        <v>60</v>
      </c>
      <c r="E45" s="17" t="s">
        <v>62</v>
      </c>
      <c r="F45" s="16">
        <v>2000</v>
      </c>
      <c r="G45" s="15">
        <v>595</v>
      </c>
      <c r="H45" s="62"/>
      <c r="I45" s="61"/>
      <c r="J45" s="60"/>
    </row>
    <row r="46" spans="2:10">
      <c r="B46"/>
      <c r="C46"/>
      <c r="D46" s="18" t="s">
        <v>60</v>
      </c>
      <c r="E46" s="17" t="s">
        <v>62</v>
      </c>
      <c r="F46" s="16">
        <v>2002</v>
      </c>
      <c r="G46" s="15">
        <v>595</v>
      </c>
      <c r="H46" s="62"/>
      <c r="I46" s="61"/>
      <c r="J46" s="60"/>
    </row>
    <row r="47" spans="2:10">
      <c r="B47"/>
      <c r="C47"/>
      <c r="D47" s="18" t="s">
        <v>60</v>
      </c>
      <c r="E47" s="17" t="s">
        <v>63</v>
      </c>
      <c r="F47" s="16">
        <v>2003</v>
      </c>
      <c r="G47" s="15">
        <v>595</v>
      </c>
      <c r="H47" s="62"/>
      <c r="I47" s="61"/>
      <c r="J47" s="60"/>
    </row>
    <row r="48" spans="2:10">
      <c r="B48"/>
      <c r="C48"/>
      <c r="D48" s="18" t="s">
        <v>60</v>
      </c>
      <c r="E48" s="17" t="s">
        <v>64</v>
      </c>
      <c r="F48" s="16">
        <v>2003</v>
      </c>
      <c r="G48" s="15">
        <v>595</v>
      </c>
      <c r="H48" s="62"/>
      <c r="I48" s="61"/>
      <c r="J48" s="60"/>
    </row>
    <row r="49" spans="2:10">
      <c r="B49"/>
      <c r="C49"/>
      <c r="D49" s="18" t="s">
        <v>65</v>
      </c>
      <c r="E49" s="17" t="s">
        <v>66</v>
      </c>
      <c r="F49" s="16">
        <v>1985</v>
      </c>
      <c r="G49" s="15">
        <v>560</v>
      </c>
      <c r="H49" s="62"/>
      <c r="I49" s="61"/>
      <c r="J49" s="60"/>
    </row>
    <row r="50" spans="2:10">
      <c r="B50"/>
      <c r="C50"/>
      <c r="D50" s="18" t="s">
        <v>65</v>
      </c>
      <c r="E50" s="17" t="s">
        <v>67</v>
      </c>
      <c r="F50" s="16">
        <v>1994</v>
      </c>
      <c r="G50" s="15">
        <v>420</v>
      </c>
      <c r="H50" s="62"/>
      <c r="I50" s="61"/>
      <c r="J50" s="60"/>
    </row>
    <row r="51" spans="2:10">
      <c r="B51"/>
      <c r="C51"/>
      <c r="D51" s="18" t="s">
        <v>65</v>
      </c>
      <c r="E51" s="17" t="s">
        <v>68</v>
      </c>
      <c r="F51" s="16">
        <v>1994</v>
      </c>
      <c r="G51" s="15">
        <v>270</v>
      </c>
      <c r="H51" s="62"/>
      <c r="I51" s="61"/>
      <c r="J51" s="60"/>
    </row>
    <row r="52" spans="2:10">
      <c r="B52"/>
      <c r="C52"/>
      <c r="D52" s="18" t="s">
        <v>69</v>
      </c>
      <c r="E52" s="17" t="s">
        <v>70</v>
      </c>
      <c r="F52" s="16">
        <v>2004</v>
      </c>
      <c r="G52" s="15">
        <v>125</v>
      </c>
      <c r="H52" s="62"/>
      <c r="I52" s="61"/>
      <c r="J52" s="60"/>
    </row>
    <row r="53" spans="2:10">
      <c r="B53"/>
      <c r="C53"/>
      <c r="D53" s="18" t="s">
        <v>69</v>
      </c>
      <c r="E53" s="17" t="s">
        <v>71</v>
      </c>
      <c r="F53" s="16">
        <v>2004</v>
      </c>
      <c r="G53" s="15">
        <v>125</v>
      </c>
      <c r="H53" s="62"/>
      <c r="I53" s="61"/>
      <c r="J53" s="60"/>
    </row>
    <row r="54" spans="2:10">
      <c r="B54"/>
      <c r="C54"/>
      <c r="D54" s="18" t="s">
        <v>35</v>
      </c>
      <c r="E54" s="17" t="s">
        <v>36</v>
      </c>
      <c r="F54" s="16">
        <v>2002</v>
      </c>
      <c r="G54" s="24">
        <v>475</v>
      </c>
      <c r="H54" s="62"/>
      <c r="I54" s="61"/>
      <c r="J54" s="60"/>
    </row>
    <row r="55" spans="2:10">
      <c r="B55"/>
      <c r="C55"/>
      <c r="D55" s="18" t="s">
        <v>35</v>
      </c>
      <c r="E55" s="17" t="s">
        <v>37</v>
      </c>
      <c r="F55" s="16">
        <v>1999</v>
      </c>
      <c r="G55" s="24">
        <v>475</v>
      </c>
      <c r="H55" s="62"/>
      <c r="I55" s="61"/>
      <c r="J55" s="60"/>
    </row>
    <row r="56" spans="2:10">
      <c r="B56"/>
      <c r="C56"/>
      <c r="D56" s="18" t="s">
        <v>38</v>
      </c>
      <c r="E56" s="17" t="s">
        <v>39</v>
      </c>
      <c r="F56" s="16">
        <v>2002</v>
      </c>
      <c r="G56" s="15">
        <v>392</v>
      </c>
      <c r="H56" s="62"/>
      <c r="I56" s="61"/>
      <c r="J56" s="60"/>
    </row>
    <row r="57" spans="2:10">
      <c r="B57"/>
      <c r="C57"/>
      <c r="D57" s="18" t="s">
        <v>38</v>
      </c>
      <c r="E57" s="17" t="s">
        <v>39</v>
      </c>
      <c r="F57" s="16">
        <v>2004</v>
      </c>
      <c r="G57" s="15">
        <v>392</v>
      </c>
      <c r="H57" s="62"/>
      <c r="I57" s="61"/>
      <c r="J57" s="60"/>
    </row>
    <row r="58" spans="2:10">
      <c r="B58"/>
      <c r="C58"/>
      <c r="D58" s="18" t="s">
        <v>38</v>
      </c>
      <c r="E58" s="17" t="s">
        <v>39</v>
      </c>
      <c r="F58" s="16">
        <v>2005</v>
      </c>
      <c r="G58" s="15">
        <v>392</v>
      </c>
      <c r="H58" s="62"/>
      <c r="I58" s="61"/>
      <c r="J58" s="60"/>
    </row>
    <row r="59" spans="2:10">
      <c r="B59"/>
      <c r="C59"/>
      <c r="D59" s="18" t="s">
        <v>38</v>
      </c>
      <c r="E59" s="17" t="s">
        <v>40</v>
      </c>
      <c r="F59" s="21">
        <v>2003</v>
      </c>
      <c r="G59" s="15">
        <v>357</v>
      </c>
      <c r="H59" s="62"/>
      <c r="I59" s="61"/>
      <c r="J59" s="60"/>
    </row>
    <row r="60" spans="2:10">
      <c r="B60"/>
      <c r="C60"/>
      <c r="D60" s="18" t="s">
        <v>38</v>
      </c>
      <c r="E60" s="17" t="s">
        <v>40</v>
      </c>
      <c r="F60" s="21">
        <v>2004</v>
      </c>
      <c r="G60" s="15">
        <v>357</v>
      </c>
      <c r="H60" s="62"/>
      <c r="I60" s="61"/>
      <c r="J60" s="60"/>
    </row>
    <row r="61" spans="2:10">
      <c r="B61"/>
      <c r="C61"/>
      <c r="D61" s="18" t="s">
        <v>38</v>
      </c>
      <c r="E61" s="17" t="s">
        <v>40</v>
      </c>
      <c r="F61" s="21">
        <v>2005</v>
      </c>
      <c r="G61" s="15">
        <v>357</v>
      </c>
      <c r="H61" s="62"/>
      <c r="I61" s="61"/>
      <c r="J61" s="60"/>
    </row>
    <row r="62" spans="2:10">
      <c r="B62"/>
      <c r="C62"/>
      <c r="D62" s="18" t="s">
        <v>38</v>
      </c>
      <c r="E62" s="17" t="s">
        <v>41</v>
      </c>
      <c r="F62" s="16">
        <v>2004</v>
      </c>
      <c r="G62" s="15">
        <v>343</v>
      </c>
      <c r="H62" s="62"/>
      <c r="I62" s="61"/>
      <c r="J62" s="60"/>
    </row>
    <row r="63" spans="2:10">
      <c r="B63"/>
      <c r="C63"/>
      <c r="D63" s="18" t="s">
        <v>38</v>
      </c>
      <c r="E63" s="17" t="s">
        <v>41</v>
      </c>
      <c r="F63" s="16">
        <v>2005</v>
      </c>
      <c r="G63" s="15">
        <v>343</v>
      </c>
      <c r="H63" s="62"/>
      <c r="I63" s="61"/>
      <c r="J63" s="60"/>
    </row>
    <row r="64" spans="2:10">
      <c r="B64"/>
      <c r="C64"/>
      <c r="D64" s="18" t="s">
        <v>38</v>
      </c>
      <c r="E64" s="17" t="s">
        <v>42</v>
      </c>
      <c r="F64" s="16">
        <v>1999</v>
      </c>
      <c r="G64" s="15">
        <v>434</v>
      </c>
      <c r="H64" s="62"/>
      <c r="I64" s="61"/>
      <c r="J64" s="60"/>
    </row>
    <row r="65" spans="2:10">
      <c r="B65"/>
      <c r="C65"/>
      <c r="D65" s="18" t="s">
        <v>38</v>
      </c>
      <c r="E65" s="17" t="s">
        <v>42</v>
      </c>
      <c r="F65" s="16">
        <v>2005</v>
      </c>
      <c r="G65" s="15">
        <v>434</v>
      </c>
      <c r="H65" s="62"/>
      <c r="I65" s="61"/>
      <c r="J65" s="60"/>
    </row>
    <row r="66" spans="2:10">
      <c r="B66"/>
      <c r="C66"/>
      <c r="D66" s="18" t="s">
        <v>38</v>
      </c>
      <c r="E66" s="20" t="s">
        <v>43</v>
      </c>
      <c r="F66" s="16">
        <v>2004</v>
      </c>
      <c r="G66" s="15">
        <v>294</v>
      </c>
      <c r="H66" s="62"/>
      <c r="I66" s="61"/>
      <c r="J66" s="60"/>
    </row>
    <row r="67" spans="2:10">
      <c r="B67"/>
      <c r="C67"/>
      <c r="D67" s="18" t="s">
        <v>38</v>
      </c>
      <c r="E67" s="20" t="s">
        <v>44</v>
      </c>
      <c r="F67" s="19">
        <v>2006</v>
      </c>
      <c r="G67" s="15">
        <v>294</v>
      </c>
      <c r="H67" s="62"/>
      <c r="I67" s="61"/>
      <c r="J67" s="60"/>
    </row>
    <row r="68" spans="2:10">
      <c r="B68"/>
      <c r="C68"/>
      <c r="D68" s="18" t="s">
        <v>45</v>
      </c>
      <c r="E68" s="17" t="s">
        <v>46</v>
      </c>
      <c r="F68" s="16">
        <v>2003</v>
      </c>
      <c r="G68" s="15">
        <v>434</v>
      </c>
      <c r="H68" s="62"/>
      <c r="I68" s="61"/>
      <c r="J68" s="60"/>
    </row>
    <row r="69" spans="2:10">
      <c r="B69"/>
      <c r="C69"/>
      <c r="D69" s="18" t="s">
        <v>45</v>
      </c>
      <c r="E69" s="17" t="s">
        <v>46</v>
      </c>
      <c r="F69" s="16">
        <v>2004</v>
      </c>
      <c r="G69" s="15">
        <v>434</v>
      </c>
      <c r="H69" s="62"/>
      <c r="I69" s="61"/>
      <c r="J69" s="60"/>
    </row>
    <row r="70" spans="2:10">
      <c r="B70"/>
      <c r="C70"/>
      <c r="D70" s="18" t="s">
        <v>45</v>
      </c>
      <c r="E70" s="17" t="s">
        <v>47</v>
      </c>
      <c r="F70" s="16">
        <v>2003</v>
      </c>
      <c r="G70" s="15">
        <v>511</v>
      </c>
      <c r="H70" s="62"/>
      <c r="I70" s="61"/>
      <c r="J70" s="60"/>
    </row>
    <row r="71" spans="2:10">
      <c r="B71"/>
      <c r="C71"/>
      <c r="D71" s="18" t="s">
        <v>45</v>
      </c>
      <c r="E71" s="17" t="s">
        <v>47</v>
      </c>
      <c r="F71" s="16">
        <v>2004</v>
      </c>
      <c r="G71" s="15">
        <v>511</v>
      </c>
      <c r="H71" s="62"/>
      <c r="I71" s="61"/>
      <c r="J71" s="60"/>
    </row>
    <row r="72" spans="2:10">
      <c r="B72"/>
      <c r="C72"/>
      <c r="D72" s="18" t="s">
        <v>45</v>
      </c>
      <c r="E72" s="17" t="s">
        <v>48</v>
      </c>
      <c r="F72" s="16">
        <v>2001</v>
      </c>
      <c r="G72" s="15">
        <v>511</v>
      </c>
      <c r="H72" s="62"/>
      <c r="I72" s="61"/>
      <c r="J72" s="60"/>
    </row>
    <row r="73" spans="2:10">
      <c r="B73"/>
      <c r="C73"/>
      <c r="D73" s="18" t="s">
        <v>45</v>
      </c>
      <c r="E73" s="17" t="s">
        <v>48</v>
      </c>
      <c r="F73" s="16">
        <v>2002</v>
      </c>
      <c r="G73" s="15">
        <v>511</v>
      </c>
      <c r="H73" s="62"/>
      <c r="I73" s="61"/>
      <c r="J73" s="60"/>
    </row>
    <row r="74" spans="2:10">
      <c r="B74"/>
      <c r="C74"/>
      <c r="D74" s="18" t="s">
        <v>45</v>
      </c>
      <c r="E74" s="17" t="s">
        <v>48</v>
      </c>
      <c r="F74" s="16">
        <v>2003</v>
      </c>
      <c r="G74" s="15">
        <v>511</v>
      </c>
      <c r="H74" s="62"/>
      <c r="I74" s="61"/>
      <c r="J74" s="60"/>
    </row>
    <row r="75" spans="2:10">
      <c r="B75"/>
      <c r="C75"/>
      <c r="D75" s="18" t="s">
        <v>49</v>
      </c>
      <c r="E75" s="17" t="s">
        <v>50</v>
      </c>
      <c r="F75" s="16">
        <v>1999</v>
      </c>
      <c r="G75" s="15">
        <v>1071</v>
      </c>
      <c r="H75" s="62"/>
      <c r="I75" s="61"/>
      <c r="J75" s="60"/>
    </row>
    <row r="76" spans="2:10">
      <c r="B76"/>
      <c r="C76"/>
      <c r="D76" s="18" t="s">
        <v>49</v>
      </c>
      <c r="E76" s="17" t="s">
        <v>50</v>
      </c>
      <c r="F76" s="16">
        <v>2000</v>
      </c>
      <c r="G76" s="15">
        <v>1071</v>
      </c>
      <c r="H76" s="62"/>
      <c r="I76" s="61"/>
      <c r="J76" s="60"/>
    </row>
    <row r="77" spans="2:10">
      <c r="B77"/>
      <c r="C77"/>
      <c r="D77" s="18" t="s">
        <v>49</v>
      </c>
      <c r="E77" s="17" t="s">
        <v>51</v>
      </c>
      <c r="F77" s="16">
        <v>2000</v>
      </c>
      <c r="G77" s="15">
        <v>2310</v>
      </c>
      <c r="H77" s="62"/>
      <c r="I77" s="61"/>
      <c r="J77" s="60"/>
    </row>
    <row r="78" spans="2:10">
      <c r="B78"/>
      <c r="C78"/>
      <c r="D78" s="18" t="s">
        <v>49</v>
      </c>
      <c r="E78" s="17" t="s">
        <v>51</v>
      </c>
      <c r="F78" s="16">
        <v>2001</v>
      </c>
      <c r="G78" s="15">
        <v>2310</v>
      </c>
      <c r="H78" s="62"/>
      <c r="I78" s="61"/>
      <c r="J78" s="60"/>
    </row>
    <row r="79" spans="2:10">
      <c r="B79"/>
      <c r="C79"/>
      <c r="D79" s="18" t="s">
        <v>49</v>
      </c>
      <c r="E79" s="17" t="s">
        <v>52</v>
      </c>
      <c r="F79" s="16">
        <v>2002</v>
      </c>
      <c r="G79" s="15">
        <v>1568</v>
      </c>
      <c r="H79" s="62"/>
      <c r="I79" s="61"/>
      <c r="J79" s="60"/>
    </row>
    <row r="80" spans="2:10">
      <c r="B80"/>
      <c r="C80"/>
      <c r="D80" s="18" t="s">
        <v>53</v>
      </c>
      <c r="E80" s="17" t="s">
        <v>54</v>
      </c>
      <c r="F80" s="16">
        <v>2004</v>
      </c>
      <c r="G80" s="15">
        <v>238</v>
      </c>
      <c r="H80" s="62"/>
      <c r="I80" s="61"/>
      <c r="J80" s="60"/>
    </row>
    <row r="81" spans="2:10">
      <c r="B81"/>
      <c r="C81"/>
      <c r="D81" s="18" t="s">
        <v>53</v>
      </c>
      <c r="E81" s="17" t="s">
        <v>55</v>
      </c>
      <c r="F81" s="16">
        <v>2004</v>
      </c>
      <c r="G81" s="15">
        <v>238</v>
      </c>
      <c r="H81" s="62"/>
      <c r="I81" s="61"/>
      <c r="J81" s="60"/>
    </row>
    <row r="82" spans="2:10">
      <c r="B82"/>
      <c r="C82"/>
      <c r="D82" s="18" t="s">
        <v>53</v>
      </c>
      <c r="E82" s="17" t="s">
        <v>56</v>
      </c>
      <c r="F82" s="16">
        <v>2004</v>
      </c>
      <c r="G82" s="15">
        <v>238</v>
      </c>
      <c r="H82" s="62"/>
      <c r="I82" s="61"/>
      <c r="J82" s="60"/>
    </row>
    <row r="83" spans="2:10">
      <c r="B83"/>
      <c r="C83"/>
      <c r="D83" s="18" t="s">
        <v>53</v>
      </c>
      <c r="E83" s="17" t="s">
        <v>57</v>
      </c>
      <c r="F83" s="16">
        <v>2004</v>
      </c>
      <c r="G83" s="15">
        <v>238</v>
      </c>
      <c r="H83" s="62"/>
      <c r="I83" s="61"/>
      <c r="J83" s="60"/>
    </row>
    <row r="84" spans="2:10">
      <c r="B84"/>
      <c r="C84"/>
      <c r="D84" s="18" t="s">
        <v>53</v>
      </c>
      <c r="E84" s="17" t="s">
        <v>58</v>
      </c>
      <c r="F84" s="16">
        <v>2002</v>
      </c>
      <c r="G84" s="15">
        <v>336</v>
      </c>
      <c r="H84" s="62"/>
      <c r="I84" s="61"/>
      <c r="J84" s="60"/>
    </row>
    <row r="85" spans="2:10">
      <c r="B85"/>
      <c r="C85"/>
      <c r="D85" s="18" t="s">
        <v>53</v>
      </c>
      <c r="E85" s="17" t="s">
        <v>58</v>
      </c>
      <c r="F85" s="16">
        <v>2004</v>
      </c>
      <c r="G85" s="15">
        <v>336</v>
      </c>
      <c r="H85" s="62"/>
      <c r="I85" s="61"/>
      <c r="J85" s="60"/>
    </row>
    <row r="86" spans="2:10">
      <c r="B86"/>
      <c r="C86"/>
      <c r="D86" s="18" t="s">
        <v>53</v>
      </c>
      <c r="E86" s="17" t="s">
        <v>59</v>
      </c>
      <c r="F86" s="16">
        <v>1999</v>
      </c>
      <c r="G86" s="15">
        <v>336</v>
      </c>
      <c r="H86" s="62"/>
      <c r="I86" s="61"/>
      <c r="J86" s="60"/>
    </row>
    <row r="87" spans="2:10">
      <c r="B87"/>
      <c r="C87"/>
      <c r="D87" s="18" t="s">
        <v>53</v>
      </c>
      <c r="E87" s="17" t="s">
        <v>59</v>
      </c>
      <c r="F87" s="16">
        <v>2004</v>
      </c>
      <c r="G87" s="15">
        <v>336</v>
      </c>
      <c r="H87" s="62"/>
      <c r="I87" s="61"/>
      <c r="J87" s="60"/>
    </row>
    <row r="88" spans="2:10">
      <c r="B88"/>
      <c r="C88"/>
      <c r="D88" s="18" t="s">
        <v>60</v>
      </c>
      <c r="E88" s="17" t="s">
        <v>61</v>
      </c>
      <c r="F88" s="16">
        <v>2004</v>
      </c>
      <c r="G88" s="15">
        <v>679</v>
      </c>
      <c r="H88" s="62"/>
      <c r="I88" s="61"/>
      <c r="J88" s="60"/>
    </row>
    <row r="89" spans="2:10">
      <c r="B89"/>
      <c r="C89"/>
      <c r="D89" s="18" t="s">
        <v>60</v>
      </c>
      <c r="E89" s="17" t="s">
        <v>62</v>
      </c>
      <c r="F89" s="16">
        <v>2000</v>
      </c>
      <c r="G89" s="15">
        <v>833</v>
      </c>
      <c r="H89" s="62"/>
      <c r="I89" s="61"/>
      <c r="J89" s="60"/>
    </row>
    <row r="90" spans="2:10">
      <c r="B90"/>
      <c r="C90"/>
      <c r="D90" s="18" t="s">
        <v>60</v>
      </c>
      <c r="E90" s="17" t="s">
        <v>62</v>
      </c>
      <c r="F90" s="16">
        <v>2002</v>
      </c>
      <c r="G90" s="15">
        <v>833</v>
      </c>
      <c r="H90" s="62"/>
      <c r="I90" s="61"/>
      <c r="J90" s="60"/>
    </row>
    <row r="91" spans="2:10">
      <c r="B91"/>
      <c r="C91"/>
      <c r="D91" s="18" t="s">
        <v>60</v>
      </c>
      <c r="E91" s="17" t="s">
        <v>63</v>
      </c>
      <c r="F91" s="16">
        <v>2003</v>
      </c>
      <c r="G91" s="15">
        <v>833</v>
      </c>
      <c r="H91" s="62"/>
      <c r="I91" s="61"/>
      <c r="J91" s="60"/>
    </row>
    <row r="92" spans="2:10">
      <c r="B92"/>
      <c r="C92"/>
      <c r="D92" s="18" t="s">
        <v>60</v>
      </c>
      <c r="E92" s="17" t="s">
        <v>64</v>
      </c>
      <c r="F92" s="16">
        <v>2003</v>
      </c>
      <c r="G92" s="15">
        <v>833</v>
      </c>
      <c r="H92" s="62"/>
      <c r="I92" s="61"/>
      <c r="J92" s="60"/>
    </row>
    <row r="93" spans="2:10">
      <c r="B93"/>
      <c r="C93"/>
      <c r="D93" s="18" t="s">
        <v>65</v>
      </c>
      <c r="E93" s="17" t="s">
        <v>66</v>
      </c>
      <c r="F93" s="16">
        <v>1985</v>
      </c>
      <c r="G93" s="15">
        <v>784</v>
      </c>
      <c r="H93" s="62"/>
      <c r="I93" s="61"/>
      <c r="J93" s="60"/>
    </row>
    <row r="94" spans="2:10">
      <c r="B94"/>
      <c r="C94"/>
      <c r="D94" s="18" t="s">
        <v>65</v>
      </c>
      <c r="E94" s="17" t="s">
        <v>67</v>
      </c>
      <c r="F94" s="16">
        <v>1994</v>
      </c>
      <c r="G94" s="15">
        <v>588</v>
      </c>
      <c r="H94" s="62"/>
      <c r="I94" s="61"/>
      <c r="J94" s="60"/>
    </row>
    <row r="95" spans="2:10">
      <c r="B95"/>
      <c r="C95"/>
      <c r="D95" s="18" t="s">
        <v>65</v>
      </c>
      <c r="E95" s="17" t="s">
        <v>68</v>
      </c>
      <c r="F95" s="16">
        <v>2000</v>
      </c>
      <c r="G95" s="15">
        <v>378</v>
      </c>
      <c r="H95" s="62"/>
      <c r="I95" s="61"/>
      <c r="J95" s="60"/>
    </row>
    <row r="96" spans="2:10">
      <c r="B96"/>
      <c r="C96"/>
      <c r="D96" s="18" t="s">
        <v>69</v>
      </c>
      <c r="E96" s="17" t="s">
        <v>70</v>
      </c>
      <c r="F96" s="16">
        <v>2004</v>
      </c>
      <c r="G96" s="15">
        <v>175</v>
      </c>
      <c r="H96" s="62"/>
      <c r="I96" s="61"/>
      <c r="J96" s="60"/>
    </row>
    <row r="97" spans="2:10">
      <c r="B97"/>
      <c r="C97"/>
      <c r="D97" s="18" t="s">
        <v>69</v>
      </c>
      <c r="E97" s="17" t="s">
        <v>71</v>
      </c>
      <c r="F97" s="16">
        <v>2004</v>
      </c>
      <c r="G97" s="15">
        <v>175</v>
      </c>
      <c r="H97" s="62"/>
      <c r="I97" s="61"/>
      <c r="J97" s="60"/>
    </row>
    <row r="98" spans="2:10">
      <c r="B98"/>
      <c r="C98"/>
      <c r="D98" s="18" t="s">
        <v>35</v>
      </c>
      <c r="E98" s="17" t="s">
        <v>36</v>
      </c>
      <c r="F98" s="16">
        <v>1985</v>
      </c>
      <c r="G98" s="22">
        <v>289</v>
      </c>
      <c r="H98" s="62"/>
      <c r="I98" s="61"/>
      <c r="J98" s="60"/>
    </row>
    <row r="99" spans="2:10">
      <c r="B99"/>
      <c r="C99"/>
      <c r="D99" s="18" t="s">
        <v>35</v>
      </c>
      <c r="E99" s="17" t="s">
        <v>37</v>
      </c>
      <c r="F99" s="16">
        <v>1994</v>
      </c>
      <c r="G99" s="22">
        <v>289</v>
      </c>
      <c r="H99" s="62"/>
      <c r="I99" s="61"/>
      <c r="J99" s="60"/>
    </row>
    <row r="100" spans="2:10">
      <c r="B100"/>
      <c r="C100"/>
      <c r="D100" s="18" t="s">
        <v>38</v>
      </c>
      <c r="E100" s="17" t="s">
        <v>39</v>
      </c>
      <c r="F100" s="16">
        <v>2002</v>
      </c>
      <c r="G100" s="22">
        <v>238</v>
      </c>
      <c r="H100" s="62"/>
      <c r="I100" s="61"/>
      <c r="J100" s="60"/>
    </row>
    <row r="101" spans="2:10">
      <c r="B101"/>
      <c r="C101"/>
      <c r="D101" s="18" t="s">
        <v>38</v>
      </c>
      <c r="E101" s="17" t="s">
        <v>39</v>
      </c>
      <c r="F101" s="16">
        <v>2004</v>
      </c>
      <c r="G101" s="22">
        <v>238</v>
      </c>
      <c r="H101" s="62"/>
      <c r="I101" s="61"/>
      <c r="J101" s="60"/>
    </row>
    <row r="102" spans="2:10">
      <c r="B102"/>
      <c r="C102"/>
      <c r="D102" s="18" t="s">
        <v>38</v>
      </c>
      <c r="E102" s="17" t="s">
        <v>39</v>
      </c>
      <c r="F102" s="16">
        <v>2005</v>
      </c>
      <c r="G102" s="22">
        <v>238</v>
      </c>
      <c r="H102" s="62"/>
      <c r="I102" s="61"/>
      <c r="J102" s="60"/>
    </row>
    <row r="103" spans="2:10">
      <c r="B103"/>
      <c r="C103"/>
      <c r="D103" s="18" t="s">
        <v>38</v>
      </c>
      <c r="E103" s="17" t="s">
        <v>40</v>
      </c>
      <c r="F103" s="21">
        <v>2003</v>
      </c>
      <c r="G103" s="22">
        <v>217</v>
      </c>
      <c r="H103" s="62"/>
      <c r="I103" s="61"/>
      <c r="J103" s="60"/>
    </row>
    <row r="104" spans="2:10">
      <c r="B104"/>
      <c r="C104"/>
      <c r="D104" s="18" t="s">
        <v>38</v>
      </c>
      <c r="E104" s="17" t="s">
        <v>40</v>
      </c>
      <c r="F104" s="21">
        <v>2004</v>
      </c>
      <c r="G104" s="22">
        <v>217</v>
      </c>
      <c r="H104" s="62"/>
      <c r="I104" s="61"/>
      <c r="J104" s="60"/>
    </row>
    <row r="105" spans="2:10">
      <c r="B105"/>
      <c r="C105"/>
      <c r="D105" s="18" t="s">
        <v>38</v>
      </c>
      <c r="E105" s="17" t="s">
        <v>40</v>
      </c>
      <c r="F105" s="16">
        <v>1994</v>
      </c>
      <c r="G105" s="22">
        <v>217</v>
      </c>
      <c r="H105" s="62"/>
      <c r="I105" s="61"/>
      <c r="J105" s="60"/>
    </row>
    <row r="106" spans="2:10">
      <c r="B106"/>
      <c r="C106"/>
      <c r="D106" s="18" t="s">
        <v>38</v>
      </c>
      <c r="E106" s="17" t="s">
        <v>41</v>
      </c>
      <c r="F106" s="16">
        <v>2004</v>
      </c>
      <c r="G106" s="22">
        <v>208</v>
      </c>
      <c r="H106" s="62"/>
      <c r="I106" s="61"/>
      <c r="J106" s="60"/>
    </row>
    <row r="107" spans="2:10">
      <c r="B107"/>
      <c r="C107"/>
      <c r="D107" s="18" t="s">
        <v>38</v>
      </c>
      <c r="E107" s="17" t="s">
        <v>41</v>
      </c>
      <c r="F107" s="16">
        <v>2005</v>
      </c>
      <c r="G107" s="22">
        <v>208</v>
      </c>
      <c r="H107" s="62"/>
      <c r="I107" s="61"/>
      <c r="J107" s="60"/>
    </row>
    <row r="108" spans="2:10">
      <c r="B108"/>
      <c r="C108"/>
      <c r="D108" s="18" t="s">
        <v>38</v>
      </c>
      <c r="E108" s="17" t="s">
        <v>42</v>
      </c>
      <c r="F108" s="16">
        <v>2004</v>
      </c>
      <c r="G108" s="22">
        <v>264</v>
      </c>
      <c r="H108" s="62"/>
      <c r="I108" s="61"/>
      <c r="J108" s="60"/>
    </row>
    <row r="109" spans="2:10">
      <c r="B109"/>
      <c r="C109"/>
      <c r="D109" s="18" t="s">
        <v>38</v>
      </c>
      <c r="E109" s="17" t="s">
        <v>42</v>
      </c>
      <c r="F109" s="16">
        <v>2005</v>
      </c>
      <c r="G109" s="22">
        <v>264</v>
      </c>
      <c r="H109" s="62"/>
      <c r="I109" s="61"/>
      <c r="J109" s="60"/>
    </row>
    <row r="110" spans="2:10">
      <c r="B110"/>
      <c r="C110"/>
      <c r="D110" s="18" t="s">
        <v>38</v>
      </c>
      <c r="E110" s="20" t="s">
        <v>43</v>
      </c>
      <c r="F110" s="16">
        <v>2004</v>
      </c>
      <c r="G110" s="22">
        <v>179</v>
      </c>
      <c r="H110" s="62"/>
      <c r="I110" s="61"/>
      <c r="J110" s="60"/>
    </row>
    <row r="111" spans="2:10">
      <c r="B111"/>
      <c r="C111"/>
      <c r="D111" s="18" t="s">
        <v>38</v>
      </c>
      <c r="E111" s="20" t="s">
        <v>44</v>
      </c>
      <c r="F111" s="19">
        <v>2006</v>
      </c>
      <c r="G111" s="22">
        <v>179</v>
      </c>
      <c r="H111" s="62"/>
      <c r="I111" s="61"/>
      <c r="J111" s="60"/>
    </row>
    <row r="112" spans="2:10">
      <c r="B112"/>
      <c r="C112"/>
      <c r="D112" s="18" t="s">
        <v>45</v>
      </c>
      <c r="E112" s="17" t="s">
        <v>46</v>
      </c>
      <c r="F112" s="16">
        <v>2003</v>
      </c>
      <c r="G112" s="22">
        <v>264</v>
      </c>
      <c r="H112" s="62"/>
      <c r="I112" s="61"/>
      <c r="J112" s="60"/>
    </row>
    <row r="113" spans="2:10">
      <c r="B113"/>
      <c r="C113"/>
      <c r="D113" s="18" t="s">
        <v>45</v>
      </c>
      <c r="E113" s="17" t="s">
        <v>46</v>
      </c>
      <c r="F113" s="16">
        <v>2004</v>
      </c>
      <c r="G113" s="22">
        <v>264</v>
      </c>
      <c r="H113" s="62"/>
      <c r="I113" s="61"/>
      <c r="J113" s="60"/>
    </row>
    <row r="114" spans="2:10">
      <c r="B114"/>
      <c r="C114"/>
      <c r="D114" s="18" t="s">
        <v>45</v>
      </c>
      <c r="E114" s="17" t="s">
        <v>47</v>
      </c>
      <c r="F114" s="16">
        <v>2003</v>
      </c>
      <c r="G114" s="22">
        <v>351</v>
      </c>
      <c r="H114" s="62"/>
      <c r="I114" s="61"/>
      <c r="J114" s="60"/>
    </row>
    <row r="115" spans="2:10">
      <c r="B115"/>
      <c r="C115"/>
      <c r="D115" s="18" t="s">
        <v>45</v>
      </c>
      <c r="E115" s="17" t="s">
        <v>47</v>
      </c>
      <c r="F115" s="16">
        <v>2004</v>
      </c>
      <c r="G115" s="22">
        <v>351</v>
      </c>
      <c r="H115" s="62"/>
      <c r="I115" s="61"/>
      <c r="J115" s="60"/>
    </row>
    <row r="116" spans="2:10">
      <c r="B116"/>
      <c r="C116"/>
      <c r="D116" s="18" t="s">
        <v>45</v>
      </c>
      <c r="E116" s="17" t="s">
        <v>48</v>
      </c>
      <c r="F116" s="16">
        <v>2001</v>
      </c>
      <c r="G116" s="22">
        <v>351</v>
      </c>
      <c r="H116" s="62"/>
      <c r="I116" s="61"/>
      <c r="J116" s="60"/>
    </row>
    <row r="117" spans="2:10">
      <c r="B117"/>
      <c r="C117"/>
      <c r="D117" s="18" t="s">
        <v>45</v>
      </c>
      <c r="E117" s="17" t="s">
        <v>48</v>
      </c>
      <c r="F117" s="16">
        <v>2002</v>
      </c>
      <c r="G117" s="22">
        <v>351</v>
      </c>
      <c r="H117" s="62"/>
      <c r="I117" s="61"/>
      <c r="J117" s="60"/>
    </row>
    <row r="118" spans="2:10">
      <c r="B118"/>
      <c r="C118"/>
      <c r="D118" s="18" t="s">
        <v>45</v>
      </c>
      <c r="E118" s="17" t="s">
        <v>48</v>
      </c>
      <c r="F118" s="16">
        <v>2003</v>
      </c>
      <c r="G118" s="22">
        <v>351</v>
      </c>
      <c r="H118" s="62"/>
      <c r="I118" s="61"/>
      <c r="J118" s="60"/>
    </row>
    <row r="119" spans="2:10">
      <c r="B119"/>
      <c r="C119"/>
      <c r="D119" s="18" t="s">
        <v>49</v>
      </c>
      <c r="E119" s="17" t="s">
        <v>50</v>
      </c>
      <c r="F119" s="16">
        <v>1999</v>
      </c>
      <c r="G119" s="22">
        <v>650</v>
      </c>
      <c r="H119" s="62"/>
      <c r="I119" s="61"/>
      <c r="J119" s="60"/>
    </row>
    <row r="120" spans="2:10">
      <c r="B120"/>
      <c r="C120"/>
      <c r="D120" s="18" t="s">
        <v>49</v>
      </c>
      <c r="E120" s="17" t="s">
        <v>50</v>
      </c>
      <c r="F120" s="16">
        <v>2000</v>
      </c>
      <c r="G120" s="22">
        <v>650</v>
      </c>
      <c r="H120" s="62"/>
      <c r="I120" s="61"/>
      <c r="J120" s="60"/>
    </row>
    <row r="121" spans="2:10">
      <c r="B121"/>
      <c r="C121"/>
      <c r="D121" s="18" t="s">
        <v>49</v>
      </c>
      <c r="E121" s="17" t="s">
        <v>51</v>
      </c>
      <c r="F121" s="16">
        <v>2000</v>
      </c>
      <c r="G121" s="22">
        <v>1403</v>
      </c>
      <c r="H121" s="62"/>
      <c r="I121" s="61"/>
      <c r="J121" s="60"/>
    </row>
    <row r="122" spans="2:10">
      <c r="B122"/>
      <c r="C122"/>
      <c r="D122" s="18" t="s">
        <v>49</v>
      </c>
      <c r="E122" s="17" t="s">
        <v>51</v>
      </c>
      <c r="F122" s="16">
        <v>2001</v>
      </c>
      <c r="G122" s="22">
        <v>1403</v>
      </c>
      <c r="H122" s="62"/>
      <c r="I122" s="61"/>
      <c r="J122" s="60"/>
    </row>
    <row r="123" spans="2:10">
      <c r="B123"/>
      <c r="C123"/>
      <c r="D123" s="18" t="s">
        <v>49</v>
      </c>
      <c r="E123" s="17" t="s">
        <v>52</v>
      </c>
      <c r="F123" s="16">
        <v>2002</v>
      </c>
      <c r="G123" s="22">
        <v>952</v>
      </c>
      <c r="H123" s="62"/>
      <c r="I123" s="61"/>
      <c r="J123" s="60"/>
    </row>
    <row r="124" spans="2:10">
      <c r="B124"/>
      <c r="C124"/>
      <c r="D124" s="18" t="s">
        <v>53</v>
      </c>
      <c r="E124" s="17" t="s">
        <v>54</v>
      </c>
      <c r="F124" s="16">
        <v>2004</v>
      </c>
      <c r="G124" s="23">
        <v>145</v>
      </c>
      <c r="H124" s="62"/>
      <c r="I124" s="61"/>
      <c r="J124" s="60"/>
    </row>
    <row r="125" spans="2:10">
      <c r="B125"/>
      <c r="C125"/>
      <c r="D125" s="18" t="s">
        <v>53</v>
      </c>
      <c r="E125" s="17" t="s">
        <v>55</v>
      </c>
      <c r="F125" s="16">
        <v>2004</v>
      </c>
      <c r="G125" s="23">
        <v>145</v>
      </c>
      <c r="H125" s="62"/>
      <c r="I125" s="61"/>
      <c r="J125" s="60"/>
    </row>
    <row r="126" spans="2:10">
      <c r="B126"/>
      <c r="C126"/>
      <c r="D126" s="18" t="s">
        <v>53</v>
      </c>
      <c r="E126" s="17" t="s">
        <v>56</v>
      </c>
      <c r="F126" s="16">
        <v>2004</v>
      </c>
      <c r="G126" s="23">
        <v>145</v>
      </c>
      <c r="H126" s="62"/>
      <c r="I126" s="61"/>
      <c r="J126" s="60"/>
    </row>
    <row r="127" spans="2:10">
      <c r="B127"/>
      <c r="C127"/>
      <c r="D127" s="18" t="s">
        <v>53</v>
      </c>
      <c r="E127" s="17" t="s">
        <v>57</v>
      </c>
      <c r="F127" s="16">
        <v>2004</v>
      </c>
      <c r="G127" s="23">
        <v>145</v>
      </c>
      <c r="H127" s="62"/>
      <c r="I127" s="61"/>
      <c r="J127" s="60"/>
    </row>
    <row r="128" spans="2:10">
      <c r="B128"/>
      <c r="C128"/>
      <c r="D128" s="18" t="s">
        <v>53</v>
      </c>
      <c r="E128" s="17" t="s">
        <v>58</v>
      </c>
      <c r="F128" s="16">
        <v>2002</v>
      </c>
      <c r="G128" s="23">
        <v>145</v>
      </c>
      <c r="H128" s="62"/>
      <c r="I128" s="61"/>
      <c r="J128" s="60"/>
    </row>
    <row r="129" spans="2:10">
      <c r="B129"/>
      <c r="C129"/>
      <c r="D129" s="18" t="s">
        <v>53</v>
      </c>
      <c r="E129" s="17" t="s">
        <v>58</v>
      </c>
      <c r="F129" s="16">
        <v>2004</v>
      </c>
      <c r="G129" s="23">
        <v>145</v>
      </c>
      <c r="H129" s="62"/>
      <c r="I129" s="61"/>
      <c r="J129" s="60"/>
    </row>
    <row r="130" spans="2:10">
      <c r="B130"/>
      <c r="C130"/>
      <c r="D130" s="18" t="s">
        <v>53</v>
      </c>
      <c r="E130" s="17" t="s">
        <v>59</v>
      </c>
      <c r="F130" s="16">
        <v>2003</v>
      </c>
      <c r="G130" s="22">
        <v>204</v>
      </c>
      <c r="H130" s="62"/>
      <c r="I130" s="61"/>
      <c r="J130" s="60"/>
    </row>
    <row r="131" spans="2:10">
      <c r="B131"/>
      <c r="C131"/>
      <c r="D131" s="18" t="s">
        <v>53</v>
      </c>
      <c r="E131" s="17" t="s">
        <v>59</v>
      </c>
      <c r="F131" s="16">
        <v>2004</v>
      </c>
      <c r="G131" s="22">
        <v>204</v>
      </c>
      <c r="H131" s="62"/>
      <c r="I131" s="61"/>
      <c r="J131" s="60"/>
    </row>
    <row r="132" spans="2:10">
      <c r="B132"/>
      <c r="C132"/>
      <c r="D132" s="18" t="s">
        <v>60</v>
      </c>
      <c r="E132" s="17" t="s">
        <v>61</v>
      </c>
      <c r="F132" s="16">
        <v>2004</v>
      </c>
      <c r="G132" s="22">
        <v>412</v>
      </c>
      <c r="H132" s="62"/>
      <c r="I132" s="61"/>
      <c r="J132" s="60"/>
    </row>
    <row r="133" spans="2:10">
      <c r="B133"/>
      <c r="C133"/>
      <c r="D133" s="18" t="s">
        <v>60</v>
      </c>
      <c r="E133" s="17" t="s">
        <v>62</v>
      </c>
      <c r="F133" s="16">
        <v>2000</v>
      </c>
      <c r="G133" s="22">
        <v>506</v>
      </c>
      <c r="H133" s="62"/>
      <c r="I133" s="61"/>
      <c r="J133" s="60"/>
    </row>
    <row r="134" spans="2:10">
      <c r="B134"/>
      <c r="C134"/>
      <c r="D134" s="18" t="s">
        <v>60</v>
      </c>
      <c r="E134" s="17" t="s">
        <v>62</v>
      </c>
      <c r="F134" s="16">
        <v>2002</v>
      </c>
      <c r="G134" s="22">
        <v>506</v>
      </c>
      <c r="H134" s="62"/>
      <c r="I134" s="61"/>
      <c r="J134" s="60"/>
    </row>
    <row r="135" spans="2:10">
      <c r="B135"/>
      <c r="C135"/>
      <c r="D135" s="18" t="s">
        <v>60</v>
      </c>
      <c r="E135" s="17" t="s">
        <v>63</v>
      </c>
      <c r="F135" s="16">
        <v>2003</v>
      </c>
      <c r="G135" s="22">
        <v>506</v>
      </c>
      <c r="H135" s="62"/>
      <c r="I135" s="61"/>
      <c r="J135" s="60"/>
    </row>
    <row r="136" spans="2:10" ht="15.75" customHeight="1">
      <c r="B136"/>
      <c r="C136"/>
      <c r="D136" s="18" t="s">
        <v>60</v>
      </c>
      <c r="E136" s="17" t="s">
        <v>64</v>
      </c>
      <c r="F136" s="16">
        <v>2003</v>
      </c>
      <c r="G136" s="22">
        <v>506</v>
      </c>
      <c r="H136" s="62"/>
      <c r="I136" s="61"/>
      <c r="J136" s="60"/>
    </row>
    <row r="137" spans="2:10">
      <c r="B137"/>
      <c r="C137"/>
      <c r="D137" s="18" t="s">
        <v>65</v>
      </c>
      <c r="E137" s="17" t="s">
        <v>66</v>
      </c>
      <c r="F137" s="16">
        <v>1985</v>
      </c>
      <c r="G137" s="22">
        <v>476</v>
      </c>
      <c r="H137" s="62"/>
      <c r="I137" s="61"/>
      <c r="J137" s="60"/>
    </row>
    <row r="138" spans="2:10">
      <c r="B138"/>
      <c r="C138"/>
      <c r="D138" s="18" t="s">
        <v>65</v>
      </c>
      <c r="E138" s="17" t="s">
        <v>67</v>
      </c>
      <c r="F138" s="16">
        <v>1994</v>
      </c>
      <c r="G138" s="22">
        <v>357</v>
      </c>
      <c r="H138" s="62"/>
      <c r="I138" s="61"/>
      <c r="J138" s="60"/>
    </row>
    <row r="139" spans="2:10">
      <c r="B139"/>
      <c r="C139"/>
      <c r="D139" s="18" t="s">
        <v>65</v>
      </c>
      <c r="E139" s="17" t="s">
        <v>68</v>
      </c>
      <c r="F139" s="16">
        <v>1994</v>
      </c>
      <c r="G139" s="22">
        <v>230</v>
      </c>
      <c r="H139" s="62"/>
      <c r="I139" s="61"/>
      <c r="J139" s="60"/>
    </row>
    <row r="140" spans="2:10">
      <c r="B140"/>
      <c r="C140"/>
      <c r="D140" s="18" t="s">
        <v>69</v>
      </c>
      <c r="E140" s="17" t="s">
        <v>70</v>
      </c>
      <c r="F140" s="16">
        <v>2004</v>
      </c>
      <c r="G140" s="22">
        <v>106</v>
      </c>
      <c r="H140" s="62"/>
      <c r="I140" s="61"/>
      <c r="J140" s="60"/>
    </row>
    <row r="141" spans="2:10">
      <c r="B141"/>
      <c r="C141"/>
      <c r="D141" s="18" t="s">
        <v>69</v>
      </c>
      <c r="E141" s="17" t="s">
        <v>71</v>
      </c>
      <c r="F141" s="16">
        <v>2004</v>
      </c>
      <c r="G141" s="22">
        <v>106</v>
      </c>
      <c r="H141" s="62"/>
      <c r="I141" s="61"/>
      <c r="J141" s="60"/>
    </row>
    <row r="142" spans="2:10">
      <c r="B142"/>
      <c r="C142"/>
      <c r="D142" s="18" t="s">
        <v>35</v>
      </c>
      <c r="E142" s="17" t="s">
        <v>36</v>
      </c>
      <c r="F142" s="16">
        <v>1994</v>
      </c>
      <c r="G142" s="15">
        <v>459</v>
      </c>
      <c r="H142" s="62"/>
      <c r="I142" s="61"/>
      <c r="J142" s="60"/>
    </row>
    <row r="143" spans="2:10">
      <c r="B143"/>
      <c r="C143"/>
      <c r="D143" s="18" t="s">
        <v>35</v>
      </c>
      <c r="E143" s="17" t="s">
        <v>37</v>
      </c>
      <c r="F143" s="16">
        <v>1994</v>
      </c>
      <c r="G143" s="15">
        <v>459</v>
      </c>
      <c r="H143" s="62"/>
      <c r="I143" s="61"/>
      <c r="J143" s="60"/>
    </row>
    <row r="144" spans="2:10">
      <c r="B144"/>
      <c r="C144"/>
      <c r="D144" s="18" t="s">
        <v>38</v>
      </c>
      <c r="E144" s="17" t="s">
        <v>39</v>
      </c>
      <c r="F144" s="16">
        <v>2002</v>
      </c>
      <c r="G144" s="15">
        <v>378</v>
      </c>
      <c r="H144" s="62"/>
      <c r="I144" s="61"/>
      <c r="J144" s="60"/>
    </row>
    <row r="145" spans="2:10">
      <c r="B145"/>
      <c r="C145"/>
      <c r="D145" s="18" t="s">
        <v>38</v>
      </c>
      <c r="E145" s="17" t="s">
        <v>39</v>
      </c>
      <c r="F145" s="16">
        <v>2004</v>
      </c>
      <c r="G145" s="15">
        <v>378</v>
      </c>
      <c r="H145" s="62"/>
      <c r="I145" s="61"/>
      <c r="J145" s="60"/>
    </row>
    <row r="146" spans="2:10">
      <c r="B146"/>
      <c r="C146"/>
      <c r="D146" s="18" t="s">
        <v>38</v>
      </c>
      <c r="E146" s="17" t="s">
        <v>39</v>
      </c>
      <c r="F146" s="16">
        <v>2005</v>
      </c>
      <c r="G146" s="15">
        <v>378</v>
      </c>
      <c r="H146" s="62"/>
      <c r="I146" s="61"/>
      <c r="J146" s="60"/>
    </row>
    <row r="147" spans="2:10">
      <c r="B147"/>
      <c r="C147"/>
      <c r="D147" s="18" t="s">
        <v>38</v>
      </c>
      <c r="E147" s="17" t="s">
        <v>40</v>
      </c>
      <c r="F147" s="21">
        <v>2003</v>
      </c>
      <c r="G147" s="15">
        <v>344</v>
      </c>
      <c r="H147" s="62"/>
      <c r="I147" s="61"/>
      <c r="J147" s="60"/>
    </row>
    <row r="148" spans="2:10">
      <c r="B148"/>
      <c r="C148"/>
      <c r="D148" s="18" t="s">
        <v>38</v>
      </c>
      <c r="E148" s="17" t="s">
        <v>40</v>
      </c>
      <c r="F148" s="21">
        <v>2004</v>
      </c>
      <c r="G148" s="15">
        <v>344</v>
      </c>
      <c r="H148" s="62"/>
      <c r="I148" s="61"/>
      <c r="J148" s="60"/>
    </row>
    <row r="149" spans="2:10">
      <c r="B149"/>
      <c r="C149"/>
      <c r="D149" s="18" t="s">
        <v>38</v>
      </c>
      <c r="E149" s="17" t="s">
        <v>40</v>
      </c>
      <c r="F149" s="21">
        <v>2005</v>
      </c>
      <c r="G149" s="15">
        <v>344</v>
      </c>
      <c r="H149" s="62"/>
      <c r="I149" s="61"/>
      <c r="J149" s="60"/>
    </row>
    <row r="150" spans="2:10">
      <c r="B150"/>
      <c r="C150"/>
      <c r="D150" s="18" t="s">
        <v>38</v>
      </c>
      <c r="E150" s="17" t="s">
        <v>41</v>
      </c>
      <c r="F150" s="16">
        <v>2004</v>
      </c>
      <c r="G150" s="15">
        <v>331</v>
      </c>
      <c r="H150" s="62"/>
      <c r="I150" s="61"/>
      <c r="J150" s="60"/>
    </row>
    <row r="151" spans="2:10">
      <c r="B151"/>
      <c r="C151"/>
      <c r="D151" s="18" t="s">
        <v>38</v>
      </c>
      <c r="E151" s="17" t="s">
        <v>41</v>
      </c>
      <c r="F151" s="16">
        <v>2005</v>
      </c>
      <c r="G151" s="15">
        <v>331</v>
      </c>
      <c r="H151" s="62"/>
      <c r="I151" s="61"/>
      <c r="J151" s="60"/>
    </row>
    <row r="152" spans="2:10">
      <c r="B152"/>
      <c r="C152"/>
      <c r="D152" s="18" t="s">
        <v>38</v>
      </c>
      <c r="E152" s="17" t="s">
        <v>42</v>
      </c>
      <c r="F152" s="16">
        <v>2004</v>
      </c>
      <c r="G152" s="15">
        <v>419</v>
      </c>
      <c r="H152" s="62"/>
      <c r="I152" s="61"/>
      <c r="J152" s="60"/>
    </row>
    <row r="153" spans="2:10">
      <c r="B153"/>
      <c r="C153"/>
      <c r="D153" s="18" t="s">
        <v>38</v>
      </c>
      <c r="E153" s="17" t="s">
        <v>42</v>
      </c>
      <c r="F153" s="16">
        <v>2005</v>
      </c>
      <c r="G153" s="15">
        <v>419</v>
      </c>
      <c r="H153" s="62"/>
      <c r="I153" s="61"/>
      <c r="J153" s="60"/>
    </row>
    <row r="154" spans="2:10">
      <c r="B154"/>
      <c r="C154"/>
      <c r="D154" s="18" t="s">
        <v>38</v>
      </c>
      <c r="E154" s="20" t="s">
        <v>43</v>
      </c>
      <c r="F154" s="16">
        <v>2004</v>
      </c>
      <c r="G154" s="15">
        <v>284</v>
      </c>
      <c r="H154" s="62"/>
      <c r="I154" s="61"/>
      <c r="J154" s="60"/>
    </row>
    <row r="155" spans="2:10">
      <c r="B155"/>
      <c r="C155"/>
      <c r="D155" s="18" t="s">
        <v>38</v>
      </c>
      <c r="E155" s="20" t="s">
        <v>44</v>
      </c>
      <c r="F155" s="19">
        <v>2006</v>
      </c>
      <c r="G155" s="15">
        <v>284</v>
      </c>
      <c r="H155" s="62"/>
      <c r="I155" s="61"/>
      <c r="J155" s="60"/>
    </row>
    <row r="156" spans="2:10">
      <c r="B156"/>
      <c r="C156"/>
      <c r="D156" s="18" t="s">
        <v>45</v>
      </c>
      <c r="E156" s="17" t="s">
        <v>46</v>
      </c>
      <c r="F156" s="16">
        <v>2003</v>
      </c>
      <c r="G156" s="15">
        <v>419</v>
      </c>
      <c r="H156" s="62"/>
      <c r="I156" s="61"/>
      <c r="J156" s="60"/>
    </row>
    <row r="157" spans="2:10">
      <c r="B157"/>
      <c r="C157"/>
      <c r="D157" s="18" t="s">
        <v>45</v>
      </c>
      <c r="E157" s="17" t="s">
        <v>46</v>
      </c>
      <c r="F157" s="16">
        <v>2004</v>
      </c>
      <c r="G157" s="15">
        <v>419</v>
      </c>
      <c r="H157" s="62"/>
      <c r="I157" s="61"/>
      <c r="J157" s="60"/>
    </row>
    <row r="158" spans="2:10">
      <c r="B158"/>
      <c r="C158"/>
      <c r="D158" s="18" t="s">
        <v>45</v>
      </c>
      <c r="E158" s="17" t="s">
        <v>47</v>
      </c>
      <c r="F158" s="16">
        <v>2003</v>
      </c>
      <c r="G158" s="15">
        <v>493</v>
      </c>
      <c r="H158" s="62"/>
      <c r="I158" s="61"/>
      <c r="J158" s="60"/>
    </row>
    <row r="159" spans="2:10">
      <c r="B159"/>
      <c r="C159"/>
      <c r="D159" s="18" t="s">
        <v>45</v>
      </c>
      <c r="E159" s="17" t="s">
        <v>47</v>
      </c>
      <c r="F159" s="16">
        <v>2004</v>
      </c>
      <c r="G159" s="15">
        <v>493</v>
      </c>
      <c r="H159" s="62"/>
      <c r="I159" s="61"/>
      <c r="J159" s="60"/>
    </row>
    <row r="160" spans="2:10">
      <c r="B160"/>
      <c r="C160"/>
      <c r="D160" s="18" t="s">
        <v>45</v>
      </c>
      <c r="E160" s="17" t="s">
        <v>48</v>
      </c>
      <c r="F160" s="16">
        <v>2001</v>
      </c>
      <c r="G160" s="15">
        <v>493</v>
      </c>
      <c r="H160" s="62"/>
      <c r="I160" s="61"/>
      <c r="J160" s="60"/>
    </row>
    <row r="161" spans="2:10">
      <c r="B161"/>
      <c r="C161"/>
      <c r="D161" s="18" t="s">
        <v>45</v>
      </c>
      <c r="E161" s="17" t="s">
        <v>48</v>
      </c>
      <c r="F161" s="16">
        <v>2002</v>
      </c>
      <c r="G161" s="15">
        <v>493</v>
      </c>
      <c r="H161" s="62"/>
      <c r="I161" s="61"/>
      <c r="J161" s="60"/>
    </row>
    <row r="162" spans="2:10">
      <c r="B162"/>
      <c r="C162"/>
      <c r="D162" s="18" t="s">
        <v>45</v>
      </c>
      <c r="E162" s="17" t="s">
        <v>48</v>
      </c>
      <c r="F162" s="16">
        <v>2003</v>
      </c>
      <c r="G162" s="15">
        <v>493</v>
      </c>
      <c r="H162" s="62"/>
      <c r="I162" s="61"/>
      <c r="J162" s="60"/>
    </row>
    <row r="163" spans="2:10">
      <c r="B163"/>
      <c r="C163"/>
      <c r="D163" s="18" t="s">
        <v>49</v>
      </c>
      <c r="E163" s="17" t="s">
        <v>50</v>
      </c>
      <c r="F163" s="16">
        <v>1999</v>
      </c>
      <c r="G163" s="15">
        <v>1033</v>
      </c>
      <c r="H163" s="62"/>
      <c r="I163" s="61"/>
      <c r="J163" s="60"/>
    </row>
    <row r="164" spans="2:10">
      <c r="B164"/>
      <c r="C164"/>
      <c r="D164" s="18" t="s">
        <v>49</v>
      </c>
      <c r="E164" s="17" t="s">
        <v>50</v>
      </c>
      <c r="F164" s="16">
        <v>2000</v>
      </c>
      <c r="G164" s="15">
        <v>1033</v>
      </c>
      <c r="H164" s="62"/>
      <c r="I164" s="61"/>
      <c r="J164" s="60"/>
    </row>
    <row r="165" spans="2:10">
      <c r="B165"/>
      <c r="C165"/>
      <c r="D165" s="18" t="s">
        <v>49</v>
      </c>
      <c r="E165" s="17" t="s">
        <v>51</v>
      </c>
      <c r="F165" s="16">
        <v>2000</v>
      </c>
      <c r="G165" s="15">
        <v>2228</v>
      </c>
      <c r="H165" s="62"/>
      <c r="I165" s="61"/>
      <c r="J165" s="60"/>
    </row>
    <row r="166" spans="2:10">
      <c r="B166"/>
      <c r="C166"/>
      <c r="D166" s="18" t="s">
        <v>49</v>
      </c>
      <c r="E166" s="17" t="s">
        <v>51</v>
      </c>
      <c r="F166" s="16">
        <v>2001</v>
      </c>
      <c r="G166" s="15">
        <v>2228</v>
      </c>
      <c r="H166" s="62"/>
      <c r="I166" s="61"/>
      <c r="J166" s="60"/>
    </row>
    <row r="167" spans="2:10">
      <c r="B167"/>
      <c r="C167"/>
      <c r="D167" s="18" t="s">
        <v>49</v>
      </c>
      <c r="E167" s="17" t="s">
        <v>52</v>
      </c>
      <c r="F167" s="16">
        <v>2002</v>
      </c>
      <c r="G167" s="15">
        <v>1512</v>
      </c>
      <c r="H167" s="62"/>
      <c r="I167" s="61"/>
      <c r="J167" s="60"/>
    </row>
    <row r="168" spans="2:10">
      <c r="B168"/>
      <c r="C168"/>
      <c r="D168" s="18" t="s">
        <v>53</v>
      </c>
      <c r="E168" s="17" t="s">
        <v>54</v>
      </c>
      <c r="F168" s="16">
        <v>2004</v>
      </c>
      <c r="G168" s="15">
        <v>230</v>
      </c>
      <c r="H168" s="62"/>
      <c r="I168" s="61"/>
      <c r="J168" s="60"/>
    </row>
    <row r="169" spans="2:10">
      <c r="B169"/>
      <c r="C169"/>
      <c r="D169" s="18" t="s">
        <v>53</v>
      </c>
      <c r="E169" s="17" t="s">
        <v>55</v>
      </c>
      <c r="F169" s="16">
        <v>2004</v>
      </c>
      <c r="G169" s="15">
        <v>230</v>
      </c>
      <c r="H169" s="62"/>
      <c r="I169" s="61"/>
      <c r="J169" s="60"/>
    </row>
    <row r="170" spans="2:10">
      <c r="B170"/>
      <c r="C170"/>
      <c r="D170" s="18" t="s">
        <v>53</v>
      </c>
      <c r="E170" s="17" t="s">
        <v>56</v>
      </c>
      <c r="F170" s="16">
        <v>2004</v>
      </c>
      <c r="G170" s="15">
        <v>230</v>
      </c>
      <c r="H170" s="62"/>
      <c r="I170" s="61"/>
      <c r="J170" s="60"/>
    </row>
    <row r="171" spans="2:10">
      <c r="B171"/>
      <c r="C171"/>
      <c r="D171" s="18" t="s">
        <v>53</v>
      </c>
      <c r="E171" s="17" t="s">
        <v>57</v>
      </c>
      <c r="F171" s="16">
        <v>2004</v>
      </c>
      <c r="G171" s="15">
        <v>230</v>
      </c>
      <c r="H171" s="62"/>
      <c r="I171" s="61"/>
      <c r="J171" s="60"/>
    </row>
    <row r="172" spans="2:10">
      <c r="B172"/>
      <c r="C172"/>
      <c r="D172" s="18" t="s">
        <v>53</v>
      </c>
      <c r="E172" s="17" t="s">
        <v>58</v>
      </c>
      <c r="F172" s="16">
        <v>2002</v>
      </c>
      <c r="G172" s="15">
        <v>230</v>
      </c>
      <c r="H172" s="62"/>
      <c r="I172" s="61"/>
      <c r="J172" s="60"/>
    </row>
    <row r="173" spans="2:10">
      <c r="B173"/>
      <c r="C173"/>
      <c r="D173" s="18" t="s">
        <v>53</v>
      </c>
      <c r="E173" s="17" t="s">
        <v>58</v>
      </c>
      <c r="F173" s="16">
        <v>2004</v>
      </c>
      <c r="G173" s="15">
        <v>230</v>
      </c>
      <c r="H173" s="62"/>
      <c r="I173" s="61"/>
      <c r="J173" s="60"/>
    </row>
    <row r="174" spans="2:10">
      <c r="B174"/>
      <c r="C174"/>
      <c r="D174" s="18" t="s">
        <v>53</v>
      </c>
      <c r="E174" s="17" t="s">
        <v>59</v>
      </c>
      <c r="F174" s="16">
        <v>2003</v>
      </c>
      <c r="G174" s="15">
        <v>324</v>
      </c>
      <c r="H174" s="62"/>
      <c r="I174" s="61"/>
      <c r="J174" s="60"/>
    </row>
    <row r="175" spans="2:10">
      <c r="B175"/>
      <c r="C175"/>
      <c r="D175" s="18" t="s">
        <v>53</v>
      </c>
      <c r="E175" s="17" t="s">
        <v>59</v>
      </c>
      <c r="F175" s="16">
        <v>2004</v>
      </c>
      <c r="G175" s="15">
        <v>324</v>
      </c>
      <c r="H175" s="62"/>
      <c r="I175" s="61"/>
      <c r="J175" s="60"/>
    </row>
    <row r="176" spans="2:10">
      <c r="B176"/>
      <c r="C176"/>
      <c r="D176" s="18" t="s">
        <v>60</v>
      </c>
      <c r="E176" s="17" t="s">
        <v>61</v>
      </c>
      <c r="F176" s="16">
        <v>2004</v>
      </c>
      <c r="G176" s="15">
        <v>655</v>
      </c>
      <c r="H176" s="62"/>
      <c r="I176" s="61"/>
      <c r="J176" s="60"/>
    </row>
    <row r="177" spans="2:10">
      <c r="B177"/>
      <c r="C177"/>
      <c r="D177" s="18" t="s">
        <v>60</v>
      </c>
      <c r="E177" s="17" t="s">
        <v>62</v>
      </c>
      <c r="F177" s="16">
        <v>2000</v>
      </c>
      <c r="G177" s="15">
        <v>803</v>
      </c>
      <c r="H177" s="62"/>
      <c r="I177" s="61"/>
      <c r="J177" s="60"/>
    </row>
    <row r="178" spans="2:10">
      <c r="B178"/>
      <c r="C178"/>
      <c r="D178" s="18" t="s">
        <v>60</v>
      </c>
      <c r="E178" s="17" t="s">
        <v>62</v>
      </c>
      <c r="F178" s="16">
        <v>2002</v>
      </c>
      <c r="G178" s="15">
        <v>803</v>
      </c>
      <c r="H178" s="62"/>
      <c r="I178" s="61"/>
      <c r="J178" s="60"/>
    </row>
    <row r="179" spans="2:10">
      <c r="B179"/>
      <c r="C179"/>
      <c r="D179" s="18" t="s">
        <v>60</v>
      </c>
      <c r="E179" s="17" t="s">
        <v>63</v>
      </c>
      <c r="F179" s="16">
        <v>2003</v>
      </c>
      <c r="G179" s="15">
        <v>803</v>
      </c>
      <c r="H179" s="62"/>
      <c r="I179" s="61"/>
      <c r="J179" s="60"/>
    </row>
    <row r="180" spans="2:10">
      <c r="B180"/>
      <c r="C180"/>
      <c r="D180" s="18" t="s">
        <v>60</v>
      </c>
      <c r="E180" s="17" t="s">
        <v>64</v>
      </c>
      <c r="F180" s="16">
        <v>2003</v>
      </c>
      <c r="G180" s="15">
        <v>803</v>
      </c>
      <c r="H180" s="62"/>
      <c r="I180" s="61"/>
      <c r="J180" s="60"/>
    </row>
    <row r="181" spans="2:10">
      <c r="B181"/>
      <c r="C181"/>
      <c r="D181" s="18" t="s">
        <v>65</v>
      </c>
      <c r="E181" s="17" t="s">
        <v>66</v>
      </c>
      <c r="F181" s="16">
        <v>1985</v>
      </c>
      <c r="G181" s="15">
        <v>756</v>
      </c>
      <c r="H181" s="62"/>
      <c r="I181" s="61"/>
      <c r="J181" s="60"/>
    </row>
    <row r="182" spans="2:10">
      <c r="B182"/>
      <c r="C182"/>
      <c r="D182" s="18" t="s">
        <v>65</v>
      </c>
      <c r="E182" s="17" t="s">
        <v>67</v>
      </c>
      <c r="F182" s="16">
        <v>2003</v>
      </c>
      <c r="G182" s="15">
        <v>567</v>
      </c>
      <c r="H182" s="62"/>
      <c r="I182" s="61"/>
      <c r="J182" s="60"/>
    </row>
    <row r="183" spans="2:10">
      <c r="B183"/>
      <c r="C183"/>
      <c r="D183" s="18" t="s">
        <v>65</v>
      </c>
      <c r="E183" s="17" t="s">
        <v>68</v>
      </c>
      <c r="F183" s="16">
        <v>1994</v>
      </c>
      <c r="G183" s="15">
        <v>365</v>
      </c>
      <c r="H183" s="62"/>
      <c r="I183" s="61"/>
      <c r="J183" s="60"/>
    </row>
    <row r="184" spans="2:10">
      <c r="B184"/>
      <c r="C184"/>
      <c r="D184" s="18" t="s">
        <v>69</v>
      </c>
      <c r="E184" s="17" t="s">
        <v>70</v>
      </c>
      <c r="F184" s="16">
        <v>2004</v>
      </c>
      <c r="G184" s="15">
        <v>169</v>
      </c>
      <c r="H184" s="62"/>
      <c r="I184" s="61"/>
      <c r="J184" s="60"/>
    </row>
    <row r="185" spans="2:10">
      <c r="B185"/>
      <c r="C185"/>
      <c r="D185" s="18" t="s">
        <v>69</v>
      </c>
      <c r="E185" s="17" t="s">
        <v>71</v>
      </c>
      <c r="F185" s="16">
        <v>2004</v>
      </c>
      <c r="G185" s="15">
        <v>169</v>
      </c>
      <c r="H185" s="62"/>
      <c r="I185" s="61"/>
      <c r="J185" s="60"/>
    </row>
    <row r="186" spans="2:10">
      <c r="B186"/>
      <c r="C186"/>
      <c r="D186" s="18" t="s">
        <v>38</v>
      </c>
      <c r="E186" s="17" t="s">
        <v>39</v>
      </c>
      <c r="F186" s="16">
        <v>2002</v>
      </c>
      <c r="G186" s="15">
        <v>200</v>
      </c>
      <c r="H186" s="62"/>
      <c r="I186" s="61"/>
      <c r="J186" s="60"/>
    </row>
    <row r="187" spans="2:10">
      <c r="B187"/>
      <c r="C187"/>
      <c r="D187" s="18" t="s">
        <v>38</v>
      </c>
      <c r="E187" s="17" t="s">
        <v>39</v>
      </c>
      <c r="F187" s="16">
        <v>2004</v>
      </c>
      <c r="G187" s="15">
        <v>200</v>
      </c>
      <c r="H187" s="62"/>
      <c r="I187" s="61"/>
      <c r="J187" s="60"/>
    </row>
    <row r="188" spans="2:10">
      <c r="B188"/>
      <c r="C188"/>
      <c r="D188" s="18" t="s">
        <v>38</v>
      </c>
      <c r="E188" s="17" t="s">
        <v>39</v>
      </c>
      <c r="F188" s="16">
        <v>2005</v>
      </c>
      <c r="G188" s="15">
        <v>200</v>
      </c>
      <c r="H188" s="62"/>
      <c r="I188" s="61"/>
      <c r="J188" s="60"/>
    </row>
    <row r="189" spans="2:10">
      <c r="B189"/>
      <c r="C189"/>
      <c r="D189" s="18" t="s">
        <v>38</v>
      </c>
      <c r="E189" s="17" t="s">
        <v>40</v>
      </c>
      <c r="F189" s="21">
        <v>2003</v>
      </c>
      <c r="G189" s="15">
        <v>180</v>
      </c>
      <c r="H189" s="62"/>
      <c r="I189" s="61"/>
      <c r="J189" s="60"/>
    </row>
    <row r="190" spans="2:10">
      <c r="B190"/>
      <c r="C190"/>
      <c r="D190" s="18" t="s">
        <v>38</v>
      </c>
      <c r="E190" s="17" t="s">
        <v>40</v>
      </c>
      <c r="F190" s="21">
        <v>2004</v>
      </c>
      <c r="G190" s="15">
        <v>180</v>
      </c>
      <c r="H190" s="62"/>
      <c r="I190" s="61"/>
      <c r="J190" s="60"/>
    </row>
    <row r="191" spans="2:10">
      <c r="B191"/>
      <c r="C191"/>
      <c r="D191" s="18" t="s">
        <v>38</v>
      </c>
      <c r="E191" s="17" t="s">
        <v>40</v>
      </c>
      <c r="F191" s="21">
        <v>2005</v>
      </c>
      <c r="G191" s="15">
        <v>180</v>
      </c>
      <c r="H191" s="62"/>
      <c r="I191" s="61"/>
      <c r="J191" s="60"/>
    </row>
    <row r="192" spans="2:10">
      <c r="B192"/>
      <c r="C192"/>
      <c r="D192" s="18" t="s">
        <v>38</v>
      </c>
      <c r="E192" s="17" t="s">
        <v>41</v>
      </c>
      <c r="F192" s="16">
        <v>2004</v>
      </c>
      <c r="G192" s="15">
        <v>175</v>
      </c>
      <c r="H192" s="62"/>
      <c r="I192" s="61"/>
      <c r="J192" s="60"/>
    </row>
    <row r="193" spans="2:10">
      <c r="B193"/>
      <c r="C193"/>
      <c r="D193" s="18" t="s">
        <v>38</v>
      </c>
      <c r="E193" s="17" t="s">
        <v>41</v>
      </c>
      <c r="F193" s="16">
        <v>2005</v>
      </c>
      <c r="G193" s="15">
        <v>175</v>
      </c>
      <c r="H193" s="62"/>
      <c r="I193" s="61"/>
      <c r="J193" s="60"/>
    </row>
    <row r="194" spans="2:10">
      <c r="B194"/>
      <c r="C194"/>
      <c r="D194" s="18" t="s">
        <v>38</v>
      </c>
      <c r="E194" s="17" t="s">
        <v>42</v>
      </c>
      <c r="F194" s="16">
        <v>2004</v>
      </c>
      <c r="G194" s="15">
        <v>220</v>
      </c>
      <c r="H194" s="62"/>
      <c r="I194" s="61"/>
      <c r="J194" s="60"/>
    </row>
    <row r="195" spans="2:10">
      <c r="B195"/>
      <c r="C195"/>
      <c r="D195" s="18" t="s">
        <v>38</v>
      </c>
      <c r="E195" s="17" t="s">
        <v>42</v>
      </c>
      <c r="F195" s="16">
        <v>2005</v>
      </c>
      <c r="G195" s="15">
        <v>220</v>
      </c>
      <c r="H195" s="62"/>
      <c r="I195" s="61"/>
      <c r="J195" s="60"/>
    </row>
    <row r="196" spans="2:10">
      <c r="B196"/>
      <c r="C196"/>
      <c r="D196" s="18" t="s">
        <v>38</v>
      </c>
      <c r="E196" s="20" t="s">
        <v>43</v>
      </c>
      <c r="F196" s="16">
        <v>2004</v>
      </c>
      <c r="G196" s="15">
        <v>150</v>
      </c>
      <c r="H196" s="62"/>
      <c r="I196" s="61"/>
      <c r="J196" s="60"/>
    </row>
    <row r="197" spans="2:10">
      <c r="B197"/>
      <c r="C197"/>
      <c r="D197" s="18" t="s">
        <v>38</v>
      </c>
      <c r="E197" s="20" t="s">
        <v>44</v>
      </c>
      <c r="F197" s="19">
        <v>2006</v>
      </c>
      <c r="G197" s="15">
        <v>150</v>
      </c>
      <c r="H197" s="62"/>
      <c r="I197" s="61"/>
      <c r="J197" s="60"/>
    </row>
    <row r="198" spans="2:10">
      <c r="B198"/>
      <c r="C198"/>
      <c r="D198" s="18" t="s">
        <v>45</v>
      </c>
      <c r="E198" s="17" t="s">
        <v>46</v>
      </c>
      <c r="F198" s="16">
        <v>2003</v>
      </c>
      <c r="G198" s="15">
        <v>220</v>
      </c>
      <c r="H198" s="62"/>
      <c r="I198" s="61"/>
      <c r="J198" s="60"/>
    </row>
    <row r="199" spans="2:10">
      <c r="B199"/>
      <c r="C199"/>
      <c r="D199" s="18" t="s">
        <v>45</v>
      </c>
      <c r="E199" s="17" t="s">
        <v>46</v>
      </c>
      <c r="F199" s="16">
        <v>2004</v>
      </c>
      <c r="G199" s="15">
        <v>220</v>
      </c>
      <c r="H199" s="62"/>
      <c r="I199" s="61"/>
      <c r="J199" s="60"/>
    </row>
    <row r="200" spans="2:10">
      <c r="B200"/>
      <c r="C200"/>
      <c r="D200" s="18" t="s">
        <v>45</v>
      </c>
      <c r="E200" s="17" t="s">
        <v>47</v>
      </c>
      <c r="F200" s="16">
        <v>2003</v>
      </c>
      <c r="G200" s="15">
        <v>260</v>
      </c>
      <c r="H200" s="62"/>
      <c r="I200" s="61"/>
      <c r="J200" s="60"/>
    </row>
    <row r="201" spans="2:10">
      <c r="B201"/>
      <c r="C201"/>
      <c r="D201" s="18" t="s">
        <v>45</v>
      </c>
      <c r="E201" s="17" t="s">
        <v>47</v>
      </c>
      <c r="F201" s="16">
        <v>2004</v>
      </c>
      <c r="G201" s="15">
        <v>260</v>
      </c>
      <c r="H201" s="62"/>
      <c r="I201" s="61"/>
      <c r="J201" s="60"/>
    </row>
    <row r="202" spans="2:10">
      <c r="B202"/>
      <c r="C202"/>
      <c r="D202" s="18" t="s">
        <v>45</v>
      </c>
      <c r="E202" s="17" t="s">
        <v>48</v>
      </c>
      <c r="F202" s="16">
        <v>2001</v>
      </c>
      <c r="G202" s="15">
        <v>260</v>
      </c>
      <c r="H202" s="62"/>
      <c r="I202" s="61"/>
      <c r="J202" s="60"/>
    </row>
    <row r="203" spans="2:10">
      <c r="B203"/>
      <c r="C203"/>
      <c r="D203" s="18" t="s">
        <v>45</v>
      </c>
      <c r="E203" s="17" t="s">
        <v>48</v>
      </c>
      <c r="F203" s="16">
        <v>2002</v>
      </c>
      <c r="G203" s="15">
        <v>260</v>
      </c>
      <c r="H203" s="62"/>
      <c r="I203" s="61"/>
      <c r="J203" s="60"/>
    </row>
    <row r="204" spans="2:10">
      <c r="B204"/>
      <c r="C204"/>
      <c r="D204" s="18" t="s">
        <v>45</v>
      </c>
      <c r="E204" s="17" t="s">
        <v>48</v>
      </c>
      <c r="F204" s="16">
        <v>2003</v>
      </c>
      <c r="G204" s="15">
        <v>260</v>
      </c>
      <c r="H204" s="62"/>
      <c r="I204" s="61"/>
      <c r="J204" s="60"/>
    </row>
    <row r="205" spans="2:10">
      <c r="B205"/>
      <c r="C205"/>
      <c r="D205" s="18" t="s">
        <v>49</v>
      </c>
      <c r="E205" s="17" t="s">
        <v>50</v>
      </c>
      <c r="F205" s="16">
        <v>1999</v>
      </c>
      <c r="G205" s="15">
        <v>545</v>
      </c>
      <c r="H205" s="62"/>
      <c r="I205" s="61"/>
      <c r="J205" s="60"/>
    </row>
    <row r="206" spans="2:10">
      <c r="B206"/>
      <c r="C206"/>
      <c r="D206" s="18" t="s">
        <v>49</v>
      </c>
      <c r="E206" s="17" t="s">
        <v>50</v>
      </c>
      <c r="F206" s="16">
        <v>2000</v>
      </c>
      <c r="G206" s="15">
        <v>545</v>
      </c>
      <c r="H206" s="62"/>
      <c r="I206" s="61"/>
      <c r="J206" s="60"/>
    </row>
    <row r="207" spans="2:10">
      <c r="B207"/>
      <c r="C207"/>
      <c r="D207" s="18" t="s">
        <v>49</v>
      </c>
      <c r="E207" s="17" t="s">
        <v>51</v>
      </c>
      <c r="F207" s="16">
        <v>2000</v>
      </c>
      <c r="G207" s="15">
        <v>1150</v>
      </c>
      <c r="H207" s="62"/>
      <c r="I207" s="61"/>
      <c r="J207" s="60"/>
    </row>
    <row r="208" spans="2:10">
      <c r="B208"/>
      <c r="C208"/>
      <c r="D208" s="18" t="s">
        <v>49</v>
      </c>
      <c r="E208" s="17" t="s">
        <v>51</v>
      </c>
      <c r="F208" s="16">
        <v>2001</v>
      </c>
      <c r="G208" s="15">
        <v>1150</v>
      </c>
      <c r="H208" s="62"/>
      <c r="I208" s="61"/>
      <c r="J208" s="60"/>
    </row>
    <row r="209" spans="2:10">
      <c r="B209"/>
      <c r="C209"/>
      <c r="D209" s="18" t="s">
        <v>49</v>
      </c>
      <c r="E209" s="17" t="s">
        <v>52</v>
      </c>
      <c r="F209" s="16">
        <v>2002</v>
      </c>
      <c r="G209" s="15">
        <v>795</v>
      </c>
      <c r="H209" s="62"/>
      <c r="I209" s="61"/>
      <c r="J209" s="60"/>
    </row>
    <row r="210" spans="2:10">
      <c r="B210"/>
      <c r="C210"/>
      <c r="D210" s="18" t="s">
        <v>53</v>
      </c>
      <c r="E210" s="17" t="s">
        <v>54</v>
      </c>
      <c r="F210" s="16">
        <v>2004</v>
      </c>
      <c r="G210" s="15">
        <v>120</v>
      </c>
      <c r="H210" s="62"/>
      <c r="I210" s="61"/>
      <c r="J210" s="60"/>
    </row>
    <row r="211" spans="2:10">
      <c r="B211"/>
      <c r="C211"/>
      <c r="D211" s="18" t="s">
        <v>53</v>
      </c>
      <c r="E211" s="17" t="s">
        <v>55</v>
      </c>
      <c r="F211" s="16">
        <v>2004</v>
      </c>
      <c r="G211" s="15">
        <v>120</v>
      </c>
      <c r="H211" s="62"/>
      <c r="I211" s="61"/>
      <c r="J211" s="60"/>
    </row>
    <row r="212" spans="2:10">
      <c r="B212"/>
      <c r="C212"/>
      <c r="D212" s="18" t="s">
        <v>53</v>
      </c>
      <c r="E212" s="17" t="s">
        <v>56</v>
      </c>
      <c r="F212" s="16">
        <v>2004</v>
      </c>
      <c r="G212" s="15">
        <v>120</v>
      </c>
      <c r="H212" s="62"/>
      <c r="I212" s="61"/>
      <c r="J212" s="60"/>
    </row>
    <row r="213" spans="2:10">
      <c r="B213"/>
      <c r="C213"/>
      <c r="D213" s="18" t="s">
        <v>53</v>
      </c>
      <c r="E213" s="17" t="s">
        <v>57</v>
      </c>
      <c r="F213" s="16">
        <v>2004</v>
      </c>
      <c r="G213" s="15">
        <v>120</v>
      </c>
      <c r="H213" s="62"/>
      <c r="I213" s="61"/>
      <c r="J213" s="60"/>
    </row>
    <row r="214" spans="2:10">
      <c r="B214"/>
      <c r="C214"/>
      <c r="D214" s="18" t="s">
        <v>53</v>
      </c>
      <c r="E214" s="17" t="s">
        <v>58</v>
      </c>
      <c r="F214" s="16">
        <v>2002</v>
      </c>
      <c r="G214" s="15">
        <v>120</v>
      </c>
      <c r="H214" s="62"/>
      <c r="I214" s="61"/>
      <c r="J214" s="60"/>
    </row>
    <row r="215" spans="2:10">
      <c r="B215"/>
      <c r="C215"/>
      <c r="D215" s="18" t="s">
        <v>53</v>
      </c>
      <c r="E215" s="17" t="s">
        <v>58</v>
      </c>
      <c r="F215" s="16">
        <v>2004</v>
      </c>
      <c r="G215" s="15">
        <v>120</v>
      </c>
      <c r="H215" s="62"/>
      <c r="I215" s="61"/>
      <c r="J215" s="60"/>
    </row>
    <row r="216" spans="2:10">
      <c r="B216"/>
      <c r="C216"/>
      <c r="D216" s="18" t="s">
        <v>53</v>
      </c>
      <c r="E216" s="17" t="s">
        <v>59</v>
      </c>
      <c r="F216" s="16">
        <v>2003</v>
      </c>
      <c r="G216" s="15">
        <v>170</v>
      </c>
      <c r="H216" s="62"/>
      <c r="I216" s="61"/>
      <c r="J216" s="60"/>
    </row>
    <row r="217" spans="2:10">
      <c r="B217"/>
      <c r="C217"/>
      <c r="D217" s="18" t="s">
        <v>53</v>
      </c>
      <c r="E217" s="17" t="s">
        <v>59</v>
      </c>
      <c r="F217" s="16">
        <v>2004</v>
      </c>
      <c r="G217" s="15">
        <v>170</v>
      </c>
      <c r="H217" s="62"/>
      <c r="I217" s="61"/>
      <c r="J217" s="60"/>
    </row>
    <row r="218" spans="2:10">
      <c r="B218"/>
      <c r="C218"/>
      <c r="D218" s="18" t="s">
        <v>60</v>
      </c>
      <c r="E218" s="17" t="s">
        <v>61</v>
      </c>
      <c r="F218" s="16">
        <v>2004</v>
      </c>
      <c r="G218" s="15">
        <v>345</v>
      </c>
      <c r="H218" s="62"/>
      <c r="I218" s="61"/>
      <c r="J218" s="60"/>
    </row>
    <row r="219" spans="2:10">
      <c r="B219"/>
      <c r="C219"/>
      <c r="D219" s="18" t="s">
        <v>60</v>
      </c>
      <c r="E219" s="17" t="s">
        <v>62</v>
      </c>
      <c r="F219" s="16">
        <v>2000</v>
      </c>
      <c r="G219" s="15">
        <v>425</v>
      </c>
      <c r="H219" s="62"/>
      <c r="I219" s="61"/>
      <c r="J219" s="60"/>
    </row>
    <row r="220" spans="2:10">
      <c r="B220"/>
      <c r="C220"/>
      <c r="D220" s="18" t="s">
        <v>60</v>
      </c>
      <c r="E220" s="17" t="s">
        <v>62</v>
      </c>
      <c r="F220" s="16">
        <v>2002</v>
      </c>
      <c r="G220" s="15">
        <v>425</v>
      </c>
      <c r="H220" s="62"/>
      <c r="I220" s="61"/>
      <c r="J220" s="60"/>
    </row>
    <row r="221" spans="2:10">
      <c r="B221"/>
      <c r="C221"/>
      <c r="D221" s="18" t="s">
        <v>60</v>
      </c>
      <c r="E221" s="17" t="s">
        <v>63</v>
      </c>
      <c r="F221" s="16">
        <v>2003</v>
      </c>
      <c r="G221" s="15">
        <v>425</v>
      </c>
      <c r="H221" s="62"/>
      <c r="I221" s="61"/>
      <c r="J221" s="60"/>
    </row>
    <row r="222" spans="2:10">
      <c r="B222"/>
      <c r="C222"/>
      <c r="D222" s="18" t="s">
        <v>60</v>
      </c>
      <c r="E222" s="17" t="s">
        <v>64</v>
      </c>
      <c r="F222" s="16">
        <v>2003</v>
      </c>
      <c r="G222" s="15">
        <v>425</v>
      </c>
      <c r="H222" s="62"/>
      <c r="I222" s="61"/>
      <c r="J222" s="60"/>
    </row>
    <row r="223" spans="2:10">
      <c r="B223"/>
      <c r="C223"/>
      <c r="D223" s="18" t="s">
        <v>65</v>
      </c>
      <c r="E223" s="17" t="s">
        <v>66</v>
      </c>
      <c r="F223" s="16">
        <v>1985</v>
      </c>
      <c r="G223" s="15">
        <v>400</v>
      </c>
      <c r="H223" s="62"/>
      <c r="I223" s="61"/>
      <c r="J223" s="60"/>
    </row>
    <row r="224" spans="2:10">
      <c r="B224"/>
      <c r="C224"/>
      <c r="D224" s="18" t="s">
        <v>65</v>
      </c>
      <c r="E224" s="17" t="s">
        <v>67</v>
      </c>
      <c r="F224" s="16">
        <v>1994</v>
      </c>
      <c r="G224" s="15">
        <v>300</v>
      </c>
      <c r="H224" s="62"/>
      <c r="I224" s="61"/>
      <c r="J224" s="60"/>
    </row>
    <row r="225" spans="2:10">
      <c r="B225"/>
      <c r="C225"/>
      <c r="D225" s="18" t="s">
        <v>65</v>
      </c>
      <c r="E225" s="17" t="s">
        <v>68</v>
      </c>
      <c r="F225" s="16">
        <v>1985</v>
      </c>
      <c r="G225" s="15">
        <v>190</v>
      </c>
      <c r="H225" s="62"/>
      <c r="I225" s="61"/>
      <c r="J225" s="60"/>
    </row>
    <row r="226" spans="2:10">
      <c r="B226"/>
      <c r="C226"/>
      <c r="D226" s="18" t="s">
        <v>69</v>
      </c>
      <c r="E226" s="17" t="s">
        <v>70</v>
      </c>
      <c r="F226" s="16">
        <v>2004</v>
      </c>
      <c r="G226" s="15">
        <v>90</v>
      </c>
      <c r="H226" s="62"/>
      <c r="I226" s="61"/>
      <c r="J226" s="60"/>
    </row>
    <row r="227" spans="2:10">
      <c r="B227"/>
      <c r="C227"/>
      <c r="D227" s="18" t="s">
        <v>69</v>
      </c>
      <c r="E227" s="17" t="s">
        <v>71</v>
      </c>
      <c r="F227" s="16">
        <v>2004</v>
      </c>
      <c r="G227" s="15">
        <v>90</v>
      </c>
      <c r="H227" s="62"/>
      <c r="I227" s="61"/>
      <c r="J227" s="60"/>
    </row>
  </sheetData>
  <mergeCells count="3">
    <mergeCell ref="G3:H3"/>
    <mergeCell ref="G2:H2"/>
    <mergeCell ref="G8:J8"/>
  </mergeCell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PedF UK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Jiří Leipert</dc:creator>
  <cp:keywords/>
  <dc:description/>
  <cp:lastModifiedBy>Karel Hlas</cp:lastModifiedBy>
  <cp:revision/>
  <dcterms:created xsi:type="dcterms:W3CDTF">2007-05-31T15:32:37Z</dcterms:created>
  <dcterms:modified xsi:type="dcterms:W3CDTF">2025-10-19T18:12:38Z</dcterms:modified>
  <cp:category/>
  <cp:contentStatus/>
</cp:coreProperties>
</file>