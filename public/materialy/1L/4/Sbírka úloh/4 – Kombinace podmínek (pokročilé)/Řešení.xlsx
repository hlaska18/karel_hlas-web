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lik-macbook/Desktop/OneDrive_2026-10-01/upravené/"/>
    </mc:Choice>
  </mc:AlternateContent>
  <xr:revisionPtr revIDLastSave="0" documentId="13_ncr:1_{243B6B49-3955-134E-8263-D1720186EB57}" xr6:coauthVersionLast="47" xr6:coauthVersionMax="47" xr10:uidLastSave="{00000000-0000-0000-0000-000000000000}"/>
  <bookViews>
    <workbookView xWindow="-38400" yWindow="-9900" windowWidth="38400" windowHeight="20980" activeTab="4" xr2:uid="{00000000-000D-0000-FFFF-FFFF00000000}"/>
  </bookViews>
  <sheets>
    <sheet name="ryby" sheetId="20" r:id="rId1"/>
    <sheet name="letušky" sheetId="18" r:id="rId2"/>
    <sheet name="náhrdelníky" sheetId="21" r:id="rId3"/>
    <sheet name="ponorkáři" sheetId="17" r:id="rId4"/>
    <sheet name="ceník vín" sheetId="1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1" i="17" l="1"/>
  <c r="E301" i="17" s="1"/>
  <c r="F301" i="17" s="1"/>
  <c r="A301" i="17"/>
  <c r="D301" i="17" s="1"/>
  <c r="B300" i="17"/>
  <c r="E300" i="17" s="1"/>
  <c r="A300" i="17"/>
  <c r="D300" i="17" s="1"/>
  <c r="B299" i="17"/>
  <c r="E299" i="17" s="1"/>
  <c r="A299" i="17"/>
  <c r="D299" i="17" s="1"/>
  <c r="B298" i="17"/>
  <c r="E298" i="17" s="1"/>
  <c r="F298" i="17" s="1"/>
  <c r="A298" i="17"/>
  <c r="D298" i="17" s="1"/>
  <c r="B297" i="17"/>
  <c r="E297" i="17" s="1"/>
  <c r="A297" i="17"/>
  <c r="D297" i="17" s="1"/>
  <c r="B296" i="17"/>
  <c r="E296" i="17" s="1"/>
  <c r="A296" i="17"/>
  <c r="D296" i="17" s="1"/>
  <c r="B295" i="17"/>
  <c r="E295" i="17" s="1"/>
  <c r="A295" i="17"/>
  <c r="D295" i="17" s="1"/>
  <c r="E294" i="17"/>
  <c r="F294" i="17" s="1"/>
  <c r="B294" i="17"/>
  <c r="A294" i="17"/>
  <c r="D294" i="17" s="1"/>
  <c r="B293" i="17"/>
  <c r="E293" i="17" s="1"/>
  <c r="A293" i="17"/>
  <c r="D293" i="17" s="1"/>
  <c r="B292" i="17"/>
  <c r="E292" i="17" s="1"/>
  <c r="A292" i="17"/>
  <c r="D292" i="17" s="1"/>
  <c r="B291" i="17"/>
  <c r="E291" i="17" s="1"/>
  <c r="A291" i="17"/>
  <c r="D291" i="17" s="1"/>
  <c r="B290" i="17"/>
  <c r="E290" i="17" s="1"/>
  <c r="A290" i="17"/>
  <c r="D290" i="17" s="1"/>
  <c r="B289" i="17"/>
  <c r="E289" i="17" s="1"/>
  <c r="A289" i="17"/>
  <c r="D289" i="17" s="1"/>
  <c r="B288" i="17"/>
  <c r="E288" i="17" s="1"/>
  <c r="A288" i="17"/>
  <c r="D288" i="17" s="1"/>
  <c r="B287" i="17"/>
  <c r="E287" i="17" s="1"/>
  <c r="A287" i="17"/>
  <c r="D287" i="17" s="1"/>
  <c r="E286" i="17"/>
  <c r="D286" i="17"/>
  <c r="B286" i="17"/>
  <c r="A286" i="17"/>
  <c r="B285" i="17"/>
  <c r="E285" i="17" s="1"/>
  <c r="A285" i="17"/>
  <c r="D285" i="17" s="1"/>
  <c r="B284" i="17"/>
  <c r="E284" i="17" s="1"/>
  <c r="A284" i="17"/>
  <c r="D284" i="17" s="1"/>
  <c r="B283" i="17"/>
  <c r="E283" i="17" s="1"/>
  <c r="A283" i="17"/>
  <c r="D283" i="17" s="1"/>
  <c r="D282" i="17"/>
  <c r="B282" i="17"/>
  <c r="E282" i="17" s="1"/>
  <c r="A282" i="17"/>
  <c r="B281" i="17"/>
  <c r="E281" i="17" s="1"/>
  <c r="A281" i="17"/>
  <c r="D281" i="17" s="1"/>
  <c r="B280" i="17"/>
  <c r="E280" i="17" s="1"/>
  <c r="A280" i="17"/>
  <c r="D280" i="17" s="1"/>
  <c r="B279" i="17"/>
  <c r="E279" i="17" s="1"/>
  <c r="A279" i="17"/>
  <c r="D279" i="17" s="1"/>
  <c r="B278" i="17"/>
  <c r="E278" i="17" s="1"/>
  <c r="A278" i="17"/>
  <c r="D278" i="17" s="1"/>
  <c r="B277" i="17"/>
  <c r="E277" i="17" s="1"/>
  <c r="A277" i="17"/>
  <c r="D277" i="17" s="1"/>
  <c r="B276" i="17"/>
  <c r="E276" i="17" s="1"/>
  <c r="A276" i="17"/>
  <c r="D276" i="17" s="1"/>
  <c r="B275" i="17"/>
  <c r="E275" i="17" s="1"/>
  <c r="A275" i="17"/>
  <c r="D275" i="17" s="1"/>
  <c r="B274" i="17"/>
  <c r="E274" i="17" s="1"/>
  <c r="F274" i="17" s="1"/>
  <c r="A274" i="17"/>
  <c r="D274" i="17" s="1"/>
  <c r="B273" i="17"/>
  <c r="E273" i="17" s="1"/>
  <c r="A273" i="17"/>
  <c r="D273" i="17" s="1"/>
  <c r="B272" i="17"/>
  <c r="E272" i="17" s="1"/>
  <c r="A272" i="17"/>
  <c r="D272" i="17" s="1"/>
  <c r="B271" i="17"/>
  <c r="E271" i="17" s="1"/>
  <c r="A271" i="17"/>
  <c r="D271" i="17" s="1"/>
  <c r="B270" i="17"/>
  <c r="E270" i="17" s="1"/>
  <c r="A270" i="17"/>
  <c r="D270" i="17" s="1"/>
  <c r="B269" i="17"/>
  <c r="E269" i="17" s="1"/>
  <c r="A269" i="17"/>
  <c r="D269" i="17" s="1"/>
  <c r="B268" i="17"/>
  <c r="E268" i="17" s="1"/>
  <c r="A268" i="17"/>
  <c r="D268" i="17" s="1"/>
  <c r="B267" i="17"/>
  <c r="E267" i="17" s="1"/>
  <c r="A267" i="17"/>
  <c r="D267" i="17" s="1"/>
  <c r="B266" i="17"/>
  <c r="E266" i="17" s="1"/>
  <c r="A266" i="17"/>
  <c r="D266" i="17" s="1"/>
  <c r="B265" i="17"/>
  <c r="E265" i="17" s="1"/>
  <c r="A265" i="17"/>
  <c r="D265" i="17" s="1"/>
  <c r="B264" i="17"/>
  <c r="E264" i="17" s="1"/>
  <c r="A264" i="17"/>
  <c r="D264" i="17" s="1"/>
  <c r="B263" i="17"/>
  <c r="E263" i="17" s="1"/>
  <c r="A263" i="17"/>
  <c r="D263" i="17" s="1"/>
  <c r="B262" i="17"/>
  <c r="E262" i="17" s="1"/>
  <c r="A262" i="17"/>
  <c r="D262" i="17" s="1"/>
  <c r="B261" i="17"/>
  <c r="E261" i="17" s="1"/>
  <c r="A261" i="17"/>
  <c r="D261" i="17" s="1"/>
  <c r="B260" i="17"/>
  <c r="E260" i="17" s="1"/>
  <c r="A260" i="17"/>
  <c r="D260" i="17" s="1"/>
  <c r="D259" i="17"/>
  <c r="B259" i="17"/>
  <c r="E259" i="17" s="1"/>
  <c r="A259" i="17"/>
  <c r="B258" i="17"/>
  <c r="E258" i="17" s="1"/>
  <c r="A258" i="17"/>
  <c r="D258" i="17" s="1"/>
  <c r="B257" i="17"/>
  <c r="E257" i="17" s="1"/>
  <c r="A257" i="17"/>
  <c r="D257" i="17" s="1"/>
  <c r="B256" i="17"/>
  <c r="E256" i="17" s="1"/>
  <c r="A256" i="17"/>
  <c r="D256" i="17" s="1"/>
  <c r="B255" i="17"/>
  <c r="E255" i="17" s="1"/>
  <c r="A255" i="17"/>
  <c r="D255" i="17" s="1"/>
  <c r="B254" i="17"/>
  <c r="E254" i="17" s="1"/>
  <c r="F254" i="17" s="1"/>
  <c r="A254" i="17"/>
  <c r="D254" i="17" s="1"/>
  <c r="B253" i="17"/>
  <c r="E253" i="17" s="1"/>
  <c r="A253" i="17"/>
  <c r="D253" i="17" s="1"/>
  <c r="B252" i="17"/>
  <c r="E252" i="17" s="1"/>
  <c r="A252" i="17"/>
  <c r="D252" i="17" s="1"/>
  <c r="D251" i="17"/>
  <c r="B251" i="17"/>
  <c r="E251" i="17" s="1"/>
  <c r="A251" i="17"/>
  <c r="B250" i="17"/>
  <c r="E250" i="17" s="1"/>
  <c r="A250" i="17"/>
  <c r="D250" i="17" s="1"/>
  <c r="B249" i="17"/>
  <c r="E249" i="17" s="1"/>
  <c r="A249" i="17"/>
  <c r="D249" i="17" s="1"/>
  <c r="B248" i="17"/>
  <c r="E248" i="17" s="1"/>
  <c r="A248" i="17"/>
  <c r="D248" i="17" s="1"/>
  <c r="B247" i="17"/>
  <c r="E247" i="17" s="1"/>
  <c r="A247" i="17"/>
  <c r="D247" i="17" s="1"/>
  <c r="B246" i="17"/>
  <c r="E246" i="17" s="1"/>
  <c r="A246" i="17"/>
  <c r="D246" i="17" s="1"/>
  <c r="B245" i="17"/>
  <c r="E245" i="17" s="1"/>
  <c r="A245" i="17"/>
  <c r="D245" i="17" s="1"/>
  <c r="B244" i="17"/>
  <c r="E244" i="17" s="1"/>
  <c r="A244" i="17"/>
  <c r="D244" i="17" s="1"/>
  <c r="B243" i="17"/>
  <c r="E243" i="17" s="1"/>
  <c r="A243" i="17"/>
  <c r="D243" i="17" s="1"/>
  <c r="D242" i="17"/>
  <c r="B242" i="17"/>
  <c r="E242" i="17" s="1"/>
  <c r="A242" i="17"/>
  <c r="B241" i="17"/>
  <c r="E241" i="17" s="1"/>
  <c r="A241" i="17"/>
  <c r="D241" i="17" s="1"/>
  <c r="B240" i="17"/>
  <c r="E240" i="17" s="1"/>
  <c r="A240" i="17"/>
  <c r="D240" i="17" s="1"/>
  <c r="B239" i="17"/>
  <c r="E239" i="17" s="1"/>
  <c r="A239" i="17"/>
  <c r="D239" i="17" s="1"/>
  <c r="D238" i="17"/>
  <c r="F238" i="17" s="1"/>
  <c r="B238" i="17"/>
  <c r="E238" i="17" s="1"/>
  <c r="A238" i="17"/>
  <c r="B237" i="17"/>
  <c r="E237" i="17" s="1"/>
  <c r="A237" i="17"/>
  <c r="D237" i="17" s="1"/>
  <c r="B236" i="17"/>
  <c r="E236" i="17" s="1"/>
  <c r="A236" i="17"/>
  <c r="D236" i="17" s="1"/>
  <c r="B235" i="17"/>
  <c r="E235" i="17" s="1"/>
  <c r="A235" i="17"/>
  <c r="D235" i="17" s="1"/>
  <c r="B234" i="17"/>
  <c r="E234" i="17" s="1"/>
  <c r="A234" i="17"/>
  <c r="D234" i="17" s="1"/>
  <c r="B233" i="17"/>
  <c r="E233" i="17" s="1"/>
  <c r="A233" i="17"/>
  <c r="D233" i="17" s="1"/>
  <c r="E232" i="17"/>
  <c r="B232" i="17"/>
  <c r="A232" i="17"/>
  <c r="D232" i="17" s="1"/>
  <c r="B231" i="17"/>
  <c r="E231" i="17" s="1"/>
  <c r="A231" i="17"/>
  <c r="D231" i="17" s="1"/>
  <c r="B230" i="17"/>
  <c r="E230" i="17" s="1"/>
  <c r="A230" i="17"/>
  <c r="D230" i="17" s="1"/>
  <c r="B229" i="17"/>
  <c r="E229" i="17" s="1"/>
  <c r="A229" i="17"/>
  <c r="D229" i="17" s="1"/>
  <c r="B228" i="17"/>
  <c r="E228" i="17" s="1"/>
  <c r="F228" i="17" s="1"/>
  <c r="A228" i="17"/>
  <c r="D228" i="17" s="1"/>
  <c r="B227" i="17"/>
  <c r="E227" i="17" s="1"/>
  <c r="A227" i="17"/>
  <c r="D227" i="17" s="1"/>
  <c r="B226" i="17"/>
  <c r="E226" i="17" s="1"/>
  <c r="A226" i="17"/>
  <c r="D226" i="17" s="1"/>
  <c r="B225" i="17"/>
  <c r="E225" i="17" s="1"/>
  <c r="A225" i="17"/>
  <c r="D225" i="17" s="1"/>
  <c r="E224" i="17"/>
  <c r="F224" i="17" s="1"/>
  <c r="B224" i="17"/>
  <c r="A224" i="17"/>
  <c r="D224" i="17" s="1"/>
  <c r="B223" i="17"/>
  <c r="E223" i="17" s="1"/>
  <c r="A223" i="17"/>
  <c r="D223" i="17" s="1"/>
  <c r="B222" i="17"/>
  <c r="E222" i="17" s="1"/>
  <c r="A222" i="17"/>
  <c r="D222" i="17" s="1"/>
  <c r="B221" i="17"/>
  <c r="E221" i="17" s="1"/>
  <c r="A221" i="17"/>
  <c r="D221" i="17" s="1"/>
  <c r="B220" i="17"/>
  <c r="E220" i="17" s="1"/>
  <c r="A220" i="17"/>
  <c r="D220" i="17" s="1"/>
  <c r="B219" i="17"/>
  <c r="E219" i="17" s="1"/>
  <c r="A219" i="17"/>
  <c r="D219" i="17" s="1"/>
  <c r="B218" i="17"/>
  <c r="E218" i="17" s="1"/>
  <c r="A218" i="17"/>
  <c r="D218" i="17" s="1"/>
  <c r="B217" i="17"/>
  <c r="E217" i="17" s="1"/>
  <c r="A217" i="17"/>
  <c r="D217" i="17" s="1"/>
  <c r="B216" i="17"/>
  <c r="E216" i="17" s="1"/>
  <c r="A216" i="17"/>
  <c r="D216" i="17" s="1"/>
  <c r="B215" i="17"/>
  <c r="E215" i="17" s="1"/>
  <c r="A215" i="17"/>
  <c r="D215" i="17" s="1"/>
  <c r="B214" i="17"/>
  <c r="E214" i="17" s="1"/>
  <c r="A214" i="17"/>
  <c r="D214" i="17" s="1"/>
  <c r="B213" i="17"/>
  <c r="E213" i="17" s="1"/>
  <c r="A213" i="17"/>
  <c r="D213" i="17" s="1"/>
  <c r="B212" i="17"/>
  <c r="E212" i="17" s="1"/>
  <c r="A212" i="17"/>
  <c r="D212" i="17" s="1"/>
  <c r="B211" i="17"/>
  <c r="E211" i="17" s="1"/>
  <c r="A211" i="17"/>
  <c r="D211" i="17" s="1"/>
  <c r="B210" i="17"/>
  <c r="E210" i="17" s="1"/>
  <c r="F210" i="17" s="1"/>
  <c r="A210" i="17"/>
  <c r="D210" i="17" s="1"/>
  <c r="B209" i="17"/>
  <c r="E209" i="17" s="1"/>
  <c r="A209" i="17"/>
  <c r="D209" i="17" s="1"/>
  <c r="B208" i="17"/>
  <c r="E208" i="17" s="1"/>
  <c r="A208" i="17"/>
  <c r="D208" i="17" s="1"/>
  <c r="B207" i="17"/>
  <c r="E207" i="17" s="1"/>
  <c r="A207" i="17"/>
  <c r="D207" i="17" s="1"/>
  <c r="E206" i="17"/>
  <c r="B206" i="17"/>
  <c r="A206" i="17"/>
  <c r="D206" i="17" s="1"/>
  <c r="B205" i="17"/>
  <c r="E205" i="17" s="1"/>
  <c r="A205" i="17"/>
  <c r="D205" i="17" s="1"/>
  <c r="B204" i="17"/>
  <c r="E204" i="17" s="1"/>
  <c r="A204" i="17"/>
  <c r="D204" i="17" s="1"/>
  <c r="B203" i="17"/>
  <c r="E203" i="17" s="1"/>
  <c r="A203" i="17"/>
  <c r="D203" i="17" s="1"/>
  <c r="B202" i="17"/>
  <c r="E202" i="17" s="1"/>
  <c r="A202" i="17"/>
  <c r="D202" i="17" s="1"/>
  <c r="B201" i="17"/>
  <c r="E201" i="17" s="1"/>
  <c r="A201" i="17"/>
  <c r="D201" i="17" s="1"/>
  <c r="B200" i="17"/>
  <c r="E200" i="17" s="1"/>
  <c r="A200" i="17"/>
  <c r="D200" i="17" s="1"/>
  <c r="D199" i="17"/>
  <c r="B199" i="17"/>
  <c r="E199" i="17" s="1"/>
  <c r="A199" i="17"/>
  <c r="B198" i="17"/>
  <c r="E198" i="17" s="1"/>
  <c r="A198" i="17"/>
  <c r="D198" i="17" s="1"/>
  <c r="B197" i="17"/>
  <c r="E197" i="17" s="1"/>
  <c r="A197" i="17"/>
  <c r="D197" i="17" s="1"/>
  <c r="B196" i="17"/>
  <c r="E196" i="17" s="1"/>
  <c r="A196" i="17"/>
  <c r="D196" i="17" s="1"/>
  <c r="B195" i="17"/>
  <c r="E195" i="17" s="1"/>
  <c r="A195" i="17"/>
  <c r="D195" i="17" s="1"/>
  <c r="B194" i="17"/>
  <c r="E194" i="17" s="1"/>
  <c r="A194" i="17"/>
  <c r="D194" i="17" s="1"/>
  <c r="B193" i="17"/>
  <c r="E193" i="17" s="1"/>
  <c r="A193" i="17"/>
  <c r="D193" i="17" s="1"/>
  <c r="B192" i="17"/>
  <c r="E192" i="17" s="1"/>
  <c r="A192" i="17"/>
  <c r="D192" i="17" s="1"/>
  <c r="B191" i="17"/>
  <c r="E191" i="17" s="1"/>
  <c r="A191" i="17"/>
  <c r="D191" i="17" s="1"/>
  <c r="B190" i="17"/>
  <c r="E190" i="17" s="1"/>
  <c r="A190" i="17"/>
  <c r="D190" i="17" s="1"/>
  <c r="B189" i="17"/>
  <c r="E189" i="17" s="1"/>
  <c r="A189" i="17"/>
  <c r="D189" i="17" s="1"/>
  <c r="B188" i="17"/>
  <c r="E188" i="17" s="1"/>
  <c r="A188" i="17"/>
  <c r="D188" i="17" s="1"/>
  <c r="F188" i="17" s="1"/>
  <c r="B187" i="17"/>
  <c r="E187" i="17" s="1"/>
  <c r="A187" i="17"/>
  <c r="D187" i="17" s="1"/>
  <c r="B186" i="17"/>
  <c r="E186" i="17" s="1"/>
  <c r="A186" i="17"/>
  <c r="D186" i="17" s="1"/>
  <c r="B185" i="17"/>
  <c r="E185" i="17" s="1"/>
  <c r="A185" i="17"/>
  <c r="D185" i="17" s="1"/>
  <c r="B184" i="17"/>
  <c r="E184" i="17" s="1"/>
  <c r="A184" i="17"/>
  <c r="D184" i="17" s="1"/>
  <c r="B183" i="17"/>
  <c r="E183" i="17" s="1"/>
  <c r="A183" i="17"/>
  <c r="D183" i="17" s="1"/>
  <c r="B182" i="17"/>
  <c r="E182" i="17" s="1"/>
  <c r="A182" i="17"/>
  <c r="D182" i="17" s="1"/>
  <c r="D181" i="17"/>
  <c r="B181" i="17"/>
  <c r="E181" i="17" s="1"/>
  <c r="A181" i="17"/>
  <c r="B180" i="17"/>
  <c r="E180" i="17" s="1"/>
  <c r="A180" i="17"/>
  <c r="D180" i="17" s="1"/>
  <c r="B179" i="17"/>
  <c r="E179" i="17" s="1"/>
  <c r="A179" i="17"/>
  <c r="D179" i="17" s="1"/>
  <c r="B178" i="17"/>
  <c r="E178" i="17" s="1"/>
  <c r="A178" i="17"/>
  <c r="D178" i="17" s="1"/>
  <c r="D177" i="17"/>
  <c r="B177" i="17"/>
  <c r="E177" i="17" s="1"/>
  <c r="A177" i="17"/>
  <c r="B176" i="17"/>
  <c r="E176" i="17" s="1"/>
  <c r="A176" i="17"/>
  <c r="D176" i="17" s="1"/>
  <c r="B175" i="17"/>
  <c r="E175" i="17" s="1"/>
  <c r="A175" i="17"/>
  <c r="D175" i="17" s="1"/>
  <c r="B174" i="17"/>
  <c r="E174" i="17" s="1"/>
  <c r="F174" i="17" s="1"/>
  <c r="A174" i="17"/>
  <c r="D174" i="17" s="1"/>
  <c r="B173" i="17"/>
  <c r="E173" i="17" s="1"/>
  <c r="A173" i="17"/>
  <c r="D173" i="17" s="1"/>
  <c r="B172" i="17"/>
  <c r="E172" i="17" s="1"/>
  <c r="A172" i="17"/>
  <c r="D172" i="17" s="1"/>
  <c r="B171" i="17"/>
  <c r="E171" i="17" s="1"/>
  <c r="A171" i="17"/>
  <c r="D171" i="17" s="1"/>
  <c r="B170" i="17"/>
  <c r="E170" i="17" s="1"/>
  <c r="A170" i="17"/>
  <c r="D170" i="17" s="1"/>
  <c r="B169" i="17"/>
  <c r="E169" i="17" s="1"/>
  <c r="A169" i="17"/>
  <c r="D169" i="17" s="1"/>
  <c r="B168" i="17"/>
  <c r="E168" i="17" s="1"/>
  <c r="A168" i="17"/>
  <c r="D168" i="17" s="1"/>
  <c r="B167" i="17"/>
  <c r="E167" i="17" s="1"/>
  <c r="A167" i="17"/>
  <c r="D167" i="17" s="1"/>
  <c r="B166" i="17"/>
  <c r="E166" i="17" s="1"/>
  <c r="A166" i="17"/>
  <c r="D166" i="17" s="1"/>
  <c r="B165" i="17"/>
  <c r="E165" i="17" s="1"/>
  <c r="A165" i="17"/>
  <c r="D165" i="17" s="1"/>
  <c r="B164" i="17"/>
  <c r="E164" i="17" s="1"/>
  <c r="A164" i="17"/>
  <c r="D164" i="17" s="1"/>
  <c r="B163" i="17"/>
  <c r="E163" i="17" s="1"/>
  <c r="F163" i="17" s="1"/>
  <c r="A163" i="17"/>
  <c r="D163" i="17" s="1"/>
  <c r="B162" i="17"/>
  <c r="E162" i="17" s="1"/>
  <c r="A162" i="17"/>
  <c r="D162" i="17" s="1"/>
  <c r="B161" i="17"/>
  <c r="E161" i="17" s="1"/>
  <c r="A161" i="17"/>
  <c r="D161" i="17" s="1"/>
  <c r="B160" i="17"/>
  <c r="E160" i="17" s="1"/>
  <c r="A160" i="17"/>
  <c r="D160" i="17" s="1"/>
  <c r="B159" i="17"/>
  <c r="E159" i="17" s="1"/>
  <c r="A159" i="17"/>
  <c r="D159" i="17" s="1"/>
  <c r="B158" i="17"/>
  <c r="E158" i="17" s="1"/>
  <c r="A158" i="17"/>
  <c r="D158" i="17" s="1"/>
  <c r="F158" i="17" s="1"/>
  <c r="B157" i="17"/>
  <c r="E157" i="17" s="1"/>
  <c r="A157" i="17"/>
  <c r="D157" i="17" s="1"/>
  <c r="B156" i="17"/>
  <c r="E156" i="17" s="1"/>
  <c r="A156" i="17"/>
  <c r="D156" i="17" s="1"/>
  <c r="B155" i="17"/>
  <c r="E155" i="17" s="1"/>
  <c r="A155" i="17"/>
  <c r="D155" i="17" s="1"/>
  <c r="B154" i="17"/>
  <c r="E154" i="17" s="1"/>
  <c r="F154" i="17" s="1"/>
  <c r="A154" i="17"/>
  <c r="D154" i="17" s="1"/>
  <c r="B153" i="17"/>
  <c r="E153" i="17" s="1"/>
  <c r="A153" i="17"/>
  <c r="D153" i="17" s="1"/>
  <c r="D152" i="17"/>
  <c r="B152" i="17"/>
  <c r="E152" i="17" s="1"/>
  <c r="F152" i="17" s="1"/>
  <c r="A152" i="17"/>
  <c r="B151" i="17"/>
  <c r="E151" i="17" s="1"/>
  <c r="A151" i="17"/>
  <c r="D151" i="17" s="1"/>
  <c r="B150" i="17"/>
  <c r="E150" i="17" s="1"/>
  <c r="A150" i="17"/>
  <c r="D150" i="17" s="1"/>
  <c r="B149" i="17"/>
  <c r="E149" i="17" s="1"/>
  <c r="A149" i="17"/>
  <c r="D149" i="17" s="1"/>
  <c r="B148" i="17"/>
  <c r="E148" i="17" s="1"/>
  <c r="A148" i="17"/>
  <c r="D148" i="17" s="1"/>
  <c r="B147" i="17"/>
  <c r="E147" i="17" s="1"/>
  <c r="A147" i="17"/>
  <c r="D147" i="17" s="1"/>
  <c r="B146" i="17"/>
  <c r="E146" i="17" s="1"/>
  <c r="A146" i="17"/>
  <c r="D146" i="17" s="1"/>
  <c r="B145" i="17"/>
  <c r="E145" i="17" s="1"/>
  <c r="A145" i="17"/>
  <c r="D145" i="17" s="1"/>
  <c r="B144" i="17"/>
  <c r="E144" i="17" s="1"/>
  <c r="A144" i="17"/>
  <c r="D144" i="17" s="1"/>
  <c r="B143" i="17"/>
  <c r="E143" i="17" s="1"/>
  <c r="A143" i="17"/>
  <c r="D143" i="17" s="1"/>
  <c r="B142" i="17"/>
  <c r="E142" i="17" s="1"/>
  <c r="A142" i="17"/>
  <c r="D142" i="17" s="1"/>
  <c r="B141" i="17"/>
  <c r="E141" i="17" s="1"/>
  <c r="A141" i="17"/>
  <c r="D141" i="17" s="1"/>
  <c r="B140" i="17"/>
  <c r="E140" i="17" s="1"/>
  <c r="A140" i="17"/>
  <c r="D140" i="17" s="1"/>
  <c r="B139" i="17"/>
  <c r="E139" i="17" s="1"/>
  <c r="A139" i="17"/>
  <c r="D139" i="17" s="1"/>
  <c r="B138" i="17"/>
  <c r="E138" i="17" s="1"/>
  <c r="A138" i="17"/>
  <c r="D138" i="17" s="1"/>
  <c r="B137" i="17"/>
  <c r="E137" i="17" s="1"/>
  <c r="A137" i="17"/>
  <c r="D137" i="17" s="1"/>
  <c r="B136" i="17"/>
  <c r="E136" i="17" s="1"/>
  <c r="A136" i="17"/>
  <c r="D136" i="17" s="1"/>
  <c r="B135" i="17"/>
  <c r="E135" i="17" s="1"/>
  <c r="A135" i="17"/>
  <c r="D135" i="17" s="1"/>
  <c r="B134" i="17"/>
  <c r="E134" i="17" s="1"/>
  <c r="A134" i="17"/>
  <c r="D134" i="17" s="1"/>
  <c r="B133" i="17"/>
  <c r="E133" i="17" s="1"/>
  <c r="A133" i="17"/>
  <c r="D133" i="17" s="1"/>
  <c r="E132" i="17"/>
  <c r="F132" i="17" s="1"/>
  <c r="D132" i="17"/>
  <c r="B132" i="17"/>
  <c r="A132" i="17"/>
  <c r="B131" i="17"/>
  <c r="E131" i="17" s="1"/>
  <c r="A131" i="17"/>
  <c r="D131" i="17" s="1"/>
  <c r="B130" i="17"/>
  <c r="E130" i="17" s="1"/>
  <c r="A130" i="17"/>
  <c r="D130" i="17" s="1"/>
  <c r="B129" i="17"/>
  <c r="E129" i="17" s="1"/>
  <c r="A129" i="17"/>
  <c r="D129" i="17" s="1"/>
  <c r="B128" i="17"/>
  <c r="E128" i="17" s="1"/>
  <c r="A128" i="17"/>
  <c r="D128" i="17" s="1"/>
  <c r="B127" i="17"/>
  <c r="E127" i="17" s="1"/>
  <c r="A127" i="17"/>
  <c r="D127" i="17" s="1"/>
  <c r="D126" i="17"/>
  <c r="B126" i="17"/>
  <c r="E126" i="17" s="1"/>
  <c r="F126" i="17" s="1"/>
  <c r="A126" i="17"/>
  <c r="B125" i="17"/>
  <c r="E125" i="17" s="1"/>
  <c r="A125" i="17"/>
  <c r="D125" i="17" s="1"/>
  <c r="B124" i="17"/>
  <c r="E124" i="17" s="1"/>
  <c r="F124" i="17" s="1"/>
  <c r="A124" i="17"/>
  <c r="D124" i="17" s="1"/>
  <c r="B123" i="17"/>
  <c r="E123" i="17" s="1"/>
  <c r="A123" i="17"/>
  <c r="D123" i="17" s="1"/>
  <c r="B122" i="17"/>
  <c r="E122" i="17" s="1"/>
  <c r="A122" i="17"/>
  <c r="D122" i="17" s="1"/>
  <c r="B121" i="17"/>
  <c r="E121" i="17" s="1"/>
  <c r="F121" i="17" s="1"/>
  <c r="A121" i="17"/>
  <c r="D121" i="17" s="1"/>
  <c r="B120" i="17"/>
  <c r="E120" i="17" s="1"/>
  <c r="A120" i="17"/>
  <c r="D120" i="17" s="1"/>
  <c r="B119" i="17"/>
  <c r="E119" i="17" s="1"/>
  <c r="A119" i="17"/>
  <c r="D119" i="17" s="1"/>
  <c r="B118" i="17"/>
  <c r="E118" i="17" s="1"/>
  <c r="A118" i="17"/>
  <c r="D118" i="17" s="1"/>
  <c r="B117" i="17"/>
  <c r="E117" i="17" s="1"/>
  <c r="A117" i="17"/>
  <c r="D117" i="17" s="1"/>
  <c r="B116" i="17"/>
  <c r="E116" i="17" s="1"/>
  <c r="A116" i="17"/>
  <c r="D116" i="17" s="1"/>
  <c r="B115" i="17"/>
  <c r="E115" i="17" s="1"/>
  <c r="F115" i="17" s="1"/>
  <c r="A115" i="17"/>
  <c r="D115" i="17" s="1"/>
  <c r="B114" i="17"/>
  <c r="E114" i="17" s="1"/>
  <c r="A114" i="17"/>
  <c r="D114" i="17" s="1"/>
  <c r="B113" i="17"/>
  <c r="E113" i="17" s="1"/>
  <c r="F113" i="17" s="1"/>
  <c r="A113" i="17"/>
  <c r="D113" i="17" s="1"/>
  <c r="B112" i="17"/>
  <c r="E112" i="17" s="1"/>
  <c r="A112" i="17"/>
  <c r="D112" i="17" s="1"/>
  <c r="B111" i="17"/>
  <c r="E111" i="17" s="1"/>
  <c r="F111" i="17" s="1"/>
  <c r="A111" i="17"/>
  <c r="D111" i="17" s="1"/>
  <c r="B110" i="17"/>
  <c r="E110" i="17" s="1"/>
  <c r="A110" i="17"/>
  <c r="D110" i="17" s="1"/>
  <c r="B109" i="17"/>
  <c r="E109" i="17" s="1"/>
  <c r="A109" i="17"/>
  <c r="D109" i="17" s="1"/>
  <c r="E108" i="17"/>
  <c r="B108" i="17"/>
  <c r="A108" i="17"/>
  <c r="D108" i="17" s="1"/>
  <c r="B107" i="17"/>
  <c r="E107" i="17" s="1"/>
  <c r="A107" i="17"/>
  <c r="D107" i="17" s="1"/>
  <c r="B106" i="17"/>
  <c r="E106" i="17" s="1"/>
  <c r="A106" i="17"/>
  <c r="D106" i="17" s="1"/>
  <c r="B105" i="17"/>
  <c r="E105" i="17" s="1"/>
  <c r="F105" i="17" s="1"/>
  <c r="A105" i="17"/>
  <c r="D105" i="17" s="1"/>
  <c r="B104" i="17"/>
  <c r="E104" i="17" s="1"/>
  <c r="A104" i="17"/>
  <c r="D104" i="17" s="1"/>
  <c r="B103" i="17"/>
  <c r="E103" i="17" s="1"/>
  <c r="A103" i="17"/>
  <c r="D103" i="17" s="1"/>
  <c r="B102" i="17"/>
  <c r="E102" i="17" s="1"/>
  <c r="A102" i="17"/>
  <c r="D102" i="17" s="1"/>
  <c r="B101" i="17"/>
  <c r="E101" i="17" s="1"/>
  <c r="F101" i="17" s="1"/>
  <c r="A101" i="17"/>
  <c r="D101" i="17" s="1"/>
  <c r="B100" i="17"/>
  <c r="E100" i="17" s="1"/>
  <c r="A100" i="17"/>
  <c r="D100" i="17" s="1"/>
  <c r="B99" i="17"/>
  <c r="E99" i="17" s="1"/>
  <c r="F99" i="17" s="1"/>
  <c r="A99" i="17"/>
  <c r="D99" i="17" s="1"/>
  <c r="B98" i="17"/>
  <c r="E98" i="17" s="1"/>
  <c r="A98" i="17"/>
  <c r="D98" i="17" s="1"/>
  <c r="B97" i="17"/>
  <c r="E97" i="17" s="1"/>
  <c r="A97" i="17"/>
  <c r="D97" i="17" s="1"/>
  <c r="B96" i="17"/>
  <c r="E96" i="17" s="1"/>
  <c r="A96" i="17"/>
  <c r="D96" i="17" s="1"/>
  <c r="B95" i="17"/>
  <c r="E95" i="17" s="1"/>
  <c r="A95" i="17"/>
  <c r="D95" i="17" s="1"/>
  <c r="B94" i="17"/>
  <c r="E94" i="17" s="1"/>
  <c r="F94" i="17" s="1"/>
  <c r="A94" i="17"/>
  <c r="D94" i="17" s="1"/>
  <c r="B93" i="17"/>
  <c r="E93" i="17" s="1"/>
  <c r="A93" i="17"/>
  <c r="D93" i="17" s="1"/>
  <c r="E92" i="17"/>
  <c r="F92" i="17" s="1"/>
  <c r="D92" i="17"/>
  <c r="B92" i="17"/>
  <c r="A92" i="17"/>
  <c r="B91" i="17"/>
  <c r="E91" i="17" s="1"/>
  <c r="A91" i="17"/>
  <c r="D91" i="17" s="1"/>
  <c r="B90" i="17"/>
  <c r="E90" i="17" s="1"/>
  <c r="F90" i="17" s="1"/>
  <c r="A90" i="17"/>
  <c r="D90" i="17" s="1"/>
  <c r="B89" i="17"/>
  <c r="E89" i="17" s="1"/>
  <c r="A89" i="17"/>
  <c r="D89" i="17" s="1"/>
  <c r="B88" i="17"/>
  <c r="E88" i="17" s="1"/>
  <c r="A88" i="17"/>
  <c r="D88" i="17" s="1"/>
  <c r="B87" i="17"/>
  <c r="E87" i="17" s="1"/>
  <c r="A87" i="17"/>
  <c r="D87" i="17" s="1"/>
  <c r="E86" i="17"/>
  <c r="D86" i="17"/>
  <c r="B86" i="17"/>
  <c r="A86" i="17"/>
  <c r="B85" i="17"/>
  <c r="E85" i="17" s="1"/>
  <c r="A85" i="17"/>
  <c r="D85" i="17" s="1"/>
  <c r="B84" i="17"/>
  <c r="E84" i="17" s="1"/>
  <c r="A84" i="17"/>
  <c r="D84" i="17" s="1"/>
  <c r="B83" i="17"/>
  <c r="E83" i="17" s="1"/>
  <c r="A83" i="17"/>
  <c r="D83" i="17" s="1"/>
  <c r="B82" i="17"/>
  <c r="E82" i="17" s="1"/>
  <c r="A82" i="17"/>
  <c r="D82" i="17" s="1"/>
  <c r="B81" i="17"/>
  <c r="E81" i="17" s="1"/>
  <c r="F81" i="17" s="1"/>
  <c r="A81" i="17"/>
  <c r="D81" i="17" s="1"/>
  <c r="B80" i="17"/>
  <c r="E80" i="17" s="1"/>
  <c r="A80" i="17"/>
  <c r="D80" i="17" s="1"/>
  <c r="B79" i="17"/>
  <c r="E79" i="17" s="1"/>
  <c r="F79" i="17" s="1"/>
  <c r="A79" i="17"/>
  <c r="D79" i="17" s="1"/>
  <c r="B78" i="17"/>
  <c r="E78" i="17" s="1"/>
  <c r="A78" i="17"/>
  <c r="D78" i="17" s="1"/>
  <c r="B77" i="17"/>
  <c r="E77" i="17" s="1"/>
  <c r="A77" i="17"/>
  <c r="D77" i="17" s="1"/>
  <c r="B76" i="17"/>
  <c r="E76" i="17" s="1"/>
  <c r="A76" i="17"/>
  <c r="D76" i="17" s="1"/>
  <c r="B75" i="17"/>
  <c r="E75" i="17" s="1"/>
  <c r="A75" i="17"/>
  <c r="D75" i="17" s="1"/>
  <c r="B74" i="17"/>
  <c r="E74" i="17" s="1"/>
  <c r="A74" i="17"/>
  <c r="D74" i="17" s="1"/>
  <c r="B73" i="17"/>
  <c r="E73" i="17" s="1"/>
  <c r="F73" i="17" s="1"/>
  <c r="A73" i="17"/>
  <c r="D73" i="17" s="1"/>
  <c r="B72" i="17"/>
  <c r="E72" i="17" s="1"/>
  <c r="A72" i="17"/>
  <c r="D72" i="17" s="1"/>
  <c r="B71" i="17"/>
  <c r="E71" i="17" s="1"/>
  <c r="A71" i="17"/>
  <c r="D71" i="17" s="1"/>
  <c r="B70" i="17"/>
  <c r="E70" i="17" s="1"/>
  <c r="A70" i="17"/>
  <c r="D70" i="17" s="1"/>
  <c r="B69" i="17"/>
  <c r="E69" i="17" s="1"/>
  <c r="A69" i="17"/>
  <c r="D69" i="17" s="1"/>
  <c r="E68" i="17"/>
  <c r="B68" i="17"/>
  <c r="A68" i="17"/>
  <c r="D68" i="17" s="1"/>
  <c r="B67" i="17"/>
  <c r="E67" i="17" s="1"/>
  <c r="A67" i="17"/>
  <c r="D67" i="17" s="1"/>
  <c r="B66" i="17"/>
  <c r="E66" i="17" s="1"/>
  <c r="A66" i="17"/>
  <c r="D66" i="17" s="1"/>
  <c r="B65" i="17"/>
  <c r="E65" i="17" s="1"/>
  <c r="A65" i="17"/>
  <c r="D65" i="17" s="1"/>
  <c r="D64" i="17"/>
  <c r="B64" i="17"/>
  <c r="E64" i="17" s="1"/>
  <c r="A64" i="17"/>
  <c r="B63" i="17"/>
  <c r="E63" i="17" s="1"/>
  <c r="A63" i="17"/>
  <c r="D63" i="17" s="1"/>
  <c r="B62" i="17"/>
  <c r="E62" i="17" s="1"/>
  <c r="A62" i="17"/>
  <c r="D62" i="17" s="1"/>
  <c r="B61" i="17"/>
  <c r="E61" i="17" s="1"/>
  <c r="F61" i="17" s="1"/>
  <c r="A61" i="17"/>
  <c r="D61" i="17" s="1"/>
  <c r="B60" i="17"/>
  <c r="E60" i="17" s="1"/>
  <c r="A60" i="17"/>
  <c r="D60" i="17" s="1"/>
  <c r="B59" i="17"/>
  <c r="E59" i="17" s="1"/>
  <c r="A59" i="17"/>
  <c r="D59" i="17" s="1"/>
  <c r="D58" i="17"/>
  <c r="B58" i="17"/>
  <c r="E58" i="17" s="1"/>
  <c r="A58" i="17"/>
  <c r="B57" i="17"/>
  <c r="E57" i="17" s="1"/>
  <c r="A57" i="17"/>
  <c r="D57" i="17" s="1"/>
  <c r="B56" i="17"/>
  <c r="E56" i="17" s="1"/>
  <c r="A56" i="17"/>
  <c r="D56" i="17" s="1"/>
  <c r="B55" i="17"/>
  <c r="E55" i="17" s="1"/>
  <c r="A55" i="17"/>
  <c r="D55" i="17" s="1"/>
  <c r="B54" i="17"/>
  <c r="E54" i="17" s="1"/>
  <c r="A54" i="17"/>
  <c r="D54" i="17" s="1"/>
  <c r="B53" i="17"/>
  <c r="E53" i="17" s="1"/>
  <c r="A53" i="17"/>
  <c r="D53" i="17" s="1"/>
  <c r="D52" i="17"/>
  <c r="B52" i="17"/>
  <c r="E52" i="17" s="1"/>
  <c r="F52" i="17" s="1"/>
  <c r="A52" i="17"/>
  <c r="B51" i="17"/>
  <c r="E51" i="17" s="1"/>
  <c r="A51" i="17"/>
  <c r="D51" i="17" s="1"/>
  <c r="B50" i="17"/>
  <c r="E50" i="17" s="1"/>
  <c r="A50" i="17"/>
  <c r="D50" i="17" s="1"/>
  <c r="B49" i="17"/>
  <c r="E49" i="17" s="1"/>
  <c r="F49" i="17" s="1"/>
  <c r="A49" i="17"/>
  <c r="D49" i="17" s="1"/>
  <c r="B48" i="17"/>
  <c r="E48" i="17" s="1"/>
  <c r="A48" i="17"/>
  <c r="D48" i="17" s="1"/>
  <c r="B47" i="17"/>
  <c r="E47" i="17" s="1"/>
  <c r="A47" i="17"/>
  <c r="D47" i="17" s="1"/>
  <c r="B46" i="17"/>
  <c r="E46" i="17" s="1"/>
  <c r="A46" i="17"/>
  <c r="D46" i="17" s="1"/>
  <c r="B45" i="17"/>
  <c r="E45" i="17" s="1"/>
  <c r="F45" i="17" s="1"/>
  <c r="A45" i="17"/>
  <c r="D45" i="17" s="1"/>
  <c r="B44" i="17"/>
  <c r="E44" i="17" s="1"/>
  <c r="A44" i="17"/>
  <c r="D44" i="17" s="1"/>
  <c r="B43" i="17"/>
  <c r="E43" i="17" s="1"/>
  <c r="F43" i="17" s="1"/>
  <c r="A43" i="17"/>
  <c r="D43" i="17" s="1"/>
  <c r="B42" i="17"/>
  <c r="E42" i="17" s="1"/>
  <c r="A42" i="17"/>
  <c r="D42" i="17" s="1"/>
  <c r="B41" i="17"/>
  <c r="E41" i="17" s="1"/>
  <c r="A41" i="17"/>
  <c r="D41" i="17" s="1"/>
  <c r="B40" i="17"/>
  <c r="E40" i="17" s="1"/>
  <c r="A40" i="17"/>
  <c r="D40" i="17" s="1"/>
  <c r="B39" i="17"/>
  <c r="E39" i="17" s="1"/>
  <c r="F39" i="17" s="1"/>
  <c r="A39" i="17"/>
  <c r="D39" i="17" s="1"/>
  <c r="B38" i="17"/>
  <c r="E38" i="17" s="1"/>
  <c r="A38" i="17"/>
  <c r="D38" i="17" s="1"/>
  <c r="B37" i="17"/>
  <c r="E37" i="17" s="1"/>
  <c r="A37" i="17"/>
  <c r="D37" i="17" s="1"/>
  <c r="D36" i="17"/>
  <c r="B36" i="17"/>
  <c r="E36" i="17" s="1"/>
  <c r="A36" i="17"/>
  <c r="B35" i="17"/>
  <c r="E35" i="17" s="1"/>
  <c r="A35" i="17"/>
  <c r="D35" i="17" s="1"/>
  <c r="B34" i="17"/>
  <c r="E34" i="17" s="1"/>
  <c r="F34" i="17" s="1"/>
  <c r="A34" i="17"/>
  <c r="D34" i="17" s="1"/>
  <c r="B33" i="17"/>
  <c r="E33" i="17" s="1"/>
  <c r="F33" i="17" s="1"/>
  <c r="A33" i="17"/>
  <c r="D33" i="17" s="1"/>
  <c r="B32" i="17"/>
  <c r="E32" i="17" s="1"/>
  <c r="A32" i="17"/>
  <c r="D32" i="17" s="1"/>
  <c r="B31" i="17"/>
  <c r="E31" i="17" s="1"/>
  <c r="A31" i="17"/>
  <c r="D31" i="17" s="1"/>
  <c r="B30" i="17"/>
  <c r="E30" i="17" s="1"/>
  <c r="F30" i="17" s="1"/>
  <c r="A30" i="17"/>
  <c r="D30" i="17" s="1"/>
  <c r="B29" i="17"/>
  <c r="E29" i="17" s="1"/>
  <c r="A29" i="17"/>
  <c r="D29" i="17" s="1"/>
  <c r="B28" i="17"/>
  <c r="E28" i="17" s="1"/>
  <c r="A28" i="17"/>
  <c r="D28" i="17" s="1"/>
  <c r="B27" i="17"/>
  <c r="E27" i="17" s="1"/>
  <c r="A27" i="17"/>
  <c r="D27" i="17" s="1"/>
  <c r="B26" i="17"/>
  <c r="E26" i="17" s="1"/>
  <c r="A26" i="17"/>
  <c r="D26" i="17" s="1"/>
  <c r="B25" i="17"/>
  <c r="E25" i="17" s="1"/>
  <c r="A25" i="17"/>
  <c r="D25" i="17" s="1"/>
  <c r="B24" i="17"/>
  <c r="E24" i="17" s="1"/>
  <c r="A24" i="17"/>
  <c r="D24" i="17" s="1"/>
  <c r="B23" i="17"/>
  <c r="E23" i="17" s="1"/>
  <c r="A23" i="17"/>
  <c r="D23" i="17" s="1"/>
  <c r="B22" i="17"/>
  <c r="E22" i="17" s="1"/>
  <c r="A22" i="17"/>
  <c r="D22" i="17" s="1"/>
  <c r="B21" i="17"/>
  <c r="E21" i="17" s="1"/>
  <c r="A21" i="17"/>
  <c r="D21" i="17" s="1"/>
  <c r="B20" i="17"/>
  <c r="E20" i="17" s="1"/>
  <c r="A20" i="17"/>
  <c r="D20" i="17" s="1"/>
  <c r="B19" i="17"/>
  <c r="E19" i="17" s="1"/>
  <c r="A19" i="17"/>
  <c r="D19" i="17" s="1"/>
  <c r="B18" i="17"/>
  <c r="E18" i="17" s="1"/>
  <c r="A18" i="17"/>
  <c r="D18" i="17" s="1"/>
  <c r="B17" i="17"/>
  <c r="E17" i="17" s="1"/>
  <c r="A17" i="17"/>
  <c r="D17" i="17" s="1"/>
  <c r="B16" i="17"/>
  <c r="E16" i="17" s="1"/>
  <c r="A16" i="17"/>
  <c r="D16" i="17" s="1"/>
  <c r="B15" i="17"/>
  <c r="E15" i="17" s="1"/>
  <c r="A15" i="17"/>
  <c r="D15" i="17" s="1"/>
  <c r="B14" i="17"/>
  <c r="E14" i="17" s="1"/>
  <c r="A14" i="17"/>
  <c r="D14" i="17" s="1"/>
  <c r="E13" i="17"/>
  <c r="B13" i="17"/>
  <c r="A13" i="17"/>
  <c r="D13" i="17" s="1"/>
  <c r="B12" i="17"/>
  <c r="E12" i="17" s="1"/>
  <c r="A12" i="17"/>
  <c r="D12" i="17" s="1"/>
  <c r="B11" i="17"/>
  <c r="E11" i="17" s="1"/>
  <c r="A11" i="17"/>
  <c r="D11" i="17" s="1"/>
  <c r="B10" i="17"/>
  <c r="E10" i="17" s="1"/>
  <c r="A10" i="17"/>
  <c r="D10" i="17" s="1"/>
  <c r="B9" i="17"/>
  <c r="E9" i="17" s="1"/>
  <c r="A9" i="17"/>
  <c r="D9" i="17" s="1"/>
  <c r="D8" i="17"/>
  <c r="B8" i="17"/>
  <c r="E8" i="17" s="1"/>
  <c r="F8" i="17" s="1"/>
  <c r="A8" i="17"/>
  <c r="B7" i="17"/>
  <c r="E7" i="17" s="1"/>
  <c r="A7" i="17"/>
  <c r="D7" i="17" s="1"/>
  <c r="B6" i="17"/>
  <c r="E6" i="17" s="1"/>
  <c r="A6" i="17"/>
  <c r="D6" i="17" s="1"/>
  <c r="B5" i="17"/>
  <c r="E5" i="17" s="1"/>
  <c r="A5" i="17"/>
  <c r="D5" i="17" s="1"/>
  <c r="D4" i="17"/>
  <c r="B4" i="17"/>
  <c r="E4" i="17" s="1"/>
  <c r="A4" i="17"/>
  <c r="B3" i="17"/>
  <c r="E3" i="17" s="1"/>
  <c r="A3" i="17"/>
  <c r="D3" i="17" s="1"/>
  <c r="B2" i="17"/>
  <c r="E2" i="17" s="1"/>
  <c r="A2" i="17"/>
  <c r="D2" i="17" s="1"/>
  <c r="E3" i="21"/>
  <c r="D3" i="21"/>
  <c r="C3" i="21"/>
  <c r="B3" i="21"/>
  <c r="B125" i="18"/>
  <c r="D125" i="18" s="1"/>
  <c r="B124" i="18"/>
  <c r="C124" i="18" s="1"/>
  <c r="B123" i="18"/>
  <c r="C123" i="18" s="1"/>
  <c r="B122" i="18"/>
  <c r="D122" i="18" s="1"/>
  <c r="D121" i="18"/>
  <c r="C121" i="18"/>
  <c r="E121" i="18" s="1"/>
  <c r="B121" i="18"/>
  <c r="B120" i="18"/>
  <c r="D120" i="18" s="1"/>
  <c r="B119" i="18"/>
  <c r="D119" i="18" s="1"/>
  <c r="D118" i="18"/>
  <c r="E118" i="18" s="1"/>
  <c r="B118" i="18"/>
  <c r="C118" i="18" s="1"/>
  <c r="B117" i="18"/>
  <c r="C117" i="18" s="1"/>
  <c r="B116" i="18"/>
  <c r="D116" i="18" s="1"/>
  <c r="B115" i="18"/>
  <c r="B114" i="18"/>
  <c r="C114" i="18" s="1"/>
  <c r="E113" i="18"/>
  <c r="D113" i="18"/>
  <c r="B113" i="18"/>
  <c r="C113" i="18" s="1"/>
  <c r="B112" i="18"/>
  <c r="D112" i="18" s="1"/>
  <c r="B111" i="18"/>
  <c r="D111" i="18" s="1"/>
  <c r="B110" i="18"/>
  <c r="C110" i="18" s="1"/>
  <c r="B109" i="18"/>
  <c r="D109" i="18" s="1"/>
  <c r="B108" i="18"/>
  <c r="C108" i="18" s="1"/>
  <c r="B107" i="18"/>
  <c r="C107" i="18" s="1"/>
  <c r="B106" i="18"/>
  <c r="D106" i="18" s="1"/>
  <c r="B105" i="18"/>
  <c r="C105" i="18" s="1"/>
  <c r="B104" i="18"/>
  <c r="B103" i="18"/>
  <c r="C103" i="18" s="1"/>
  <c r="B102" i="18"/>
  <c r="C102" i="18" s="1"/>
  <c r="B101" i="18"/>
  <c r="D101" i="18" s="1"/>
  <c r="B100" i="18"/>
  <c r="D100" i="18" s="1"/>
  <c r="D99" i="18"/>
  <c r="B99" i="18"/>
  <c r="C99" i="18" s="1"/>
  <c r="B98" i="18"/>
  <c r="C98" i="18" s="1"/>
  <c r="B97" i="18"/>
  <c r="D97" i="18" s="1"/>
  <c r="B96" i="18"/>
  <c r="C96" i="18" s="1"/>
  <c r="B95" i="18"/>
  <c r="C95" i="18" s="1"/>
  <c r="D94" i="18"/>
  <c r="B94" i="18"/>
  <c r="C94" i="18" s="1"/>
  <c r="B93" i="18"/>
  <c r="C93" i="18" s="1"/>
  <c r="B92" i="18"/>
  <c r="C92" i="18" s="1"/>
  <c r="B91" i="18"/>
  <c r="C91" i="18" s="1"/>
  <c r="B90" i="18"/>
  <c r="B89" i="18"/>
  <c r="D89" i="18" s="1"/>
  <c r="D88" i="18"/>
  <c r="E88" i="18" s="1"/>
  <c r="B88" i="18"/>
  <c r="C88" i="18" s="1"/>
  <c r="B87" i="18"/>
  <c r="D87" i="18" s="1"/>
  <c r="B86" i="18"/>
  <c r="D86" i="18" s="1"/>
  <c r="B85" i="18"/>
  <c r="C85" i="18" s="1"/>
  <c r="B84" i="18"/>
  <c r="D84" i="18" s="1"/>
  <c r="B83" i="18"/>
  <c r="C83" i="18" s="1"/>
  <c r="B82" i="18"/>
  <c r="C82" i="18" s="1"/>
  <c r="B81" i="18"/>
  <c r="D81" i="18" s="1"/>
  <c r="C80" i="18"/>
  <c r="B80" i="18"/>
  <c r="D80" i="18" s="1"/>
  <c r="B79" i="18"/>
  <c r="B78" i="18"/>
  <c r="C78" i="18" s="1"/>
  <c r="B77" i="18"/>
  <c r="D77" i="18" s="1"/>
  <c r="B76" i="18"/>
  <c r="D76" i="18" s="1"/>
  <c r="B75" i="18"/>
  <c r="C75" i="18" s="1"/>
  <c r="B74" i="18"/>
  <c r="C74" i="18" s="1"/>
  <c r="B73" i="18"/>
  <c r="C73" i="18" s="1"/>
  <c r="B72" i="18"/>
  <c r="D72" i="18" s="1"/>
  <c r="B71" i="18"/>
  <c r="D71" i="18" s="1"/>
  <c r="B70" i="18"/>
  <c r="D70" i="18" s="1"/>
  <c r="D69" i="18"/>
  <c r="B69" i="18"/>
  <c r="C69" i="18" s="1"/>
  <c r="B68" i="18"/>
  <c r="D68" i="18" s="1"/>
  <c r="B67" i="18"/>
  <c r="D67" i="18" s="1"/>
  <c r="B66" i="18"/>
  <c r="D66" i="18" s="1"/>
  <c r="D65" i="18"/>
  <c r="B65" i="18"/>
  <c r="C65" i="18" s="1"/>
  <c r="B64" i="18"/>
  <c r="C64" i="18" s="1"/>
  <c r="B63" i="18"/>
  <c r="D63" i="18" s="1"/>
  <c r="C62" i="18"/>
  <c r="B62" i="18"/>
  <c r="D62" i="18" s="1"/>
  <c r="E62" i="18" s="1"/>
  <c r="B61" i="18"/>
  <c r="C61" i="18" s="1"/>
  <c r="B60" i="18"/>
  <c r="D60" i="18" s="1"/>
  <c r="B59" i="18"/>
  <c r="D59" i="18" s="1"/>
  <c r="B58" i="18"/>
  <c r="D58" i="18" s="1"/>
  <c r="B57" i="18"/>
  <c r="D57" i="18" s="1"/>
  <c r="B56" i="18"/>
  <c r="D56" i="18" s="1"/>
  <c r="B55" i="18"/>
  <c r="D55" i="18" s="1"/>
  <c r="B54" i="18"/>
  <c r="D54" i="18" s="1"/>
  <c r="B53" i="18"/>
  <c r="D53" i="18" s="1"/>
  <c r="B52" i="18"/>
  <c r="D52" i="18" s="1"/>
  <c r="B51" i="18"/>
  <c r="C51" i="18" s="1"/>
  <c r="B50" i="18"/>
  <c r="D50" i="18" s="1"/>
  <c r="B49" i="18"/>
  <c r="D49" i="18" s="1"/>
  <c r="B48" i="18"/>
  <c r="D48" i="18" s="1"/>
  <c r="B47" i="18"/>
  <c r="D47" i="18" s="1"/>
  <c r="B46" i="18"/>
  <c r="D46" i="18" s="1"/>
  <c r="B45" i="18"/>
  <c r="D45" i="18" s="1"/>
  <c r="B44" i="18"/>
  <c r="D44" i="18" s="1"/>
  <c r="B43" i="18"/>
  <c r="D43" i="18" s="1"/>
  <c r="B42" i="18"/>
  <c r="D42" i="18" s="1"/>
  <c r="B41" i="18"/>
  <c r="D41" i="18" s="1"/>
  <c r="D40" i="18"/>
  <c r="B40" i="18"/>
  <c r="C40" i="18" s="1"/>
  <c r="B39" i="18"/>
  <c r="D39" i="18" s="1"/>
  <c r="B38" i="18"/>
  <c r="D38" i="18" s="1"/>
  <c r="B37" i="18"/>
  <c r="D37" i="18" s="1"/>
  <c r="B36" i="18"/>
  <c r="D36" i="18" s="1"/>
  <c r="B35" i="18"/>
  <c r="D35" i="18" s="1"/>
  <c r="B34" i="18"/>
  <c r="C34" i="18" s="1"/>
  <c r="B33" i="18"/>
  <c r="D33" i="18" s="1"/>
  <c r="B32" i="18"/>
  <c r="D32" i="18" s="1"/>
  <c r="B31" i="18"/>
  <c r="C31" i="18" s="1"/>
  <c r="B30" i="18"/>
  <c r="D30" i="18" s="1"/>
  <c r="B29" i="18"/>
  <c r="C29" i="18" s="1"/>
  <c r="B28" i="18"/>
  <c r="D28" i="18" s="1"/>
  <c r="B27" i="18"/>
  <c r="D27" i="18" s="1"/>
  <c r="B26" i="18"/>
  <c r="D26" i="18" s="1"/>
  <c r="B25" i="18"/>
  <c r="C25" i="18" s="1"/>
  <c r="B24" i="18"/>
  <c r="C24" i="18" s="1"/>
  <c r="B23" i="18"/>
  <c r="D23" i="18" s="1"/>
  <c r="B22" i="18"/>
  <c r="C22" i="18" s="1"/>
  <c r="B21" i="18"/>
  <c r="C21" i="18" s="1"/>
  <c r="B20" i="18"/>
  <c r="D20" i="18" s="1"/>
  <c r="D19" i="18"/>
  <c r="C19" i="18"/>
  <c r="E19" i="18" s="1"/>
  <c r="B19" i="18"/>
  <c r="B18" i="18"/>
  <c r="D18" i="18" s="1"/>
  <c r="B17" i="18"/>
  <c r="C17" i="18" s="1"/>
  <c r="B16" i="18"/>
  <c r="D16" i="18" s="1"/>
  <c r="B15" i="18"/>
  <c r="D15" i="18" s="1"/>
  <c r="B14" i="18"/>
  <c r="D14" i="18" s="1"/>
  <c r="B13" i="18"/>
  <c r="D13" i="18" s="1"/>
  <c r="B12" i="18"/>
  <c r="C12" i="18" s="1"/>
  <c r="B11" i="18"/>
  <c r="D11" i="18" s="1"/>
  <c r="B10" i="18"/>
  <c r="D10" i="18" s="1"/>
  <c r="B9" i="18"/>
  <c r="D9" i="18" s="1"/>
  <c r="B8" i="18"/>
  <c r="C8" i="18" s="1"/>
  <c r="D7" i="18"/>
  <c r="B7" i="18"/>
  <c r="C7" i="18" s="1"/>
  <c r="E7" i="18" s="1"/>
  <c r="B6" i="18"/>
  <c r="D6" i="18" s="1"/>
  <c r="B5" i="18"/>
  <c r="D5" i="18" s="1"/>
  <c r="B4" i="18"/>
  <c r="C4" i="18" s="1"/>
  <c r="B3" i="18"/>
  <c r="C3" i="18" s="1"/>
  <c r="G6" i="20"/>
  <c r="I4" i="20"/>
  <c r="H4" i="20"/>
  <c r="G4" i="20"/>
  <c r="C4" i="20"/>
  <c r="C3" i="20"/>
  <c r="C12" i="20" s="1"/>
  <c r="J227" i="19"/>
  <c r="I227" i="19"/>
  <c r="H227" i="19"/>
  <c r="J226" i="19"/>
  <c r="I226" i="19"/>
  <c r="H226" i="19"/>
  <c r="J225" i="19"/>
  <c r="I225" i="19"/>
  <c r="H225" i="19"/>
  <c r="J224" i="19"/>
  <c r="I224" i="19"/>
  <c r="H224" i="19"/>
  <c r="J223" i="19"/>
  <c r="I223" i="19"/>
  <c r="H223" i="19"/>
  <c r="J222" i="19"/>
  <c r="I222" i="19"/>
  <c r="H222" i="19"/>
  <c r="J221" i="19"/>
  <c r="I221" i="19"/>
  <c r="H221" i="19"/>
  <c r="J220" i="19"/>
  <c r="I220" i="19"/>
  <c r="H220" i="19"/>
  <c r="J219" i="19"/>
  <c r="I219" i="19"/>
  <c r="H219" i="19"/>
  <c r="J218" i="19"/>
  <c r="I218" i="19"/>
  <c r="H218" i="19"/>
  <c r="J217" i="19"/>
  <c r="I217" i="19"/>
  <c r="H217" i="19"/>
  <c r="J216" i="19"/>
  <c r="I216" i="19"/>
  <c r="H216" i="19"/>
  <c r="J215" i="19"/>
  <c r="I215" i="19"/>
  <c r="H215" i="19"/>
  <c r="J214" i="19"/>
  <c r="I214" i="19"/>
  <c r="H214" i="19"/>
  <c r="J213" i="19"/>
  <c r="I213" i="19"/>
  <c r="H213" i="19"/>
  <c r="J212" i="19"/>
  <c r="I212" i="19"/>
  <c r="H212" i="19"/>
  <c r="J211" i="19"/>
  <c r="I211" i="19"/>
  <c r="H211" i="19"/>
  <c r="J210" i="19"/>
  <c r="I210" i="19"/>
  <c r="H210" i="19"/>
  <c r="J209" i="19"/>
  <c r="I209" i="19"/>
  <c r="H209" i="19"/>
  <c r="J208" i="19"/>
  <c r="I208" i="19"/>
  <c r="H208" i="19"/>
  <c r="J207" i="19"/>
  <c r="I207" i="19"/>
  <c r="H207" i="19"/>
  <c r="J206" i="19"/>
  <c r="I206" i="19"/>
  <c r="H206" i="19"/>
  <c r="J205" i="19"/>
  <c r="I205" i="19"/>
  <c r="H205" i="19"/>
  <c r="J204" i="19"/>
  <c r="I204" i="19"/>
  <c r="H204" i="19"/>
  <c r="J203" i="19"/>
  <c r="I203" i="19"/>
  <c r="H203" i="19"/>
  <c r="J202" i="19"/>
  <c r="I202" i="19"/>
  <c r="H202" i="19"/>
  <c r="J201" i="19"/>
  <c r="I201" i="19"/>
  <c r="H201" i="19"/>
  <c r="J200" i="19"/>
  <c r="I200" i="19"/>
  <c r="H200" i="19"/>
  <c r="J199" i="19"/>
  <c r="I199" i="19"/>
  <c r="H199" i="19"/>
  <c r="J198" i="19"/>
  <c r="I198" i="19"/>
  <c r="H198" i="19"/>
  <c r="J197" i="19"/>
  <c r="I197" i="19"/>
  <c r="H197" i="19"/>
  <c r="J196" i="19"/>
  <c r="I196" i="19"/>
  <c r="H196" i="19"/>
  <c r="J195" i="19"/>
  <c r="I195" i="19"/>
  <c r="H195" i="19"/>
  <c r="J194" i="19"/>
  <c r="I194" i="19"/>
  <c r="H194" i="19"/>
  <c r="J193" i="19"/>
  <c r="I193" i="19"/>
  <c r="H193" i="19"/>
  <c r="J192" i="19"/>
  <c r="I192" i="19"/>
  <c r="H192" i="19"/>
  <c r="J191" i="19"/>
  <c r="I191" i="19"/>
  <c r="H191" i="19"/>
  <c r="J190" i="19"/>
  <c r="I190" i="19"/>
  <c r="H190" i="19"/>
  <c r="J189" i="19"/>
  <c r="I189" i="19"/>
  <c r="H189" i="19"/>
  <c r="J188" i="19"/>
  <c r="I188" i="19"/>
  <c r="H188" i="19"/>
  <c r="J187" i="19"/>
  <c r="I187" i="19"/>
  <c r="H187" i="19"/>
  <c r="J186" i="19"/>
  <c r="I186" i="19"/>
  <c r="H186" i="19"/>
  <c r="J185" i="19"/>
  <c r="I185" i="19"/>
  <c r="H185" i="19"/>
  <c r="J184" i="19"/>
  <c r="I184" i="19"/>
  <c r="H184" i="19"/>
  <c r="J183" i="19"/>
  <c r="I183" i="19"/>
  <c r="H183" i="19"/>
  <c r="J182" i="19"/>
  <c r="I182" i="19"/>
  <c r="H182" i="19"/>
  <c r="J181" i="19"/>
  <c r="I181" i="19"/>
  <c r="H181" i="19"/>
  <c r="J180" i="19"/>
  <c r="I180" i="19"/>
  <c r="H180" i="19"/>
  <c r="J179" i="19"/>
  <c r="I179" i="19"/>
  <c r="H179" i="19"/>
  <c r="J178" i="19"/>
  <c r="I178" i="19"/>
  <c r="H178" i="19"/>
  <c r="J177" i="19"/>
  <c r="I177" i="19"/>
  <c r="H177" i="19"/>
  <c r="J176" i="19"/>
  <c r="I176" i="19"/>
  <c r="H176" i="19"/>
  <c r="J175" i="19"/>
  <c r="I175" i="19"/>
  <c r="H175" i="19"/>
  <c r="J174" i="19"/>
  <c r="I174" i="19"/>
  <c r="H174" i="19"/>
  <c r="J173" i="19"/>
  <c r="I173" i="19"/>
  <c r="H173" i="19"/>
  <c r="J172" i="19"/>
  <c r="I172" i="19"/>
  <c r="H172" i="19"/>
  <c r="J171" i="19"/>
  <c r="I171" i="19"/>
  <c r="H171" i="19"/>
  <c r="J170" i="19"/>
  <c r="I170" i="19"/>
  <c r="H170" i="19"/>
  <c r="J169" i="19"/>
  <c r="I169" i="19"/>
  <c r="H169" i="19"/>
  <c r="J168" i="19"/>
  <c r="I168" i="19"/>
  <c r="H168" i="19"/>
  <c r="J167" i="19"/>
  <c r="I167" i="19"/>
  <c r="H167" i="19"/>
  <c r="J166" i="19"/>
  <c r="I166" i="19"/>
  <c r="H166" i="19"/>
  <c r="J165" i="19"/>
  <c r="I165" i="19"/>
  <c r="H165" i="19"/>
  <c r="J164" i="19"/>
  <c r="I164" i="19"/>
  <c r="H164" i="19"/>
  <c r="J163" i="19"/>
  <c r="I163" i="19"/>
  <c r="H163" i="19"/>
  <c r="J162" i="19"/>
  <c r="I162" i="19"/>
  <c r="H162" i="19"/>
  <c r="J161" i="19"/>
  <c r="I161" i="19"/>
  <c r="H161" i="19"/>
  <c r="J160" i="19"/>
  <c r="I160" i="19"/>
  <c r="H160" i="19"/>
  <c r="J159" i="19"/>
  <c r="I159" i="19"/>
  <c r="H159" i="19"/>
  <c r="J158" i="19"/>
  <c r="I158" i="19"/>
  <c r="H158" i="19"/>
  <c r="J157" i="19"/>
  <c r="I157" i="19"/>
  <c r="H157" i="19"/>
  <c r="J156" i="19"/>
  <c r="I156" i="19"/>
  <c r="H156" i="19"/>
  <c r="J155" i="19"/>
  <c r="I155" i="19"/>
  <c r="H155" i="19"/>
  <c r="J154" i="19"/>
  <c r="I154" i="19"/>
  <c r="H154" i="19"/>
  <c r="J153" i="19"/>
  <c r="I153" i="19"/>
  <c r="H153" i="19"/>
  <c r="J152" i="19"/>
  <c r="I152" i="19"/>
  <c r="H152" i="19"/>
  <c r="J151" i="19"/>
  <c r="I151" i="19"/>
  <c r="H151" i="19"/>
  <c r="J150" i="19"/>
  <c r="I150" i="19"/>
  <c r="H150" i="19"/>
  <c r="J149" i="19"/>
  <c r="I149" i="19"/>
  <c r="H149" i="19"/>
  <c r="J148" i="19"/>
  <c r="I148" i="19"/>
  <c r="H148" i="19"/>
  <c r="J147" i="19"/>
  <c r="I147" i="19"/>
  <c r="H147" i="19"/>
  <c r="J146" i="19"/>
  <c r="I146" i="19"/>
  <c r="H146" i="19"/>
  <c r="J145" i="19"/>
  <c r="I145" i="19"/>
  <c r="H145" i="19"/>
  <c r="J144" i="19"/>
  <c r="I144" i="19"/>
  <c r="H144" i="19"/>
  <c r="J143" i="19"/>
  <c r="I143" i="19"/>
  <c r="H143" i="19"/>
  <c r="J142" i="19"/>
  <c r="I142" i="19"/>
  <c r="H142" i="19"/>
  <c r="J141" i="19"/>
  <c r="I141" i="19"/>
  <c r="H141" i="19"/>
  <c r="J140" i="19"/>
  <c r="I140" i="19"/>
  <c r="H140" i="19"/>
  <c r="J139" i="19"/>
  <c r="I139" i="19"/>
  <c r="H139" i="19"/>
  <c r="J138" i="19"/>
  <c r="I138" i="19"/>
  <c r="H138" i="19"/>
  <c r="J137" i="19"/>
  <c r="I137" i="19"/>
  <c r="H137" i="19"/>
  <c r="J136" i="19"/>
  <c r="I136" i="19"/>
  <c r="H136" i="19"/>
  <c r="J135" i="19"/>
  <c r="I135" i="19"/>
  <c r="H135" i="19"/>
  <c r="J134" i="19"/>
  <c r="I134" i="19"/>
  <c r="H134" i="19"/>
  <c r="J133" i="19"/>
  <c r="I133" i="19"/>
  <c r="H133" i="19"/>
  <c r="J132" i="19"/>
  <c r="I132" i="19"/>
  <c r="H132" i="19"/>
  <c r="J131" i="19"/>
  <c r="I131" i="19"/>
  <c r="H131" i="19"/>
  <c r="J130" i="19"/>
  <c r="I130" i="19"/>
  <c r="H130" i="19"/>
  <c r="J129" i="19"/>
  <c r="I129" i="19"/>
  <c r="H129" i="19"/>
  <c r="J128" i="19"/>
  <c r="I128" i="19"/>
  <c r="H128" i="19"/>
  <c r="J127" i="19"/>
  <c r="I127" i="19"/>
  <c r="H127" i="19"/>
  <c r="J126" i="19"/>
  <c r="I126" i="19"/>
  <c r="H126" i="19"/>
  <c r="J125" i="19"/>
  <c r="I125" i="19"/>
  <c r="H125" i="19"/>
  <c r="J124" i="19"/>
  <c r="I124" i="19"/>
  <c r="H124" i="19"/>
  <c r="J123" i="19"/>
  <c r="I123" i="19"/>
  <c r="H123" i="19"/>
  <c r="J122" i="19"/>
  <c r="I122" i="19"/>
  <c r="H122" i="19"/>
  <c r="J121" i="19"/>
  <c r="I121" i="19"/>
  <c r="H121" i="19"/>
  <c r="J120" i="19"/>
  <c r="I120" i="19"/>
  <c r="H120" i="19"/>
  <c r="J119" i="19"/>
  <c r="I119" i="19"/>
  <c r="H119" i="19"/>
  <c r="J118" i="19"/>
  <c r="I118" i="19"/>
  <c r="H118" i="19"/>
  <c r="J117" i="19"/>
  <c r="I117" i="19"/>
  <c r="H117" i="19"/>
  <c r="J116" i="19"/>
  <c r="I116" i="19"/>
  <c r="H116" i="19"/>
  <c r="J115" i="19"/>
  <c r="I115" i="19"/>
  <c r="H115" i="19"/>
  <c r="J114" i="19"/>
  <c r="I114" i="19"/>
  <c r="H114" i="19"/>
  <c r="J113" i="19"/>
  <c r="I113" i="19"/>
  <c r="H113" i="19"/>
  <c r="J112" i="19"/>
  <c r="I112" i="19"/>
  <c r="H112" i="19"/>
  <c r="J111" i="19"/>
  <c r="I111" i="19"/>
  <c r="H111" i="19"/>
  <c r="J110" i="19"/>
  <c r="I110" i="19"/>
  <c r="H110" i="19"/>
  <c r="J109" i="19"/>
  <c r="I109" i="19"/>
  <c r="H109" i="19"/>
  <c r="J108" i="19"/>
  <c r="I108" i="19"/>
  <c r="H108" i="19"/>
  <c r="J107" i="19"/>
  <c r="I107" i="19"/>
  <c r="H107" i="19"/>
  <c r="J106" i="19"/>
  <c r="I106" i="19"/>
  <c r="H106" i="19"/>
  <c r="J105" i="19"/>
  <c r="I105" i="19"/>
  <c r="H105" i="19"/>
  <c r="J104" i="19"/>
  <c r="I104" i="19"/>
  <c r="H104" i="19"/>
  <c r="J103" i="19"/>
  <c r="I103" i="19"/>
  <c r="H103" i="19"/>
  <c r="J102" i="19"/>
  <c r="I102" i="19"/>
  <c r="H102" i="19"/>
  <c r="J101" i="19"/>
  <c r="I101" i="19"/>
  <c r="H101" i="19"/>
  <c r="J100" i="19"/>
  <c r="I100" i="19"/>
  <c r="H100" i="19"/>
  <c r="J99" i="19"/>
  <c r="I99" i="19"/>
  <c r="H99" i="19"/>
  <c r="J98" i="19"/>
  <c r="I98" i="19"/>
  <c r="H98" i="19"/>
  <c r="J97" i="19"/>
  <c r="I97" i="19"/>
  <c r="H97" i="19"/>
  <c r="J96" i="19"/>
  <c r="I96" i="19"/>
  <c r="H96" i="19"/>
  <c r="J95" i="19"/>
  <c r="I95" i="19"/>
  <c r="H95" i="19"/>
  <c r="J94" i="19"/>
  <c r="I94" i="19"/>
  <c r="H94" i="19"/>
  <c r="J93" i="19"/>
  <c r="I93" i="19"/>
  <c r="H93" i="19"/>
  <c r="J92" i="19"/>
  <c r="I92" i="19"/>
  <c r="H92" i="19"/>
  <c r="J91" i="19"/>
  <c r="I91" i="19"/>
  <c r="H91" i="19"/>
  <c r="J90" i="19"/>
  <c r="I90" i="19"/>
  <c r="H90" i="19"/>
  <c r="J89" i="19"/>
  <c r="I89" i="19"/>
  <c r="H89" i="19"/>
  <c r="J88" i="19"/>
  <c r="I88" i="19"/>
  <c r="H88" i="19"/>
  <c r="J87" i="19"/>
  <c r="I87" i="19"/>
  <c r="H87" i="19"/>
  <c r="J86" i="19"/>
  <c r="I86" i="19"/>
  <c r="H86" i="19"/>
  <c r="J85" i="19"/>
  <c r="I85" i="19"/>
  <c r="H85" i="19"/>
  <c r="J84" i="19"/>
  <c r="I84" i="19"/>
  <c r="H84" i="19"/>
  <c r="J83" i="19"/>
  <c r="I83" i="19"/>
  <c r="H83" i="19"/>
  <c r="J82" i="19"/>
  <c r="I82" i="19"/>
  <c r="H82" i="19"/>
  <c r="J81" i="19"/>
  <c r="I81" i="19"/>
  <c r="H81" i="19"/>
  <c r="J80" i="19"/>
  <c r="I80" i="19"/>
  <c r="H80" i="19"/>
  <c r="J79" i="19"/>
  <c r="I79" i="19"/>
  <c r="H79" i="19"/>
  <c r="J78" i="19"/>
  <c r="I78" i="19"/>
  <c r="H78" i="19"/>
  <c r="J77" i="19"/>
  <c r="I77" i="19"/>
  <c r="H77" i="19"/>
  <c r="J76" i="19"/>
  <c r="I76" i="19"/>
  <c r="H76" i="19"/>
  <c r="J75" i="19"/>
  <c r="I75" i="19"/>
  <c r="H75" i="19"/>
  <c r="J74" i="19"/>
  <c r="I74" i="19"/>
  <c r="H74" i="19"/>
  <c r="J73" i="19"/>
  <c r="I73" i="19"/>
  <c r="H73" i="19"/>
  <c r="J72" i="19"/>
  <c r="I72" i="19"/>
  <c r="H72" i="19"/>
  <c r="J71" i="19"/>
  <c r="I71" i="19"/>
  <c r="H71" i="19"/>
  <c r="J70" i="19"/>
  <c r="I70" i="19"/>
  <c r="H70" i="19"/>
  <c r="J69" i="19"/>
  <c r="I69" i="19"/>
  <c r="H69" i="19"/>
  <c r="J68" i="19"/>
  <c r="I68" i="19"/>
  <c r="H68" i="19"/>
  <c r="J67" i="19"/>
  <c r="I67" i="19"/>
  <c r="H67" i="19"/>
  <c r="J66" i="19"/>
  <c r="I66" i="19"/>
  <c r="H66" i="19"/>
  <c r="J65" i="19"/>
  <c r="I65" i="19"/>
  <c r="H65" i="19"/>
  <c r="J64" i="19"/>
  <c r="I64" i="19"/>
  <c r="H64" i="19"/>
  <c r="J63" i="19"/>
  <c r="I63" i="19"/>
  <c r="H63" i="19"/>
  <c r="J62" i="19"/>
  <c r="I62" i="19"/>
  <c r="H62" i="19"/>
  <c r="J61" i="19"/>
  <c r="I61" i="19"/>
  <c r="H61" i="19"/>
  <c r="J60" i="19"/>
  <c r="I60" i="19"/>
  <c r="H60" i="19"/>
  <c r="J59" i="19"/>
  <c r="I59" i="19"/>
  <c r="H59" i="19"/>
  <c r="J58" i="19"/>
  <c r="I58" i="19"/>
  <c r="H58" i="19"/>
  <c r="J57" i="19"/>
  <c r="I57" i="19"/>
  <c r="H57" i="19"/>
  <c r="J56" i="19"/>
  <c r="I56" i="19"/>
  <c r="H56" i="19"/>
  <c r="J55" i="19"/>
  <c r="I55" i="19"/>
  <c r="H55" i="19"/>
  <c r="J54" i="19"/>
  <c r="I54" i="19"/>
  <c r="H54" i="19"/>
  <c r="J53" i="19"/>
  <c r="I53" i="19"/>
  <c r="H53" i="19"/>
  <c r="J52" i="19"/>
  <c r="I52" i="19"/>
  <c r="H52" i="19"/>
  <c r="J51" i="19"/>
  <c r="I51" i="19"/>
  <c r="H51" i="19"/>
  <c r="J50" i="19"/>
  <c r="I50" i="19"/>
  <c r="H50" i="19"/>
  <c r="J49" i="19"/>
  <c r="I49" i="19"/>
  <c r="H49" i="19"/>
  <c r="J48" i="19"/>
  <c r="I48" i="19"/>
  <c r="H48" i="19"/>
  <c r="J47" i="19"/>
  <c r="I47" i="19"/>
  <c r="H47" i="19"/>
  <c r="J46" i="19"/>
  <c r="I46" i="19"/>
  <c r="H46" i="19"/>
  <c r="J45" i="19"/>
  <c r="I45" i="19"/>
  <c r="H45" i="19"/>
  <c r="J44" i="19"/>
  <c r="I44" i="19"/>
  <c r="H44" i="19"/>
  <c r="J43" i="19"/>
  <c r="I43" i="19"/>
  <c r="H43" i="19"/>
  <c r="J42" i="19"/>
  <c r="I42" i="19"/>
  <c r="H42" i="19"/>
  <c r="J41" i="19"/>
  <c r="I41" i="19"/>
  <c r="H41" i="19"/>
  <c r="J40" i="19"/>
  <c r="I40" i="19"/>
  <c r="H40" i="19"/>
  <c r="J39" i="19"/>
  <c r="I39" i="19"/>
  <c r="H39" i="19"/>
  <c r="J38" i="19"/>
  <c r="I38" i="19"/>
  <c r="H38" i="19"/>
  <c r="J37" i="19"/>
  <c r="I37" i="19"/>
  <c r="H37" i="19"/>
  <c r="J36" i="19"/>
  <c r="I36" i="19"/>
  <c r="H36" i="19"/>
  <c r="J35" i="19"/>
  <c r="I35" i="19"/>
  <c r="H35" i="19"/>
  <c r="J34" i="19"/>
  <c r="I34" i="19"/>
  <c r="H34" i="19"/>
  <c r="J33" i="19"/>
  <c r="I33" i="19"/>
  <c r="H33" i="19"/>
  <c r="J32" i="19"/>
  <c r="I32" i="19"/>
  <c r="H32" i="19"/>
  <c r="J31" i="19"/>
  <c r="I31" i="19"/>
  <c r="H31" i="19"/>
  <c r="J30" i="19"/>
  <c r="I30" i="19"/>
  <c r="H30" i="19"/>
  <c r="J29" i="19"/>
  <c r="I29" i="19"/>
  <c r="H29" i="19"/>
  <c r="J28" i="19"/>
  <c r="I28" i="19"/>
  <c r="H28" i="19"/>
  <c r="J27" i="19"/>
  <c r="I27" i="19"/>
  <c r="H27" i="19"/>
  <c r="J26" i="19"/>
  <c r="I26" i="19"/>
  <c r="H26" i="19"/>
  <c r="J25" i="19"/>
  <c r="I25" i="19"/>
  <c r="H25" i="19"/>
  <c r="J24" i="19"/>
  <c r="I24" i="19"/>
  <c r="H24" i="19"/>
  <c r="J23" i="19"/>
  <c r="I23" i="19"/>
  <c r="H23" i="19"/>
  <c r="J22" i="19"/>
  <c r="I22" i="19"/>
  <c r="H22" i="19"/>
  <c r="J21" i="19"/>
  <c r="I21" i="19"/>
  <c r="H21" i="19"/>
  <c r="J20" i="19"/>
  <c r="I20" i="19"/>
  <c r="H20" i="19"/>
  <c r="J19" i="19"/>
  <c r="I19" i="19"/>
  <c r="H19" i="19"/>
  <c r="J18" i="19"/>
  <c r="I18" i="19"/>
  <c r="H18" i="19"/>
  <c r="J17" i="19"/>
  <c r="I17" i="19"/>
  <c r="H17" i="19"/>
  <c r="J16" i="19"/>
  <c r="I16" i="19"/>
  <c r="H16" i="19"/>
  <c r="J15" i="19"/>
  <c r="I15" i="19"/>
  <c r="H15" i="19"/>
  <c r="J14" i="19"/>
  <c r="I14" i="19"/>
  <c r="H14" i="19"/>
  <c r="J13" i="19"/>
  <c r="I13" i="19"/>
  <c r="H13" i="19"/>
  <c r="J12" i="19"/>
  <c r="I12" i="19"/>
  <c r="H12" i="19"/>
  <c r="J11" i="19"/>
  <c r="I11" i="19"/>
  <c r="H11" i="19"/>
  <c r="J10" i="19"/>
  <c r="I10" i="19"/>
  <c r="H10" i="19"/>
  <c r="I3" i="19"/>
  <c r="I2" i="19"/>
  <c r="F114" i="17" l="1"/>
  <c r="F262" i="17"/>
  <c r="E40" i="18"/>
  <c r="E69" i="18"/>
  <c r="F68" i="17"/>
  <c r="F232" i="17"/>
  <c r="C14" i="18"/>
  <c r="E14" i="18" s="1"/>
  <c r="C48" i="18"/>
  <c r="E48" i="18" s="1"/>
  <c r="D93" i="18"/>
  <c r="F35" i="17"/>
  <c r="F86" i="17"/>
  <c r="C28" i="18"/>
  <c r="E28" i="18" s="1"/>
  <c r="C36" i="18"/>
  <c r="E36" i="18" s="1"/>
  <c r="C100" i="18"/>
  <c r="D107" i="18"/>
  <c r="E107" i="18" s="1"/>
  <c r="D114" i="18"/>
  <c r="E114" i="18" s="1"/>
  <c r="F17" i="17"/>
  <c r="F31" i="17"/>
  <c r="F44" i="17"/>
  <c r="F65" i="17"/>
  <c r="F74" i="17"/>
  <c r="F95" i="17"/>
  <c r="F112" i="17"/>
  <c r="F125" i="17"/>
  <c r="F216" i="17"/>
  <c r="F255" i="17"/>
  <c r="B51" i="20"/>
  <c r="C49" i="18"/>
  <c r="F27" i="17"/>
  <c r="F83" i="17"/>
  <c r="F129" i="17"/>
  <c r="F194" i="17"/>
  <c r="F203" i="17"/>
  <c r="F265" i="17"/>
  <c r="F278" i="17"/>
  <c r="F291" i="17"/>
  <c r="E117" i="18"/>
  <c r="F108" i="17"/>
  <c r="C10" i="18"/>
  <c r="E10" i="18" s="1"/>
  <c r="F117" i="17"/>
  <c r="F204" i="17"/>
  <c r="D31" i="18"/>
  <c r="E31" i="18" s="1"/>
  <c r="E82" i="18"/>
  <c r="F46" i="17"/>
  <c r="F71" i="17"/>
  <c r="F213" i="17"/>
  <c r="D61" i="18"/>
  <c r="E61" i="18" s="1"/>
  <c r="F59" i="17"/>
  <c r="F85" i="17"/>
  <c r="F144" i="17"/>
  <c r="B50" i="20"/>
  <c r="C18" i="18"/>
  <c r="C53" i="18"/>
  <c r="E53" i="18" s="1"/>
  <c r="D117" i="18"/>
  <c r="F55" i="17"/>
  <c r="F123" i="17"/>
  <c r="F183" i="17"/>
  <c r="F192" i="17"/>
  <c r="F214" i="17"/>
  <c r="E65" i="18"/>
  <c r="C44" i="18"/>
  <c r="D73" i="18"/>
  <c r="C116" i="18"/>
  <c r="F28" i="17"/>
  <c r="F41" i="17"/>
  <c r="F75" i="17"/>
  <c r="C23" i="18"/>
  <c r="E23" i="18" s="1"/>
  <c r="D103" i="18"/>
  <c r="E103" i="18" s="1"/>
  <c r="D74" i="18"/>
  <c r="D82" i="18"/>
  <c r="F24" i="17"/>
  <c r="F89" i="17"/>
  <c r="F119" i="17"/>
  <c r="F9" i="17"/>
  <c r="F88" i="17"/>
  <c r="F128" i="17"/>
  <c r="F180" i="17"/>
  <c r="F276" i="17"/>
  <c r="F32" i="17"/>
  <c r="F70" i="17"/>
  <c r="F130" i="17"/>
  <c r="F230" i="17"/>
  <c r="F256" i="17"/>
  <c r="F62" i="17"/>
  <c r="F50" i="17"/>
  <c r="F11" i="17"/>
  <c r="F15" i="17"/>
  <c r="F72" i="17"/>
  <c r="F110" i="17"/>
  <c r="F22" i="17"/>
  <c r="E51" i="18"/>
  <c r="F84" i="17"/>
  <c r="F138" i="17"/>
  <c r="F6" i="17"/>
  <c r="F54" i="17"/>
  <c r="F182" i="17"/>
  <c r="F252" i="17"/>
  <c r="F102" i="17"/>
  <c r="E100" i="18"/>
  <c r="F160" i="17"/>
  <c r="C41" i="18"/>
  <c r="E41" i="18" s="1"/>
  <c r="C59" i="18"/>
  <c r="E59" i="18" s="1"/>
  <c r="C70" i="18"/>
  <c r="C122" i="18"/>
  <c r="E122" i="18" s="1"/>
  <c r="F77" i="17"/>
  <c r="D12" i="18"/>
  <c r="E12" i="18" s="1"/>
  <c r="D4" i="18"/>
  <c r="E4" i="18" s="1"/>
  <c r="C9" i="18"/>
  <c r="E9" i="18" s="1"/>
  <c r="D29" i="18"/>
  <c r="E29" i="18" s="1"/>
  <c r="D34" i="18"/>
  <c r="E34" i="18" s="1"/>
  <c r="C46" i="18"/>
  <c r="E46" i="18" s="1"/>
  <c r="C71" i="18"/>
  <c r="E71" i="18" s="1"/>
  <c r="C76" i="18"/>
  <c r="E76" i="18" s="1"/>
  <c r="C81" i="18"/>
  <c r="E81" i="18" s="1"/>
  <c r="D91" i="18"/>
  <c r="E91" i="18" s="1"/>
  <c r="D96" i="18"/>
  <c r="E96" i="18" s="1"/>
  <c r="D105" i="18"/>
  <c r="E105" i="18" s="1"/>
  <c r="D110" i="18"/>
  <c r="E110" i="18" s="1"/>
  <c r="D123" i="18"/>
  <c r="F53" i="17"/>
  <c r="F66" i="17"/>
  <c r="F208" i="17"/>
  <c r="C13" i="18"/>
  <c r="E13" i="18" s="1"/>
  <c r="C120" i="18"/>
  <c r="E120" i="18" s="1"/>
  <c r="E44" i="18"/>
  <c r="E94" i="18"/>
  <c r="F13" i="17"/>
  <c r="F48" i="17"/>
  <c r="F76" i="17"/>
  <c r="F120" i="17"/>
  <c r="F202" i="17"/>
  <c r="F251" i="17"/>
  <c r="E49" i="18"/>
  <c r="E74" i="18"/>
  <c r="F36" i="17"/>
  <c r="F80" i="17"/>
  <c r="F178" i="17"/>
  <c r="F181" i="17"/>
  <c r="F282" i="17"/>
  <c r="E80" i="18"/>
  <c r="C109" i="18"/>
  <c r="F271" i="17"/>
  <c r="C37" i="18"/>
  <c r="E37" i="18" s="1"/>
  <c r="C54" i="18"/>
  <c r="E54" i="18" s="1"/>
  <c r="C66" i="18"/>
  <c r="E66" i="18" s="1"/>
  <c r="C119" i="18"/>
  <c r="E119" i="18" s="1"/>
  <c r="F141" i="17"/>
  <c r="D24" i="18"/>
  <c r="E24" i="18" s="1"/>
  <c r="D85" i="18"/>
  <c r="E85" i="18" s="1"/>
  <c r="F2" i="17"/>
  <c r="F25" i="17"/>
  <c r="F37" i="17"/>
  <c r="F56" i="17"/>
  <c r="F93" i="17"/>
  <c r="F106" i="17"/>
  <c r="F118" i="17"/>
  <c r="F164" i="17"/>
  <c r="F168" i="17"/>
  <c r="F172" i="17"/>
  <c r="F211" i="17"/>
  <c r="F244" i="17"/>
  <c r="F267" i="17"/>
  <c r="C45" i="18"/>
  <c r="E45" i="18" s="1"/>
  <c r="F26" i="17"/>
  <c r="F272" i="17"/>
  <c r="D17" i="18"/>
  <c r="E17" i="18" s="1"/>
  <c r="D21" i="18"/>
  <c r="E21" i="18" s="1"/>
  <c r="C26" i="18"/>
  <c r="E26" i="18" s="1"/>
  <c r="C39" i="18"/>
  <c r="E39" i="18" s="1"/>
  <c r="C42" i="18"/>
  <c r="E42" i="18" s="1"/>
  <c r="D51" i="18"/>
  <c r="C56" i="18"/>
  <c r="E56" i="18" s="1"/>
  <c r="D64" i="18"/>
  <c r="E64" i="18" s="1"/>
  <c r="C67" i="18"/>
  <c r="E67" i="18" s="1"/>
  <c r="C77" i="18"/>
  <c r="E77" i="18" s="1"/>
  <c r="C87" i="18"/>
  <c r="E87" i="18" s="1"/>
  <c r="D102" i="18"/>
  <c r="E102" i="18" s="1"/>
  <c r="D124" i="18"/>
  <c r="E124" i="18" s="1"/>
  <c r="F57" i="17"/>
  <c r="F63" i="17"/>
  <c r="F91" i="17"/>
  <c r="F122" i="17"/>
  <c r="F190" i="17"/>
  <c r="F205" i="17"/>
  <c r="F212" i="17"/>
  <c r="F250" i="17"/>
  <c r="F261" i="17"/>
  <c r="E70" i="18"/>
  <c r="C15" i="18"/>
  <c r="E15" i="18" s="1"/>
  <c r="F96" i="17"/>
  <c r="F200" i="17"/>
  <c r="F222" i="17"/>
  <c r="E116" i="18"/>
  <c r="F38" i="17"/>
  <c r="F103" i="17"/>
  <c r="F280" i="17"/>
  <c r="E18" i="18"/>
  <c r="E93" i="18"/>
  <c r="F19" i="17"/>
  <c r="F51" i="17"/>
  <c r="F82" i="17"/>
  <c r="F98" i="17"/>
  <c r="F104" i="17"/>
  <c r="F231" i="17"/>
  <c r="F281" i="17"/>
  <c r="F78" i="17"/>
  <c r="F100" i="17"/>
  <c r="F292" i="17"/>
  <c r="F60" i="17"/>
  <c r="F97" i="17"/>
  <c r="F131" i="17"/>
  <c r="F264" i="17"/>
  <c r="F284" i="17"/>
  <c r="E99" i="18"/>
  <c r="F42" i="17"/>
  <c r="F58" i="17"/>
  <c r="F64" i="17"/>
  <c r="F116" i="17"/>
  <c r="F162" i="17"/>
  <c r="F191" i="17"/>
  <c r="F20" i="17"/>
  <c r="F150" i="17"/>
  <c r="F18" i="17"/>
  <c r="E92" i="18"/>
  <c r="E78" i="18"/>
  <c r="F7" i="17"/>
  <c r="C35" i="18"/>
  <c r="E35" i="18" s="1"/>
  <c r="F14" i="17"/>
  <c r="F142" i="17"/>
  <c r="F155" i="17"/>
  <c r="F220" i="17"/>
  <c r="F242" i="17"/>
  <c r="F260" i="17"/>
  <c r="C57" i="18"/>
  <c r="E57" i="18" s="1"/>
  <c r="F175" i="17"/>
  <c r="F184" i="17"/>
  <c r="F198" i="17"/>
  <c r="F217" i="17"/>
  <c r="F253" i="17"/>
  <c r="D8" i="18"/>
  <c r="E8" i="18" s="1"/>
  <c r="C111" i="18"/>
  <c r="E111" i="18" s="1"/>
  <c r="F257" i="17"/>
  <c r="F268" i="17"/>
  <c r="E123" i="18"/>
  <c r="F12" i="17"/>
  <c r="F87" i="17"/>
  <c r="C30" i="18"/>
  <c r="E30" i="18" s="1"/>
  <c r="C38" i="18"/>
  <c r="E38" i="18" s="1"/>
  <c r="C55" i="18"/>
  <c r="E55" i="18" s="1"/>
  <c r="D78" i="18"/>
  <c r="F23" i="17"/>
  <c r="F136" i="17"/>
  <c r="F147" i="17"/>
  <c r="F195" i="17"/>
  <c r="F236" i="17"/>
  <c r="F247" i="17"/>
  <c r="F69" i="17"/>
  <c r="F109" i="17"/>
  <c r="F133" i="17"/>
  <c r="F140" i="17"/>
  <c r="F153" i="17"/>
  <c r="F166" i="17"/>
  <c r="F170" i="17"/>
  <c r="F218" i="17"/>
  <c r="F233" i="17"/>
  <c r="F240" i="17"/>
  <c r="F258" i="17"/>
  <c r="C5" i="18"/>
  <c r="E5" i="18" s="1"/>
  <c r="C16" i="18"/>
  <c r="E16" i="18" s="1"/>
  <c r="C32" i="18"/>
  <c r="E32" i="18" s="1"/>
  <c r="C43" i="18"/>
  <c r="E43" i="18" s="1"/>
  <c r="C60" i="18"/>
  <c r="E60" i="18" s="1"/>
  <c r="C68" i="18"/>
  <c r="E68" i="18" s="1"/>
  <c r="C84" i="18"/>
  <c r="E84" i="18" s="1"/>
  <c r="C97" i="18"/>
  <c r="E97" i="18" s="1"/>
  <c r="D104" i="18"/>
  <c r="C104" i="18"/>
  <c r="F4" i="17"/>
  <c r="C33" i="18"/>
  <c r="E33" i="18" s="1"/>
  <c r="F248" i="17"/>
  <c r="F288" i="17"/>
  <c r="C47" i="18"/>
  <c r="E47" i="18" s="1"/>
  <c r="C50" i="18"/>
  <c r="E50" i="18" s="1"/>
  <c r="C58" i="18"/>
  <c r="E58" i="18" s="1"/>
  <c r="C72" i="18"/>
  <c r="E72" i="18" s="1"/>
  <c r="D75" i="18"/>
  <c r="E75" i="18" s="1"/>
  <c r="D79" i="18"/>
  <c r="C79" i="18"/>
  <c r="C89" i="18"/>
  <c r="E89" i="18" s="1"/>
  <c r="D92" i="18"/>
  <c r="D95" i="18"/>
  <c r="E95" i="18" s="1"/>
  <c r="D98" i="18"/>
  <c r="C20" i="18"/>
  <c r="E20" i="18" s="1"/>
  <c r="D22" i="18"/>
  <c r="E22" i="18" s="1"/>
  <c r="D25" i="18"/>
  <c r="E25" i="18" s="1"/>
  <c r="C86" i="18"/>
  <c r="E86" i="18" s="1"/>
  <c r="C106" i="18"/>
  <c r="E106" i="18" s="1"/>
  <c r="C112" i="18"/>
  <c r="E112" i="18" s="1"/>
  <c r="C125" i="18"/>
  <c r="E125" i="18" s="1"/>
  <c r="F21" i="17"/>
  <c r="F40" i="17"/>
  <c r="F134" i="17"/>
  <c r="F148" i="17"/>
  <c r="F167" i="17"/>
  <c r="F225" i="17"/>
  <c r="F234" i="17"/>
  <c r="F241" i="17"/>
  <c r="F127" i="17"/>
  <c r="C27" i="18"/>
  <c r="E27" i="18" s="1"/>
  <c r="C101" i="18"/>
  <c r="E101" i="18" s="1"/>
  <c r="D3" i="18"/>
  <c r="E3" i="18" s="1"/>
  <c r="E98" i="18"/>
  <c r="F5" i="17"/>
  <c r="E109" i="18"/>
  <c r="F3" i="17"/>
  <c r="F16" i="17"/>
  <c r="F67" i="17"/>
  <c r="F107" i="17"/>
  <c r="F270" i="17"/>
  <c r="F277" i="17"/>
  <c r="F47" i="17"/>
  <c r="C11" i="18"/>
  <c r="E11" i="18" s="1"/>
  <c r="C52" i="18"/>
  <c r="E52" i="18" s="1"/>
  <c r="C63" i="18"/>
  <c r="E63" i="18" s="1"/>
  <c r="D108" i="18"/>
  <c r="E108" i="18" s="1"/>
  <c r="D115" i="18"/>
  <c r="C115" i="18"/>
  <c r="F29" i="17"/>
  <c r="C6" i="18"/>
  <c r="E6" i="18" s="1"/>
  <c r="E73" i="18"/>
  <c r="D83" i="18"/>
  <c r="E83" i="18" s="1"/>
  <c r="D90" i="18"/>
  <c r="C90" i="18"/>
  <c r="E90" i="18" s="1"/>
  <c r="C16" i="21"/>
  <c r="F145" i="17"/>
  <c r="F161" i="17"/>
  <c r="F186" i="17"/>
  <c r="F197" i="17"/>
  <c r="F245" i="17"/>
  <c r="F266" i="17"/>
  <c r="F146" i="17"/>
  <c r="F177" i="17"/>
  <c r="F196" i="17"/>
  <c r="F227" i="17"/>
  <c r="F246" i="17"/>
  <c r="F137" i="17"/>
  <c r="F156" i="17"/>
  <c r="F187" i="17"/>
  <c r="F206" i="17"/>
  <c r="F237" i="17"/>
  <c r="F296" i="17"/>
  <c r="F151" i="17"/>
  <c r="F165" i="17"/>
  <c r="F173" i="17"/>
  <c r="F201" i="17"/>
  <c r="F215" i="17"/>
  <c r="F223" i="17"/>
  <c r="F300" i="17"/>
  <c r="F157" i="17"/>
  <c r="F176" i="17"/>
  <c r="F207" i="17"/>
  <c r="F226" i="17"/>
  <c r="F10" i="17"/>
  <c r="F135" i="17"/>
  <c r="F143" i="17"/>
  <c r="F171" i="17"/>
  <c r="F185" i="17"/>
  <c r="F193" i="17"/>
  <c r="F221" i="17"/>
  <c r="F235" i="17"/>
  <c r="F243" i="17"/>
  <c r="F286" i="17"/>
  <c r="F290" i="17"/>
  <c r="F139" i="17"/>
  <c r="F149" i="17"/>
  <c r="F159" i="17"/>
  <c r="F169" i="17"/>
  <c r="F179" i="17"/>
  <c r="F189" i="17"/>
  <c r="F199" i="17"/>
  <c r="F209" i="17"/>
  <c r="F219" i="17"/>
  <c r="F229" i="17"/>
  <c r="F239" i="17"/>
  <c r="F249" i="17"/>
  <c r="F259" i="17"/>
  <c r="F269" i="17"/>
  <c r="F279" i="17"/>
  <c r="F289" i="17"/>
  <c r="F299" i="17"/>
  <c r="F287" i="17"/>
  <c r="F297" i="17"/>
  <c r="F275" i="17"/>
  <c r="F285" i="17"/>
  <c r="F295" i="17"/>
  <c r="F263" i="17"/>
  <c r="F273" i="17"/>
  <c r="F283" i="17"/>
  <c r="F293" i="17"/>
  <c r="I23" i="17" l="1"/>
  <c r="E115" i="18"/>
  <c r="E104" i="18"/>
  <c r="I24" i="17"/>
  <c r="I22" i="17"/>
  <c r="E79" i="18"/>
  <c r="I25" i="17"/>
  <c r="G19" i="18"/>
  <c r="G20" i="18"/>
</calcChain>
</file>

<file path=xl/sharedStrings.xml><?xml version="1.0" encoding="utf-8"?>
<sst xmlns="http://schemas.openxmlformats.org/spreadsheetml/2006/main" count="480" uniqueCount="78">
  <si>
    <t>váha</t>
  </si>
  <si>
    <t>přívěšek</t>
  </si>
  <si>
    <t>ceny za 1 gram:</t>
  </si>
  <si>
    <t>zlato</t>
  </si>
  <si>
    <t>stříbro</t>
  </si>
  <si>
    <t>perla</t>
  </si>
  <si>
    <t>diamant</t>
  </si>
  <si>
    <t>cena za náhrdelník:</t>
  </si>
  <si>
    <t>platina</t>
  </si>
  <si>
    <t>Status</t>
  </si>
  <si>
    <t>výška (cm)</t>
  </si>
  <si>
    <t>váha (kg)</t>
  </si>
  <si>
    <t>číslo adepta</t>
  </si>
  <si>
    <t>K pohovoru</t>
  </si>
  <si>
    <t>výška</t>
  </si>
  <si>
    <t>pohlaví</t>
  </si>
  <si>
    <t>číslo uchazeče</t>
  </si>
  <si>
    <t>BOOMERANG COLOMBARD CHARDONNAY</t>
  </si>
  <si>
    <t>GB Boomerang</t>
  </si>
  <si>
    <t>BOOMERANG CABERNET SHIRAZ</t>
  </si>
  <si>
    <t>AGED TAWNY</t>
  </si>
  <si>
    <t>GB Fortified</t>
  </si>
  <si>
    <t xml:space="preserve">10 YEAR TAWNY </t>
  </si>
  <si>
    <t xml:space="preserve">20 YEAR TAWNY </t>
  </si>
  <si>
    <t xml:space="preserve">NABUCHADNEZZAR SHIRAZ CABERNET </t>
  </si>
  <si>
    <t>GB Distinction</t>
  </si>
  <si>
    <t xml:space="preserve">BALTHASAR SHIRAZ LIGONIER                 </t>
  </si>
  <si>
    <t>THE HOLY TRINITY (GSM)</t>
  </si>
  <si>
    <t>FILSELL SHIRAZ</t>
  </si>
  <si>
    <t>BAROSSA SHIRAZ</t>
  </si>
  <si>
    <t>GB Barossa</t>
  </si>
  <si>
    <t>BAROSSA CABERNET MERLOT</t>
  </si>
  <si>
    <t>BAROSSA RIESLING</t>
  </si>
  <si>
    <t>BAROSSA SEMILLON SAUVIGNON BLANC</t>
  </si>
  <si>
    <t xml:space="preserve">BAROSSA SEMILLON </t>
  </si>
  <si>
    <t>BAROSSA CHARDONNAY</t>
  </si>
  <si>
    <t>ABEDNEGO (SMG)</t>
  </si>
  <si>
    <t>GB Icon</t>
  </si>
  <si>
    <t>MESHACH SHIRAZ</t>
  </si>
  <si>
    <t>SHADRAH CABERNET SAUVIGNON</t>
  </si>
  <si>
    <t>CAMERON VALE CABERNET SAUVIGNON</t>
  </si>
  <si>
    <t>GB Reds</t>
  </si>
  <si>
    <t>MIAMBA SHIRAZ</t>
  </si>
  <si>
    <t>HILLCOT MERLOT</t>
  </si>
  <si>
    <t>LILY FARM MUSCAT/FRONTIGNAC</t>
  </si>
  <si>
    <t>GB Whites</t>
  </si>
  <si>
    <t>LILY FARM MUSCAT LATE HARVEST</t>
  </si>
  <si>
    <t>SUMMERS CHARDONNAY</t>
  </si>
  <si>
    <t>ZERK SEMILLON</t>
  </si>
  <si>
    <t>KRAFT SAUVIGNON BLANC</t>
  </si>
  <si>
    <t>THORN EDEN VALLEY RIESLING</t>
  </si>
  <si>
    <t>SHIRAZ/CABERNET SPARKLING</t>
  </si>
  <si>
    <t>GB Sparkling</t>
  </si>
  <si>
    <t>PINOT NOIR CHARDONNAY</t>
  </si>
  <si>
    <t>cena (€)</t>
  </si>
  <si>
    <t>cena ($)</t>
  </si>
  <si>
    <t>prodejní (Kč)</t>
  </si>
  <si>
    <t>nákupní</t>
  </si>
  <si>
    <t>ročník</t>
  </si>
  <si>
    <t>Ceny</t>
  </si>
  <si>
    <t>počet středně drahých vín:</t>
  </si>
  <si>
    <t>€</t>
  </si>
  <si>
    <t>počet vín starších než ročník 2000:</t>
  </si>
  <si>
    <t>$</t>
  </si>
  <si>
    <r>
      <t xml:space="preserve">příplatek za výběrovou rybu nad </t>
    </r>
    <r>
      <rPr>
        <b/>
        <sz val="10"/>
        <color indexed="10"/>
        <rFont val="Arial"/>
        <family val="2"/>
        <charset val="238"/>
      </rPr>
      <t>3 kg</t>
    </r>
    <r>
      <rPr>
        <b/>
        <sz val="10"/>
        <rFont val="Arial"/>
        <family val="2"/>
        <charset val="238"/>
      </rPr>
      <t xml:space="preserve"> váhy:</t>
    </r>
  </si>
  <si>
    <r>
      <t xml:space="preserve">cena ryby za </t>
    </r>
    <r>
      <rPr>
        <b/>
        <sz val="10"/>
        <color indexed="10"/>
        <rFont val="Arial"/>
        <family val="2"/>
        <charset val="238"/>
      </rPr>
      <t>1 kg:</t>
    </r>
  </si>
  <si>
    <t>váha:</t>
  </si>
  <si>
    <t>tolstolobik</t>
  </si>
  <si>
    <t>kapr</t>
  </si>
  <si>
    <t>amur</t>
  </si>
  <si>
    <t>ryba:</t>
  </si>
  <si>
    <t>náhrdelník</t>
  </si>
  <si>
    <t>Ano</t>
  </si>
  <si>
    <t>Ne</t>
  </si>
  <si>
    <t>přijat</t>
  </si>
  <si>
    <t>nepřijat</t>
  </si>
  <si>
    <t>přibrat</t>
  </si>
  <si>
    <t>zhubnout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</si>
</sst>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Kč&quot;_-;\-* #,##0.00\ &quot;Kč&quot;_-;_-* &quot;-&quot;??\ &quot;Kč&quot;_-;_-@_-"/>
    <numFmt numFmtId="164" formatCode="#&quot; gramů&quot;"/>
    <numFmt numFmtId="165" formatCode="#,##0.00\ [$Kč-405]"/>
    <numFmt numFmtId="166" formatCode="#,##0\ [$Kč-405]"/>
    <numFmt numFmtId="167" formatCode="#,##0.00\ &quot;Kč&quot;"/>
    <numFmt numFmtId="168" formatCode="[$€-2]\ #,##0.00"/>
    <numFmt numFmtId="169" formatCode="[$$-409]#,##0.00"/>
  </numFmts>
  <fonts count="1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b/>
      <sz val="12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indexed="8"/>
      <name val="Calibri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 CE"/>
    </font>
    <font>
      <b/>
      <sz val="10"/>
      <color indexed="12"/>
      <name val="Arial CE"/>
      <charset val="238"/>
    </font>
    <font>
      <sz val="10"/>
      <name val="Arial CE"/>
    </font>
    <font>
      <b/>
      <sz val="10"/>
      <color indexed="8"/>
      <name val="Arial CE"/>
    </font>
    <font>
      <b/>
      <sz val="14"/>
      <name val="Arial"/>
      <family val="2"/>
      <charset val="238"/>
    </font>
    <font>
      <b/>
      <sz val="18"/>
      <name val="Arial"/>
      <family val="2"/>
      <charset val="238"/>
    </font>
    <font>
      <b/>
      <sz val="10"/>
      <color indexed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theme="0"/>
      <name val="Arial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DDCF3"/>
        <bgColor indexed="64"/>
      </patternFill>
    </fill>
    <fill>
      <patternFill patternType="solid">
        <fgColor rgb="FFF4FAA6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</borders>
  <cellStyleXfs count="9">
    <xf numFmtId="0" fontId="0" fillId="0" borderId="0"/>
    <xf numFmtId="44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5" fillId="0" borderId="0"/>
    <xf numFmtId="0" fontId="15" fillId="0" borderId="0"/>
    <xf numFmtId="0" fontId="6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Protection="1">
      <protection hidden="1"/>
    </xf>
    <xf numFmtId="0" fontId="3" fillId="6" borderId="8" xfId="0" applyFont="1" applyFill="1" applyBorder="1" applyAlignment="1" applyProtection="1">
      <alignment horizontal="center" vertical="center"/>
      <protection hidden="1"/>
    </xf>
    <xf numFmtId="0" fontId="3" fillId="6" borderId="9" xfId="0" applyFont="1" applyFill="1" applyBorder="1" applyAlignment="1" applyProtection="1">
      <alignment horizontal="center" vertical="center"/>
      <protection hidden="1"/>
    </xf>
    <xf numFmtId="0" fontId="3" fillId="7" borderId="9" xfId="0" applyFont="1" applyFill="1" applyBorder="1" applyAlignment="1" applyProtection="1">
      <alignment horizontal="center" vertical="center"/>
      <protection hidden="1"/>
    </xf>
    <xf numFmtId="0" fontId="3" fillId="7" borderId="10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5" fillId="0" borderId="0" xfId="4"/>
    <xf numFmtId="0" fontId="15" fillId="0" borderId="0" xfId="4" applyAlignment="1">
      <alignment horizontal="center"/>
    </xf>
    <xf numFmtId="0" fontId="5" fillId="2" borderId="0" xfId="4" applyFont="1" applyFill="1" applyAlignment="1">
      <alignment horizontal="center"/>
    </xf>
    <xf numFmtId="0" fontId="5" fillId="2" borderId="0" xfId="4" applyFont="1" applyFill="1"/>
    <xf numFmtId="0" fontId="5" fillId="3" borderId="0" xfId="4" applyFont="1" applyFill="1" applyAlignment="1">
      <alignment horizontal="center"/>
    </xf>
    <xf numFmtId="0" fontId="6" fillId="0" borderId="0" xfId="0" applyFont="1"/>
    <xf numFmtId="0" fontId="7" fillId="0" borderId="0" xfId="0" applyFont="1"/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/>
    <xf numFmtId="2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166" fontId="8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5" fontId="8" fillId="0" borderId="0" xfId="0" applyNumberFormat="1" applyFont="1"/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5" borderId="4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6" fillId="0" borderId="0" xfId="0" applyFont="1" applyProtection="1">
      <protection hidden="1"/>
    </xf>
    <xf numFmtId="44" fontId="3" fillId="8" borderId="11" xfId="2" applyFont="1" applyFill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44" fontId="7" fillId="9" borderId="0" xfId="2" applyFont="1" applyFill="1" applyAlignment="1" applyProtection="1">
      <alignment horizontal="center" vertical="center"/>
      <protection hidden="1"/>
    </xf>
    <xf numFmtId="0" fontId="7" fillId="9" borderId="0" xfId="0" applyFont="1" applyFill="1" applyAlignment="1">
      <alignment horizontal="center" vertical="center"/>
    </xf>
    <xf numFmtId="2" fontId="7" fillId="10" borderId="0" xfId="0" applyNumberFormat="1" applyFont="1" applyFill="1" applyAlignment="1" applyProtection="1">
      <alignment horizontal="center" vertical="center"/>
      <protection hidden="1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2" borderId="0" xfId="0" applyFont="1" applyFill="1" applyAlignment="1" applyProtection="1">
      <alignment horizontal="center" vertical="center"/>
      <protection hidden="1"/>
    </xf>
    <xf numFmtId="0" fontId="7" fillId="12" borderId="0" xfId="0" applyFont="1" applyFill="1" applyAlignment="1">
      <alignment horizontal="center" vertical="center"/>
    </xf>
    <xf numFmtId="167" fontId="3" fillId="13" borderId="0" xfId="0" applyNumberFormat="1" applyFont="1" applyFill="1" applyAlignment="1" applyProtection="1">
      <alignment horizontal="center" vertical="center"/>
      <protection hidden="1"/>
    </xf>
    <xf numFmtId="0" fontId="3" fillId="13" borderId="0" xfId="0" applyFont="1" applyFill="1" applyAlignment="1" applyProtection="1">
      <alignment horizontal="center" vertical="center"/>
      <protection hidden="1"/>
    </xf>
    <xf numFmtId="167" fontId="3" fillId="14" borderId="0" xfId="0" applyNumberFormat="1" applyFont="1" applyFill="1" applyAlignment="1" applyProtection="1">
      <alignment horizontal="center" vertical="center"/>
      <protection hidden="1"/>
    </xf>
    <xf numFmtId="0" fontId="3" fillId="14" borderId="0" xfId="0" applyFont="1" applyFill="1" applyAlignment="1" applyProtection="1">
      <alignment horizontal="center" vertical="center"/>
      <protection hidden="1"/>
    </xf>
    <xf numFmtId="164" fontId="3" fillId="13" borderId="15" xfId="0" applyNumberFormat="1" applyFont="1" applyFill="1" applyBorder="1" applyAlignment="1" applyProtection="1">
      <alignment horizontal="center" vertical="center"/>
      <protection hidden="1"/>
    </xf>
    <xf numFmtId="0" fontId="3" fillId="13" borderId="16" xfId="0" applyFont="1" applyFill="1" applyBorder="1" applyAlignment="1" applyProtection="1">
      <alignment horizontal="center" vertical="center"/>
      <protection hidden="1"/>
    </xf>
    <xf numFmtId="164" fontId="3" fillId="14" borderId="16" xfId="0" applyNumberFormat="1" applyFont="1" applyFill="1" applyBorder="1" applyAlignment="1" applyProtection="1">
      <alignment horizontal="center" vertical="center"/>
      <protection hidden="1"/>
    </xf>
    <xf numFmtId="0" fontId="3" fillId="14" borderId="17" xfId="0" applyFont="1" applyFill="1" applyBorder="1" applyAlignment="1" applyProtection="1">
      <alignment horizontal="center" vertical="center"/>
      <protection hidden="1"/>
    </xf>
    <xf numFmtId="0" fontId="1" fillId="0" borderId="0" xfId="4" applyFont="1"/>
    <xf numFmtId="167" fontId="0" fillId="8" borderId="11" xfId="0" applyNumberFormat="1" applyFill="1" applyBorder="1" applyProtection="1">
      <protection locked="0"/>
    </xf>
    <xf numFmtId="168" fontId="6" fillId="0" borderId="0" xfId="0" applyNumberFormat="1" applyFont="1"/>
    <xf numFmtId="167" fontId="6" fillId="0" borderId="0" xfId="0" applyNumberFormat="1" applyFont="1"/>
    <xf numFmtId="169" fontId="6" fillId="0" borderId="0" xfId="0" applyNumberFormat="1" applyFont="1"/>
    <xf numFmtId="0" fontId="7" fillId="5" borderId="4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9" fontId="7" fillId="6" borderId="10" xfId="8" applyFont="1" applyFill="1" applyBorder="1" applyAlignment="1" applyProtection="1">
      <alignment horizontal="center" vertical="center"/>
      <protection hidden="1"/>
    </xf>
    <xf numFmtId="9" fontId="7" fillId="6" borderId="19" xfId="8" applyFont="1" applyFill="1" applyBorder="1" applyAlignment="1" applyProtection="1">
      <alignment horizontal="center" vertical="center"/>
      <protection hidden="1"/>
    </xf>
    <xf numFmtId="9" fontId="7" fillId="6" borderId="15" xfId="8" applyFont="1" applyFill="1" applyBorder="1" applyAlignment="1" applyProtection="1">
      <alignment horizontal="center" vertical="center"/>
      <protection hidden="1"/>
    </xf>
    <xf numFmtId="0" fontId="3" fillId="15" borderId="0" xfId="0" applyFont="1" applyFill="1" applyAlignment="1" applyProtection="1">
      <alignment horizontal="center" vertical="center"/>
      <protection hidden="1"/>
    </xf>
    <xf numFmtId="0" fontId="3" fillId="6" borderId="0" xfId="0" applyFont="1" applyFill="1" applyAlignment="1" applyProtection="1">
      <alignment horizontal="center" vertical="center"/>
      <protection hidden="1"/>
    </xf>
    <xf numFmtId="0" fontId="3" fillId="7" borderId="0" xfId="0" applyFont="1" applyFill="1" applyAlignment="1" applyProtection="1">
      <alignment horizontal="center" vertical="center"/>
      <protection hidden="1"/>
    </xf>
  </cellXfs>
  <cellStyles count="9">
    <cellStyle name="Měna 2" xfId="1" xr:uid="{00000000-0005-0000-0000-000000000000}"/>
    <cellStyle name="Měna 3" xfId="2" xr:uid="{00000000-0005-0000-0000-000001000000}"/>
    <cellStyle name="měny 2" xfId="3" xr:uid="{00000000-0005-0000-0000-000002000000}"/>
    <cellStyle name="Normální" xfId="0" builtinId="0"/>
    <cellStyle name="normální 2" xfId="4" xr:uid="{00000000-0005-0000-0000-000004000000}"/>
    <cellStyle name="Normální 3" xfId="5" xr:uid="{00000000-0005-0000-0000-000005000000}"/>
    <cellStyle name="normální 4" xfId="6" xr:uid="{00000000-0005-0000-0000-000006000000}"/>
    <cellStyle name="Procenta 2" xfId="7" xr:uid="{00000000-0005-0000-0000-000007000000}"/>
    <cellStyle name="Procenta 3" xfId="8" xr:uid="{00000000-0005-0000-0000-000008000000}"/>
  </cellStyles>
  <dxfs count="3"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55-42CC-86A7-9A9993566C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55-42CC-86A7-9A9993566C7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letušky!$F$19:$F$20</c:f>
              <c:strCache>
                <c:ptCount val="2"/>
                <c:pt idx="0">
                  <c:v>Ano</c:v>
                </c:pt>
                <c:pt idx="1">
                  <c:v>Ne</c:v>
                </c:pt>
              </c:strCache>
            </c:strRef>
          </c:cat>
          <c:val>
            <c:numRef>
              <c:f>letušky!$G$19:$G$20</c:f>
              <c:numCache>
                <c:formatCode>General</c:formatCode>
                <c:ptCount val="2"/>
                <c:pt idx="0">
                  <c:v>76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D-42C6-B708-7B8CC087DD3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B16-4B68-99EA-899F5EEE42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B16-4B68-99EA-899F5EEE42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B16-4B68-99EA-899F5EEE42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B16-4B68-99EA-899F5EEE42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ponorkáři!$H$22:$H$25</c:f>
              <c:strCache>
                <c:ptCount val="4"/>
                <c:pt idx="0">
                  <c:v>přijat</c:v>
                </c:pt>
                <c:pt idx="1">
                  <c:v>nepřijat</c:v>
                </c:pt>
                <c:pt idx="2">
                  <c:v>přibrat</c:v>
                </c:pt>
                <c:pt idx="3">
                  <c:v>zhubnout</c:v>
                </c:pt>
              </c:strCache>
            </c:strRef>
          </c:cat>
          <c:val>
            <c:numRef>
              <c:f>ponorkáři!$I$22:$I$25</c:f>
              <c:numCache>
                <c:formatCode>General</c:formatCode>
                <c:ptCount val="4"/>
                <c:pt idx="0">
                  <c:v>57</c:v>
                </c:pt>
                <c:pt idx="1">
                  <c:v>205</c:v>
                </c:pt>
                <c:pt idx="2">
                  <c:v>14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B-4ED1-84BD-6BD2DF01FC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57151</xdr:colOff>
      <xdr:row>10</xdr:row>
      <xdr:rowOff>76201</xdr:rowOff>
    </xdr:from>
    <xdr:to>
      <xdr:col>10</xdr:col>
      <xdr:colOff>428626</xdr:colOff>
      <xdr:row>23</xdr:row>
      <xdr:rowOff>142875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495551" y="1695451"/>
          <a:ext cx="4029075" cy="2171699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72000" rIns="27432" bIns="22860" anchor="ctr" upright="1"/>
        <a:lstStyle/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120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v buňce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C12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je očekáván výpočet ceny za druh a váhu ryby v buňkách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C3:C4</a:t>
          </a:r>
        </a:p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120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buňky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C6:C9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(v červeném ohraničení) jsou odemknuty a chápány jako pomocné a výpočtové (nemusí jich býti využito, záleží na typu vytvářeného algoritmu)</a:t>
          </a:r>
        </a:p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120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je-li jakákoli ryba těžší než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3 kg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, připočítává se k ceně příplatek viz buňka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G6</a:t>
          </a:r>
        </a:p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120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výslednou cenu v buňce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C12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zaokrouhlete nahoru "na korunu"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0</xdr:row>
      <xdr:rowOff>57151</xdr:rowOff>
    </xdr:from>
    <xdr:to>
      <xdr:col>14</xdr:col>
      <xdr:colOff>447675</xdr:colOff>
      <xdr:row>17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962525" y="57151"/>
          <a:ext cx="4429125" cy="3276599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t" upright="1"/>
        <a:lstStyle/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Vyhodnocování fyzických parametrů uchazečů o službu letušky/stewarda:</a:t>
          </a: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předpokládejme, že pro povolání letušky/stewarda jsou závazné níže uvedené podmínky pro potřebnou výšku postavy a tedy na základě takto definované "vhodnosti" potřebujeme u anonymních uchazečů v tabulce vyhodnotit zdali ji splňují/nesplňují...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Calibri"/>
            </a:rPr>
            <a:t>• 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výška muže musí být mezi 170 - 190 cm</a:t>
          </a: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Calibri"/>
            </a:rPr>
            <a:t>• 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výška ženy musí být mezi 160 - 180 cm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Do adekvátních řádků ve sloupci E vyjádřete slovy </a:t>
          </a:r>
          <a:r>
            <a:rPr lang="cs-CZ" sz="1100" b="1" i="0" u="none" strike="noStrike" baseline="0">
              <a:solidFill>
                <a:srgbClr val="008000"/>
              </a:solidFill>
              <a:latin typeface="Arial"/>
              <a:cs typeface="Arial"/>
            </a:rPr>
            <a:t>ano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ne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zdali daný uchazeč(ka) splňuje požadovaná kritéria a je-li tedy možno předvolat/nepředvolat k následnému pohovoru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Spočítejte počty připouštěných/nepřipustitelných k pohovoru a graficky vyjádřete výsečovým grafem viz ukázka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Vyhodnocení musí být funkční i při libovolném "Přepočítání listu" klávesou F9 ;-)</a:t>
          </a:r>
        </a:p>
      </xdr:txBody>
    </xdr:sp>
    <xdr:clientData/>
  </xdr:twoCellAnchor>
  <xdr:twoCellAnchor editAs="oneCell">
    <xdr:from>
      <xdr:col>13</xdr:col>
      <xdr:colOff>619125</xdr:colOff>
      <xdr:row>19</xdr:row>
      <xdr:rowOff>184150</xdr:rowOff>
    </xdr:from>
    <xdr:to>
      <xdr:col>19</xdr:col>
      <xdr:colOff>314325</xdr:colOff>
      <xdr:row>35</xdr:row>
      <xdr:rowOff>22225</xdr:rowOff>
    </xdr:to>
    <xdr:pic>
      <xdr:nvPicPr>
        <xdr:cNvPr id="4110" name="Obrázek 2" descr="snap_22.1.2009-10.26.26.gif">
          <a:extLst>
            <a:ext uri="{FF2B5EF4-FFF2-40B4-BE49-F238E27FC236}">
              <a16:creationId xmlns:a16="http://schemas.microsoft.com/office/drawing/2014/main" id="{00000000-0008-0000-0100-00000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6825" y="3803650"/>
          <a:ext cx="3886200" cy="288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339725</xdr:colOff>
      <xdr:row>27</xdr:row>
      <xdr:rowOff>95250</xdr:rowOff>
    </xdr:from>
    <xdr:to>
      <xdr:col>13</xdr:col>
      <xdr:colOff>69850</xdr:colOff>
      <xdr:row>41</xdr:row>
      <xdr:rowOff>171450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12</xdr:row>
      <xdr:rowOff>104774</xdr:rowOff>
    </xdr:from>
    <xdr:to>
      <xdr:col>8</xdr:col>
      <xdr:colOff>190500</xdr:colOff>
      <xdr:row>29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2905125" y="2047874"/>
          <a:ext cx="2162175" cy="2752726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180000" tIns="180000" rIns="180000" bIns="180000" anchor="t" upright="1"/>
        <a:lstStyle/>
        <a:p>
          <a:pPr algn="l" rtl="0">
            <a:spcAft>
              <a:spcPts val="600"/>
            </a:spcAft>
            <a:defRPr sz="1000"/>
          </a:pPr>
          <a:r>
            <a:rPr lang="cs-CZ" sz="1400" b="1" i="0" strike="noStrike">
              <a:solidFill>
                <a:srgbClr val="000000"/>
              </a:solidFill>
              <a:latin typeface="Arial"/>
              <a:cs typeface="Arial"/>
            </a:rPr>
            <a:t>V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 buňkách </a:t>
          </a:r>
          <a:r>
            <a:rPr lang="cs-CZ" sz="1400" b="1" i="0" strike="noStrike" baseline="0">
              <a:solidFill>
                <a:srgbClr val="FF0000"/>
              </a:solidFill>
              <a:latin typeface="Arial"/>
              <a:cs typeface="Arial"/>
            </a:rPr>
            <a:t>B3:E3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 se mění po stisku klávesy </a:t>
          </a:r>
          <a:r>
            <a:rPr lang="cs-CZ" sz="1400" b="1" i="0" strike="noStrike" baseline="0">
              <a:solidFill>
                <a:srgbClr val="FF0000"/>
              </a:solidFill>
              <a:latin typeface="Arial"/>
              <a:cs typeface="Arial"/>
            </a:rPr>
            <a:t>F9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 typ a váha náhrdelníku a přívěšku, který se zrovna nabízí k prodeji. (někdy jde jen o náhrdelník bez přívěšku)</a:t>
          </a:r>
        </a:p>
        <a:p>
          <a:pPr algn="l" rtl="0">
            <a:spcAft>
              <a:spcPts val="600"/>
            </a:spcAft>
            <a:defRPr sz="1000"/>
          </a:pP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Vaším úkolem je vytvořit do buňky </a:t>
          </a:r>
          <a:r>
            <a:rPr lang="cs-CZ" sz="1400" b="1" i="0" strike="noStrike" baseline="0">
              <a:solidFill>
                <a:srgbClr val="FF0000"/>
              </a:solidFill>
              <a:latin typeface="Arial"/>
              <a:cs typeface="Arial"/>
            </a:rPr>
            <a:t>C16 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výraz, který bude vypočítávat správnou prodejní cenu za nabízený komplet či jen samotný náhrdelník.</a:t>
          </a:r>
        </a:p>
        <a:p>
          <a:pPr algn="l" rtl="0">
            <a:spcAft>
              <a:spcPts val="600"/>
            </a:spcAft>
            <a:defRPr sz="1000"/>
          </a:pP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Červeně orámované buňky </a:t>
          </a:r>
          <a:r>
            <a:rPr lang="cs-CZ" sz="1400" b="1" i="0" strike="noStrike" baseline="0">
              <a:solidFill>
                <a:srgbClr val="FF0000"/>
              </a:solidFill>
              <a:latin typeface="Arial"/>
              <a:cs typeface="Arial"/>
            </a:rPr>
            <a:t>C9:C13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 můžete použít pro mezivýpočty.</a:t>
          </a:r>
        </a:p>
        <a:p>
          <a:pPr algn="l" rtl="0">
            <a:spcAft>
              <a:spcPts val="600"/>
            </a:spcAft>
            <a:defRPr sz="1000"/>
          </a:pP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Výsledná cena musí být zaokrouhlena nahoru na koruny, mít dvě desetinná místa a symbol měny (</a:t>
          </a:r>
          <a:r>
            <a:rPr lang="cs-CZ" sz="1400" b="1" i="0" strike="noStrike" baseline="0">
              <a:solidFill>
                <a:srgbClr val="FF0000"/>
              </a:solidFill>
              <a:latin typeface="Arial"/>
              <a:cs typeface="Arial"/>
            </a:rPr>
            <a:t>Kč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  <a:p>
          <a:pPr algn="l" rtl="0">
            <a:lnSpc>
              <a:spcPts val="1400"/>
            </a:lnSpc>
            <a:defRPr sz="1000"/>
          </a:pPr>
          <a:endParaRPr lang="cs-CZ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0</xdr:row>
      <xdr:rowOff>66675</xdr:rowOff>
    </xdr:from>
    <xdr:to>
      <xdr:col>16</xdr:col>
      <xdr:colOff>476250</xdr:colOff>
      <xdr:row>19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4352925" y="66675"/>
          <a:ext cx="5715000" cy="3600450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t" upright="1"/>
        <a:lstStyle/>
        <a:p>
          <a:pPr algn="l" rtl="0">
            <a:defRPr sz="1000"/>
          </a:pPr>
          <a:r>
            <a:rPr lang="cs-CZ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Vyhodnocování fyzických dispozic uchazečů o službu ponorkového námořníka:</a:t>
          </a: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předpokládejme, že pro povolání ponorkového námořníka jsou závazné níže uvedené podmínky pro potřebnou výšku postavy a  hmotnosti a tedy na základě takto definovaných "vhodností" potřebujeme u anonymních uchazečů v tabulce vyhodnotit zdali jsou ideálními nebo alespoň motivovatelnými kandidáty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Calibri"/>
            </a:rPr>
            <a:t>• 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výška uchazeče musí být do 176 cm</a:t>
          </a: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Calibri"/>
            </a:rPr>
            <a:t>• 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hmotnost uchazeče musí být mezi 68 až 79 kg</a:t>
          </a: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Calibri"/>
            </a:rPr>
            <a:t>• 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pokud je hmotnost uchazeče o 4 kg nižší nebo vyšší ale splňuje předepsanou výšku, nechť je vyhodnocen jako povolatelný, avšak s podmínkou na zhubnutí či přibrání na "váze"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Do adekvátních řádků ve sloupci 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vyjádřete jedním ze slov 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přijat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nepřijat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zhubnout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přibrat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status každého hodnoceného adepta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Spočítejte počty 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přijat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nepřijat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zhubnout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přibrat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a graficky vyjádřete výsečovým grafem viz ukázka - tuto pak smažte...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Vyhodnocení musí být funkční i při libovolném "Přepočítání listu" klávesou F9 ;-)</a:t>
          </a:r>
        </a:p>
      </xdr:txBody>
    </xdr:sp>
    <xdr:clientData/>
  </xdr:twoCellAnchor>
  <xdr:twoCellAnchor editAs="oneCell">
    <xdr:from>
      <xdr:col>15</xdr:col>
      <xdr:colOff>47625</xdr:colOff>
      <xdr:row>20</xdr:row>
      <xdr:rowOff>95250</xdr:rowOff>
    </xdr:from>
    <xdr:to>
      <xdr:col>21</xdr:col>
      <xdr:colOff>38100</xdr:colOff>
      <xdr:row>36</xdr:row>
      <xdr:rowOff>161925</xdr:rowOff>
    </xdr:to>
    <xdr:pic>
      <xdr:nvPicPr>
        <xdr:cNvPr id="1040" name="Picture 2" descr="snap_22">
          <a:extLst>
            <a:ext uri="{FF2B5EF4-FFF2-40B4-BE49-F238E27FC236}">
              <a16:creationId xmlns:a16="http://schemas.microsoft.com/office/drawing/2014/main" id="{00000000-0008-0000-03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1925" y="3905250"/>
          <a:ext cx="4181475" cy="3114675"/>
        </a:xfrm>
        <a:prstGeom prst="rect">
          <a:avLst/>
        </a:prstGeom>
        <a:noFill/>
        <a:ln w="28575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635000</xdr:colOff>
      <xdr:row>20</xdr:row>
      <xdr:rowOff>12700</xdr:rowOff>
    </xdr:from>
    <xdr:to>
      <xdr:col>14</xdr:col>
      <xdr:colOff>241300</xdr:colOff>
      <xdr:row>34</xdr:row>
      <xdr:rowOff>88900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3</xdr:row>
      <xdr:rowOff>285749</xdr:rowOff>
    </xdr:from>
    <xdr:to>
      <xdr:col>9</xdr:col>
      <xdr:colOff>28574</xdr:colOff>
      <xdr:row>5</xdr:row>
      <xdr:rowOff>114299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476249" y="1238249"/>
          <a:ext cx="8620125" cy="1514475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do buněk D2:D3 vložte dnešní kurzy k euru a US dolaru</a:t>
          </a: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ve sloupci H spočítejte prodejní cenu - ta je navýšena o paušální rabat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20%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z nákupní ceny, pokud je však víno staršího ročníku než rok 2000, je tento rabat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33%</a:t>
          </a:r>
          <a:endParaRPr lang="cs-CZ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dopočítejte ceny v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€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a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$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, jako výchozí cenu k přepočtu použijte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prodejní (Kč)</a:t>
          </a:r>
          <a:endParaRPr lang="cs-CZ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ceny vín vyšší než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15€ 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včetně formátujte červeným tučným písmem</a:t>
          </a: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do buňky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I2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vložte počet vín, která jsou staršího ročníku než z roku 2000</a:t>
          </a: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do buňky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I3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vložte počet vín, která jsou v rozmezí cen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15-20€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(musí být funkční i při dramatických změnách kurzu)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workbookViewId="0">
      <selection activeCell="C12" sqref="C12"/>
    </sheetView>
  </sheetViews>
  <sheetFormatPr baseColWidth="10" defaultColWidth="8.83203125" defaultRowHeight="13"/>
  <cols>
    <col min="2" max="2" width="13.5" customWidth="1"/>
    <col min="3" max="3" width="18.5" customWidth="1"/>
    <col min="6" max="6" width="17.5" customWidth="1"/>
    <col min="7" max="9" width="12.1640625" customWidth="1"/>
  </cols>
  <sheetData>
    <row r="1" spans="1:10">
      <c r="C1" s="1"/>
    </row>
    <row r="2" spans="1:10">
      <c r="C2" s="1"/>
    </row>
    <row r="3" spans="1:10" ht="19.5" customHeight="1">
      <c r="B3" s="48" t="s">
        <v>70</v>
      </c>
      <c r="C3" s="47" t="str">
        <f ca="1">IF(RAND()&lt;0.33,"kapr",IF(RAND()&gt;0.66,"amur","tolstolobik"))</f>
        <v>tolstolobik</v>
      </c>
      <c r="F3" s="46"/>
      <c r="G3" s="45" t="s">
        <v>69</v>
      </c>
      <c r="H3" s="45" t="s">
        <v>68</v>
      </c>
      <c r="I3" s="45" t="s">
        <v>67</v>
      </c>
    </row>
    <row r="4" spans="1:10" ht="19.5" customHeight="1">
      <c r="B4" s="44" t="s">
        <v>66</v>
      </c>
      <c r="C4" s="43">
        <f ca="1">CEILING((RAND()*4)+2.5,0.05)</f>
        <v>2.85</v>
      </c>
      <c r="F4" s="42" t="s">
        <v>65</v>
      </c>
      <c r="G4" s="41">
        <f>55</f>
        <v>55</v>
      </c>
      <c r="H4" s="41">
        <f>66</f>
        <v>66</v>
      </c>
      <c r="I4" s="41">
        <f>62</f>
        <v>62</v>
      </c>
      <c r="J4" s="1"/>
    </row>
    <row r="5" spans="1:10" ht="14" thickBot="1">
      <c r="G5" s="1"/>
      <c r="H5" s="1"/>
      <c r="I5" s="1"/>
      <c r="J5" s="1"/>
    </row>
    <row r="6" spans="1:10" ht="11.25" customHeight="1">
      <c r="C6" s="40"/>
      <c r="F6" s="66" t="s">
        <v>64</v>
      </c>
      <c r="G6" s="69">
        <f>0.13</f>
        <v>0.13</v>
      </c>
      <c r="H6" s="1"/>
      <c r="I6" s="1"/>
      <c r="J6" s="1"/>
    </row>
    <row r="7" spans="1:10">
      <c r="C7" s="39"/>
      <c r="F7" s="67"/>
      <c r="G7" s="70"/>
      <c r="H7" s="1"/>
      <c r="I7" s="1"/>
      <c r="J7" s="1"/>
    </row>
    <row r="8" spans="1:10">
      <c r="C8" s="39"/>
      <c r="F8" s="67"/>
      <c r="G8" s="70"/>
      <c r="H8" s="1"/>
      <c r="I8" s="1"/>
      <c r="J8" s="1"/>
    </row>
    <row r="9" spans="1:10" ht="14" thickBot="1">
      <c r="C9" s="38"/>
      <c r="F9" s="68"/>
      <c r="G9" s="71"/>
      <c r="H9" s="1"/>
      <c r="I9" s="1"/>
      <c r="J9" s="1"/>
    </row>
    <row r="10" spans="1:10">
      <c r="C10" s="6"/>
    </row>
    <row r="11" spans="1:10" ht="14" thickBot="1">
      <c r="C11" s="6"/>
    </row>
    <row r="12" spans="1:10" ht="25.5" customHeight="1" thickBot="1">
      <c r="C12" s="37">
        <f ca="1">IF(AND($C$3="amur",$C$4&gt;3),$C$4*$G$4*1.13,IF(AND($C$3="amur",$C$4&lt;3),C4*G4,IF(AND($C$3="kapr",$C$4&gt;3),$C$4*$H$4*1.13,IF(AND($C$3="kapr",$C$4&lt;3),$C$4*$H$4,IF(AND($C$3="tolstolobik",$C$4&gt;3),$C$4*$I$4*1.13,IF(AND($C$3="tolstolobik",$C$4&lt;3),$C$4*$I$4))))))</f>
        <v>176.70000000000002</v>
      </c>
    </row>
    <row r="13" spans="1:10">
      <c r="A13" s="1"/>
      <c r="B13" s="1"/>
      <c r="C13" s="1"/>
      <c r="D13" s="1"/>
      <c r="E13" s="1"/>
    </row>
    <row r="14" spans="1:10" ht="15" customHeight="1">
      <c r="A14" s="1"/>
      <c r="B14" s="1"/>
      <c r="C14" s="1"/>
      <c r="D14" s="1"/>
      <c r="E14" s="1"/>
    </row>
    <row r="15" spans="1:10">
      <c r="A15" s="1"/>
      <c r="B15" s="1"/>
      <c r="C15" s="1"/>
      <c r="D15" s="1"/>
      <c r="E15" s="1"/>
    </row>
    <row r="16" spans="1:10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36">
        <f ca="1">IF(C4&gt;3,CEILING(B51+B51*G6,1),CEILING(IF(C3=G3,G4*C4,IF(C3=H3,H4*C4,I4*C4)),1))</f>
        <v>177</v>
      </c>
      <c r="C50" s="1"/>
      <c r="D50" s="1"/>
      <c r="E50" s="1"/>
    </row>
    <row r="51" spans="1:5">
      <c r="A51" s="1"/>
      <c r="B51" s="36">
        <f ca="1">CEILING(IF(C3=G3,G4*C4,IF(C3=H3,H4*C4,I4*C4)),1)</f>
        <v>177</v>
      </c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</sheetData>
  <sheetProtection password="9B72" sheet="1" objects="1" scenarios="1" formatCells="0" formatColumns="0" formatRows="0"/>
  <mergeCells count="2">
    <mergeCell ref="F6:F9"/>
    <mergeCell ref="G6:G9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25"/>
  <sheetViews>
    <sheetView workbookViewId="0">
      <selection activeCell="G3" sqref="G3"/>
    </sheetView>
  </sheetViews>
  <sheetFormatPr baseColWidth="10" defaultColWidth="9.1640625" defaultRowHeight="15"/>
  <cols>
    <col min="1" max="1" width="16.33203125" style="9" customWidth="1"/>
    <col min="2" max="2" width="19.33203125" style="9" hidden="1" customWidth="1"/>
    <col min="3" max="3" width="12.83203125" style="9" customWidth="1"/>
    <col min="4" max="4" width="9.1640625" style="9"/>
    <col min="5" max="5" width="13.5" style="8" customWidth="1"/>
    <col min="6" max="16384" width="9.1640625" style="8"/>
  </cols>
  <sheetData>
    <row r="2" spans="1:5">
      <c r="A2" s="10" t="s">
        <v>16</v>
      </c>
      <c r="B2" s="10"/>
      <c r="C2" s="10" t="s">
        <v>15</v>
      </c>
      <c r="D2" s="10" t="s">
        <v>14</v>
      </c>
      <c r="E2" s="12" t="s">
        <v>13</v>
      </c>
    </row>
    <row r="3" spans="1:5">
      <c r="A3" s="9">
        <v>1</v>
      </c>
      <c r="B3" s="9">
        <f t="shared" ref="B3:B34" ca="1" si="0">ROUND(50*RAND()+150,0)</f>
        <v>187</v>
      </c>
      <c r="C3" s="9" t="str">
        <f t="shared" ref="C3:C34" ca="1" si="1">IF(B3&gt;=171,"muž","žena")</f>
        <v>muž</v>
      </c>
      <c r="D3" s="9">
        <f t="shared" ref="D3:D34" ca="1" si="2">B3</f>
        <v>187</v>
      </c>
      <c r="E3" s="8" t="str">
        <f ca="1">IF(AND(C3="muž",D3&gt;170,D3&lt;190),"ano",IF(AND(C3="žena",D3&gt;160,D3&lt;180),"ano","ne"))</f>
        <v>ano</v>
      </c>
    </row>
    <row r="4" spans="1:5">
      <c r="A4" s="9">
        <v>2</v>
      </c>
      <c r="B4" s="9">
        <f t="shared" ca="1" si="0"/>
        <v>194</v>
      </c>
      <c r="C4" s="9" t="str">
        <f t="shared" ca="1" si="1"/>
        <v>muž</v>
      </c>
      <c r="D4" s="9">
        <f t="shared" ca="1" si="2"/>
        <v>194</v>
      </c>
      <c r="E4" s="8" t="str">
        <f t="shared" ref="E4:E67" ca="1" si="3">IF(AND(C4="muž",D4&gt;170,D4&lt;190),"ano",IF(AND(C4="žena",D4&gt;160,D4&lt;180),"ano","ne"))</f>
        <v>ne</v>
      </c>
    </row>
    <row r="5" spans="1:5">
      <c r="A5" s="9">
        <v>3</v>
      </c>
      <c r="B5" s="9">
        <f t="shared" ca="1" si="0"/>
        <v>188</v>
      </c>
      <c r="C5" s="9" t="str">
        <f t="shared" ca="1" si="1"/>
        <v>muž</v>
      </c>
      <c r="D5" s="9">
        <f t="shared" ca="1" si="2"/>
        <v>188</v>
      </c>
      <c r="E5" s="8" t="str">
        <f t="shared" ca="1" si="3"/>
        <v>ano</v>
      </c>
    </row>
    <row r="6" spans="1:5">
      <c r="A6" s="9">
        <v>4</v>
      </c>
      <c r="B6" s="9">
        <f t="shared" ca="1" si="0"/>
        <v>170</v>
      </c>
      <c r="C6" s="9" t="str">
        <f t="shared" ca="1" si="1"/>
        <v>žena</v>
      </c>
      <c r="D6" s="9">
        <f t="shared" ca="1" si="2"/>
        <v>170</v>
      </c>
      <c r="E6" s="8" t="str">
        <f t="shared" ca="1" si="3"/>
        <v>ano</v>
      </c>
    </row>
    <row r="7" spans="1:5">
      <c r="A7" s="9">
        <v>5</v>
      </c>
      <c r="B7" s="9">
        <f t="shared" ca="1" si="0"/>
        <v>174</v>
      </c>
      <c r="C7" s="9" t="str">
        <f t="shared" ca="1" si="1"/>
        <v>muž</v>
      </c>
      <c r="D7" s="9">
        <f t="shared" ca="1" si="2"/>
        <v>174</v>
      </c>
      <c r="E7" s="8" t="str">
        <f t="shared" ca="1" si="3"/>
        <v>ano</v>
      </c>
    </row>
    <row r="8" spans="1:5">
      <c r="A8" s="9">
        <v>6</v>
      </c>
      <c r="B8" s="9">
        <f t="shared" ca="1" si="0"/>
        <v>151</v>
      </c>
      <c r="C8" s="9" t="str">
        <f t="shared" ca="1" si="1"/>
        <v>žena</v>
      </c>
      <c r="D8" s="9">
        <f t="shared" ca="1" si="2"/>
        <v>151</v>
      </c>
      <c r="E8" s="8" t="str">
        <f t="shared" ca="1" si="3"/>
        <v>ne</v>
      </c>
    </row>
    <row r="9" spans="1:5">
      <c r="A9" s="9">
        <v>7</v>
      </c>
      <c r="B9" s="9">
        <f t="shared" ca="1" si="0"/>
        <v>178</v>
      </c>
      <c r="C9" s="9" t="str">
        <f t="shared" ca="1" si="1"/>
        <v>muž</v>
      </c>
      <c r="D9" s="9">
        <f t="shared" ca="1" si="2"/>
        <v>178</v>
      </c>
      <c r="E9" s="8" t="str">
        <f t="shared" ca="1" si="3"/>
        <v>ano</v>
      </c>
    </row>
    <row r="10" spans="1:5">
      <c r="A10" s="9">
        <v>8</v>
      </c>
      <c r="B10" s="9">
        <f t="shared" ca="1" si="0"/>
        <v>170</v>
      </c>
      <c r="C10" s="9" t="str">
        <f t="shared" ca="1" si="1"/>
        <v>žena</v>
      </c>
      <c r="D10" s="9">
        <f t="shared" ca="1" si="2"/>
        <v>170</v>
      </c>
      <c r="E10" s="8" t="str">
        <f t="shared" ca="1" si="3"/>
        <v>ano</v>
      </c>
    </row>
    <row r="11" spans="1:5">
      <c r="A11" s="9">
        <v>9</v>
      </c>
      <c r="B11" s="9">
        <f t="shared" ca="1" si="0"/>
        <v>188</v>
      </c>
      <c r="C11" s="9" t="str">
        <f t="shared" ca="1" si="1"/>
        <v>muž</v>
      </c>
      <c r="D11" s="9">
        <f t="shared" ca="1" si="2"/>
        <v>188</v>
      </c>
      <c r="E11" s="8" t="str">
        <f t="shared" ca="1" si="3"/>
        <v>ano</v>
      </c>
    </row>
    <row r="12" spans="1:5">
      <c r="A12" s="9">
        <v>10</v>
      </c>
      <c r="B12" s="9">
        <f t="shared" ca="1" si="0"/>
        <v>183</v>
      </c>
      <c r="C12" s="9" t="str">
        <f t="shared" ca="1" si="1"/>
        <v>muž</v>
      </c>
      <c r="D12" s="9">
        <f t="shared" ca="1" si="2"/>
        <v>183</v>
      </c>
      <c r="E12" s="8" t="str">
        <f t="shared" ca="1" si="3"/>
        <v>ano</v>
      </c>
    </row>
    <row r="13" spans="1:5">
      <c r="A13" s="9">
        <v>11</v>
      </c>
      <c r="B13" s="9">
        <f t="shared" ca="1" si="0"/>
        <v>159</v>
      </c>
      <c r="C13" s="9" t="str">
        <f t="shared" ca="1" si="1"/>
        <v>žena</v>
      </c>
      <c r="D13" s="9">
        <f t="shared" ca="1" si="2"/>
        <v>159</v>
      </c>
      <c r="E13" s="8" t="str">
        <f t="shared" ca="1" si="3"/>
        <v>ne</v>
      </c>
    </row>
    <row r="14" spans="1:5">
      <c r="A14" s="9">
        <v>12</v>
      </c>
      <c r="B14" s="9">
        <f t="shared" ca="1" si="0"/>
        <v>178</v>
      </c>
      <c r="C14" s="9" t="str">
        <f t="shared" ca="1" si="1"/>
        <v>muž</v>
      </c>
      <c r="D14" s="9">
        <f t="shared" ca="1" si="2"/>
        <v>178</v>
      </c>
      <c r="E14" s="8" t="str">
        <f t="shared" ca="1" si="3"/>
        <v>ano</v>
      </c>
    </row>
    <row r="15" spans="1:5">
      <c r="A15" s="9">
        <v>13</v>
      </c>
      <c r="B15" s="9">
        <f t="shared" ca="1" si="0"/>
        <v>187</v>
      </c>
      <c r="C15" s="9" t="str">
        <f t="shared" ca="1" si="1"/>
        <v>muž</v>
      </c>
      <c r="D15" s="9">
        <f t="shared" ca="1" si="2"/>
        <v>187</v>
      </c>
      <c r="E15" s="8" t="str">
        <f t="shared" ca="1" si="3"/>
        <v>ano</v>
      </c>
    </row>
    <row r="16" spans="1:5">
      <c r="A16" s="9">
        <v>14</v>
      </c>
      <c r="B16" s="9">
        <f t="shared" ca="1" si="0"/>
        <v>171</v>
      </c>
      <c r="C16" s="9" t="str">
        <f t="shared" ca="1" si="1"/>
        <v>muž</v>
      </c>
      <c r="D16" s="9">
        <f t="shared" ca="1" si="2"/>
        <v>171</v>
      </c>
      <c r="E16" s="8" t="str">
        <f t="shared" ca="1" si="3"/>
        <v>ano</v>
      </c>
    </row>
    <row r="17" spans="1:7">
      <c r="A17" s="9">
        <v>15</v>
      </c>
      <c r="B17" s="9">
        <f t="shared" ca="1" si="0"/>
        <v>188</v>
      </c>
      <c r="C17" s="9" t="str">
        <f t="shared" ca="1" si="1"/>
        <v>muž</v>
      </c>
      <c r="D17" s="9">
        <f t="shared" ca="1" si="2"/>
        <v>188</v>
      </c>
      <c r="E17" s="8" t="str">
        <f t="shared" ca="1" si="3"/>
        <v>ano</v>
      </c>
    </row>
    <row r="18" spans="1:7">
      <c r="A18" s="9">
        <v>16</v>
      </c>
      <c r="B18" s="9">
        <f t="shared" ca="1" si="0"/>
        <v>165</v>
      </c>
      <c r="C18" s="9" t="str">
        <f t="shared" ca="1" si="1"/>
        <v>žena</v>
      </c>
      <c r="D18" s="9">
        <f t="shared" ca="1" si="2"/>
        <v>165</v>
      </c>
      <c r="E18" s="8" t="str">
        <f t="shared" ca="1" si="3"/>
        <v>ano</v>
      </c>
    </row>
    <row r="19" spans="1:7">
      <c r="A19" s="9">
        <v>17</v>
      </c>
      <c r="B19" s="9">
        <f t="shared" ca="1" si="0"/>
        <v>165</v>
      </c>
      <c r="C19" s="9" t="str">
        <f t="shared" ca="1" si="1"/>
        <v>žena</v>
      </c>
      <c r="D19" s="9">
        <f t="shared" ca="1" si="2"/>
        <v>165</v>
      </c>
      <c r="E19" s="8" t="str">
        <f t="shared" ca="1" si="3"/>
        <v>ano</v>
      </c>
      <c r="F19" s="57" t="s">
        <v>72</v>
      </c>
      <c r="G19" s="8">
        <f ca="1">COUNTIF(E3:E125,"ano")</f>
        <v>76</v>
      </c>
    </row>
    <row r="20" spans="1:7">
      <c r="A20" s="9">
        <v>18</v>
      </c>
      <c r="B20" s="9">
        <f t="shared" ca="1" si="0"/>
        <v>166</v>
      </c>
      <c r="C20" s="9" t="str">
        <f t="shared" ca="1" si="1"/>
        <v>žena</v>
      </c>
      <c r="D20" s="9">
        <f t="shared" ca="1" si="2"/>
        <v>166</v>
      </c>
      <c r="E20" s="8" t="str">
        <f t="shared" ca="1" si="3"/>
        <v>ano</v>
      </c>
      <c r="F20" s="57" t="s">
        <v>73</v>
      </c>
      <c r="G20" s="8">
        <f ca="1">COUNTIF(E3:E125,"ne")</f>
        <v>47</v>
      </c>
    </row>
    <row r="21" spans="1:7">
      <c r="A21" s="9">
        <v>19</v>
      </c>
      <c r="B21" s="9">
        <f t="shared" ca="1" si="0"/>
        <v>165</v>
      </c>
      <c r="C21" s="9" t="str">
        <f t="shared" ca="1" si="1"/>
        <v>žena</v>
      </c>
      <c r="D21" s="9">
        <f t="shared" ca="1" si="2"/>
        <v>165</v>
      </c>
      <c r="E21" s="8" t="str">
        <f t="shared" ca="1" si="3"/>
        <v>ano</v>
      </c>
    </row>
    <row r="22" spans="1:7">
      <c r="A22" s="9">
        <v>20</v>
      </c>
      <c r="B22" s="9">
        <f t="shared" ca="1" si="0"/>
        <v>156</v>
      </c>
      <c r="C22" s="9" t="str">
        <f t="shared" ca="1" si="1"/>
        <v>žena</v>
      </c>
      <c r="D22" s="9">
        <f t="shared" ca="1" si="2"/>
        <v>156</v>
      </c>
      <c r="E22" s="8" t="str">
        <f t="shared" ca="1" si="3"/>
        <v>ne</v>
      </c>
    </row>
    <row r="23" spans="1:7">
      <c r="A23" s="9">
        <v>21</v>
      </c>
      <c r="B23" s="9">
        <f t="shared" ca="1" si="0"/>
        <v>175</v>
      </c>
      <c r="C23" s="9" t="str">
        <f t="shared" ca="1" si="1"/>
        <v>muž</v>
      </c>
      <c r="D23" s="9">
        <f t="shared" ca="1" si="2"/>
        <v>175</v>
      </c>
      <c r="E23" s="8" t="str">
        <f t="shared" ca="1" si="3"/>
        <v>ano</v>
      </c>
    </row>
    <row r="24" spans="1:7">
      <c r="A24" s="9">
        <v>22</v>
      </c>
      <c r="B24" s="9">
        <f t="shared" ca="1" si="0"/>
        <v>157</v>
      </c>
      <c r="C24" s="9" t="str">
        <f t="shared" ca="1" si="1"/>
        <v>žena</v>
      </c>
      <c r="D24" s="9">
        <f t="shared" ca="1" si="2"/>
        <v>157</v>
      </c>
      <c r="E24" s="8" t="str">
        <f t="shared" ca="1" si="3"/>
        <v>ne</v>
      </c>
    </row>
    <row r="25" spans="1:7">
      <c r="A25" s="9">
        <v>23</v>
      </c>
      <c r="B25" s="9">
        <f t="shared" ca="1" si="0"/>
        <v>181</v>
      </c>
      <c r="C25" s="9" t="str">
        <f t="shared" ca="1" si="1"/>
        <v>muž</v>
      </c>
      <c r="D25" s="9">
        <f t="shared" ca="1" si="2"/>
        <v>181</v>
      </c>
      <c r="E25" s="8" t="str">
        <f t="shared" ca="1" si="3"/>
        <v>ano</v>
      </c>
    </row>
    <row r="26" spans="1:7">
      <c r="A26" s="9">
        <v>24</v>
      </c>
      <c r="B26" s="9">
        <f t="shared" ca="1" si="0"/>
        <v>183</v>
      </c>
      <c r="C26" s="9" t="str">
        <f t="shared" ca="1" si="1"/>
        <v>muž</v>
      </c>
      <c r="D26" s="9">
        <f t="shared" ca="1" si="2"/>
        <v>183</v>
      </c>
      <c r="E26" s="8" t="str">
        <f t="shared" ca="1" si="3"/>
        <v>ano</v>
      </c>
    </row>
    <row r="27" spans="1:7">
      <c r="A27" s="9">
        <v>25</v>
      </c>
      <c r="B27" s="9">
        <f t="shared" ca="1" si="0"/>
        <v>170</v>
      </c>
      <c r="C27" s="9" t="str">
        <f t="shared" ca="1" si="1"/>
        <v>žena</v>
      </c>
      <c r="D27" s="9">
        <f t="shared" ca="1" si="2"/>
        <v>170</v>
      </c>
      <c r="E27" s="8" t="str">
        <f t="shared" ca="1" si="3"/>
        <v>ano</v>
      </c>
    </row>
    <row r="28" spans="1:7">
      <c r="A28" s="9">
        <v>26</v>
      </c>
      <c r="B28" s="9">
        <f t="shared" ca="1" si="0"/>
        <v>175</v>
      </c>
      <c r="C28" s="9" t="str">
        <f t="shared" ca="1" si="1"/>
        <v>muž</v>
      </c>
      <c r="D28" s="9">
        <f t="shared" ca="1" si="2"/>
        <v>175</v>
      </c>
      <c r="E28" s="8" t="str">
        <f t="shared" ca="1" si="3"/>
        <v>ano</v>
      </c>
    </row>
    <row r="29" spans="1:7">
      <c r="A29" s="9">
        <v>27</v>
      </c>
      <c r="B29" s="9">
        <f t="shared" ca="1" si="0"/>
        <v>154</v>
      </c>
      <c r="C29" s="9" t="str">
        <f t="shared" ca="1" si="1"/>
        <v>žena</v>
      </c>
      <c r="D29" s="9">
        <f t="shared" ca="1" si="2"/>
        <v>154</v>
      </c>
      <c r="E29" s="8" t="str">
        <f t="shared" ca="1" si="3"/>
        <v>ne</v>
      </c>
    </row>
    <row r="30" spans="1:7">
      <c r="A30" s="9">
        <v>28</v>
      </c>
      <c r="B30" s="9">
        <f t="shared" ca="1" si="0"/>
        <v>162</v>
      </c>
      <c r="C30" s="9" t="str">
        <f t="shared" ca="1" si="1"/>
        <v>žena</v>
      </c>
      <c r="D30" s="9">
        <f t="shared" ca="1" si="2"/>
        <v>162</v>
      </c>
      <c r="E30" s="8" t="str">
        <f t="shared" ca="1" si="3"/>
        <v>ano</v>
      </c>
    </row>
    <row r="31" spans="1:7">
      <c r="A31" s="9">
        <v>29</v>
      </c>
      <c r="B31" s="9">
        <f t="shared" ca="1" si="0"/>
        <v>195</v>
      </c>
      <c r="C31" s="9" t="str">
        <f t="shared" ca="1" si="1"/>
        <v>muž</v>
      </c>
      <c r="D31" s="9">
        <f t="shared" ca="1" si="2"/>
        <v>195</v>
      </c>
      <c r="E31" s="8" t="str">
        <f t="shared" ca="1" si="3"/>
        <v>ne</v>
      </c>
    </row>
    <row r="32" spans="1:7">
      <c r="A32" s="9">
        <v>30</v>
      </c>
      <c r="B32" s="9">
        <f t="shared" ca="1" si="0"/>
        <v>187</v>
      </c>
      <c r="C32" s="9" t="str">
        <f t="shared" ca="1" si="1"/>
        <v>muž</v>
      </c>
      <c r="D32" s="9">
        <f t="shared" ca="1" si="2"/>
        <v>187</v>
      </c>
      <c r="E32" s="8" t="str">
        <f t="shared" ca="1" si="3"/>
        <v>ano</v>
      </c>
    </row>
    <row r="33" spans="1:5">
      <c r="A33" s="9">
        <v>31</v>
      </c>
      <c r="B33" s="9">
        <f t="shared" ca="1" si="0"/>
        <v>180</v>
      </c>
      <c r="C33" s="9" t="str">
        <f t="shared" ca="1" si="1"/>
        <v>muž</v>
      </c>
      <c r="D33" s="9">
        <f t="shared" ca="1" si="2"/>
        <v>180</v>
      </c>
      <c r="E33" s="8" t="str">
        <f t="shared" ca="1" si="3"/>
        <v>ano</v>
      </c>
    </row>
    <row r="34" spans="1:5">
      <c r="A34" s="9">
        <v>32</v>
      </c>
      <c r="B34" s="9">
        <f t="shared" ca="1" si="0"/>
        <v>185</v>
      </c>
      <c r="C34" s="9" t="str">
        <f t="shared" ca="1" si="1"/>
        <v>muž</v>
      </c>
      <c r="D34" s="9">
        <f t="shared" ca="1" si="2"/>
        <v>185</v>
      </c>
      <c r="E34" s="8" t="str">
        <f t="shared" ca="1" si="3"/>
        <v>ano</v>
      </c>
    </row>
    <row r="35" spans="1:5">
      <c r="A35" s="9">
        <v>33</v>
      </c>
      <c r="B35" s="9">
        <f t="shared" ref="B35:B66" ca="1" si="4">ROUND(50*RAND()+150,0)</f>
        <v>181</v>
      </c>
      <c r="C35" s="9" t="str">
        <f t="shared" ref="C35:C66" ca="1" si="5">IF(B35&gt;=171,"muž","žena")</f>
        <v>muž</v>
      </c>
      <c r="D35" s="9">
        <f t="shared" ref="D35:D66" ca="1" si="6">B35</f>
        <v>181</v>
      </c>
      <c r="E35" s="8" t="str">
        <f t="shared" ca="1" si="3"/>
        <v>ano</v>
      </c>
    </row>
    <row r="36" spans="1:5">
      <c r="A36" s="9">
        <v>34</v>
      </c>
      <c r="B36" s="9">
        <f t="shared" ca="1" si="4"/>
        <v>185</v>
      </c>
      <c r="C36" s="9" t="str">
        <f t="shared" ca="1" si="5"/>
        <v>muž</v>
      </c>
      <c r="D36" s="9">
        <f t="shared" ca="1" si="6"/>
        <v>185</v>
      </c>
      <c r="E36" s="8" t="str">
        <f t="shared" ca="1" si="3"/>
        <v>ano</v>
      </c>
    </row>
    <row r="37" spans="1:5">
      <c r="A37" s="9">
        <v>35</v>
      </c>
      <c r="B37" s="9">
        <f t="shared" ca="1" si="4"/>
        <v>188</v>
      </c>
      <c r="C37" s="9" t="str">
        <f t="shared" ca="1" si="5"/>
        <v>muž</v>
      </c>
      <c r="D37" s="9">
        <f t="shared" ca="1" si="6"/>
        <v>188</v>
      </c>
      <c r="E37" s="8" t="str">
        <f t="shared" ca="1" si="3"/>
        <v>ano</v>
      </c>
    </row>
    <row r="38" spans="1:5">
      <c r="A38" s="9">
        <v>36</v>
      </c>
      <c r="B38" s="9">
        <f t="shared" ca="1" si="4"/>
        <v>196</v>
      </c>
      <c r="C38" s="9" t="str">
        <f t="shared" ca="1" si="5"/>
        <v>muž</v>
      </c>
      <c r="D38" s="9">
        <f t="shared" ca="1" si="6"/>
        <v>196</v>
      </c>
      <c r="E38" s="8" t="str">
        <f t="shared" ca="1" si="3"/>
        <v>ne</v>
      </c>
    </row>
    <row r="39" spans="1:5">
      <c r="A39" s="9">
        <v>37</v>
      </c>
      <c r="B39" s="9">
        <f t="shared" ca="1" si="4"/>
        <v>154</v>
      </c>
      <c r="C39" s="9" t="str">
        <f t="shared" ca="1" si="5"/>
        <v>žena</v>
      </c>
      <c r="D39" s="9">
        <f t="shared" ca="1" si="6"/>
        <v>154</v>
      </c>
      <c r="E39" s="8" t="str">
        <f t="shared" ca="1" si="3"/>
        <v>ne</v>
      </c>
    </row>
    <row r="40" spans="1:5">
      <c r="A40" s="9">
        <v>38</v>
      </c>
      <c r="B40" s="9">
        <f t="shared" ca="1" si="4"/>
        <v>160</v>
      </c>
      <c r="C40" s="9" t="str">
        <f t="shared" ca="1" si="5"/>
        <v>žena</v>
      </c>
      <c r="D40" s="9">
        <f t="shared" ca="1" si="6"/>
        <v>160</v>
      </c>
      <c r="E40" s="8" t="str">
        <f t="shared" ca="1" si="3"/>
        <v>ne</v>
      </c>
    </row>
    <row r="41" spans="1:5">
      <c r="A41" s="9">
        <v>39</v>
      </c>
      <c r="B41" s="9">
        <f t="shared" ca="1" si="4"/>
        <v>195</v>
      </c>
      <c r="C41" s="9" t="str">
        <f t="shared" ca="1" si="5"/>
        <v>muž</v>
      </c>
      <c r="D41" s="9">
        <f t="shared" ca="1" si="6"/>
        <v>195</v>
      </c>
      <c r="E41" s="8" t="str">
        <f t="shared" ca="1" si="3"/>
        <v>ne</v>
      </c>
    </row>
    <row r="42" spans="1:5">
      <c r="A42" s="9">
        <v>40</v>
      </c>
      <c r="B42" s="9">
        <f t="shared" ca="1" si="4"/>
        <v>159</v>
      </c>
      <c r="C42" s="9" t="str">
        <f t="shared" ca="1" si="5"/>
        <v>žena</v>
      </c>
      <c r="D42" s="9">
        <f t="shared" ca="1" si="6"/>
        <v>159</v>
      </c>
      <c r="E42" s="8" t="str">
        <f t="shared" ca="1" si="3"/>
        <v>ne</v>
      </c>
    </row>
    <row r="43" spans="1:5">
      <c r="A43" s="9">
        <v>41</v>
      </c>
      <c r="B43" s="9">
        <f t="shared" ca="1" si="4"/>
        <v>182</v>
      </c>
      <c r="C43" s="9" t="str">
        <f t="shared" ca="1" si="5"/>
        <v>muž</v>
      </c>
      <c r="D43" s="9">
        <f t="shared" ca="1" si="6"/>
        <v>182</v>
      </c>
      <c r="E43" s="8" t="str">
        <f t="shared" ca="1" si="3"/>
        <v>ano</v>
      </c>
    </row>
    <row r="44" spans="1:5">
      <c r="A44" s="9">
        <v>42</v>
      </c>
      <c r="B44" s="9">
        <f t="shared" ca="1" si="4"/>
        <v>171</v>
      </c>
      <c r="C44" s="9" t="str">
        <f t="shared" ca="1" si="5"/>
        <v>muž</v>
      </c>
      <c r="D44" s="9">
        <f t="shared" ca="1" si="6"/>
        <v>171</v>
      </c>
      <c r="E44" s="8" t="str">
        <f t="shared" ca="1" si="3"/>
        <v>ano</v>
      </c>
    </row>
    <row r="45" spans="1:5">
      <c r="A45" s="9">
        <v>43</v>
      </c>
      <c r="B45" s="9">
        <f t="shared" ca="1" si="4"/>
        <v>184</v>
      </c>
      <c r="C45" s="9" t="str">
        <f t="shared" ca="1" si="5"/>
        <v>muž</v>
      </c>
      <c r="D45" s="9">
        <f t="shared" ca="1" si="6"/>
        <v>184</v>
      </c>
      <c r="E45" s="8" t="str">
        <f t="shared" ca="1" si="3"/>
        <v>ano</v>
      </c>
    </row>
    <row r="46" spans="1:5">
      <c r="A46" s="9">
        <v>44</v>
      </c>
      <c r="B46" s="9">
        <f t="shared" ca="1" si="4"/>
        <v>198</v>
      </c>
      <c r="C46" s="9" t="str">
        <f t="shared" ca="1" si="5"/>
        <v>muž</v>
      </c>
      <c r="D46" s="9">
        <f t="shared" ca="1" si="6"/>
        <v>198</v>
      </c>
      <c r="E46" s="8" t="str">
        <f t="shared" ca="1" si="3"/>
        <v>ne</v>
      </c>
    </row>
    <row r="47" spans="1:5">
      <c r="A47" s="9">
        <v>45</v>
      </c>
      <c r="B47" s="9">
        <f t="shared" ca="1" si="4"/>
        <v>181</v>
      </c>
      <c r="C47" s="9" t="str">
        <f t="shared" ca="1" si="5"/>
        <v>muž</v>
      </c>
      <c r="D47" s="9">
        <f t="shared" ca="1" si="6"/>
        <v>181</v>
      </c>
      <c r="E47" s="8" t="str">
        <f t="shared" ca="1" si="3"/>
        <v>ano</v>
      </c>
    </row>
    <row r="48" spans="1:5">
      <c r="A48" s="9">
        <v>46</v>
      </c>
      <c r="B48" s="9">
        <f t="shared" ca="1" si="4"/>
        <v>160</v>
      </c>
      <c r="C48" s="9" t="str">
        <f t="shared" ca="1" si="5"/>
        <v>žena</v>
      </c>
      <c r="D48" s="9">
        <f t="shared" ca="1" si="6"/>
        <v>160</v>
      </c>
      <c r="E48" s="8" t="str">
        <f t="shared" ca="1" si="3"/>
        <v>ne</v>
      </c>
    </row>
    <row r="49" spans="1:5">
      <c r="A49" s="9">
        <v>47</v>
      </c>
      <c r="B49" s="9">
        <f t="shared" ca="1" si="4"/>
        <v>197</v>
      </c>
      <c r="C49" s="9" t="str">
        <f t="shared" ca="1" si="5"/>
        <v>muž</v>
      </c>
      <c r="D49" s="9">
        <f t="shared" ca="1" si="6"/>
        <v>197</v>
      </c>
      <c r="E49" s="8" t="str">
        <f t="shared" ca="1" si="3"/>
        <v>ne</v>
      </c>
    </row>
    <row r="50" spans="1:5">
      <c r="A50" s="9">
        <v>48</v>
      </c>
      <c r="B50" s="9">
        <f t="shared" ca="1" si="4"/>
        <v>188</v>
      </c>
      <c r="C50" s="9" t="str">
        <f t="shared" ca="1" si="5"/>
        <v>muž</v>
      </c>
      <c r="D50" s="9">
        <f t="shared" ca="1" si="6"/>
        <v>188</v>
      </c>
      <c r="E50" s="8" t="str">
        <f t="shared" ca="1" si="3"/>
        <v>ano</v>
      </c>
    </row>
    <row r="51" spans="1:5">
      <c r="A51" s="9">
        <v>49</v>
      </c>
      <c r="B51" s="9">
        <f t="shared" ca="1" si="4"/>
        <v>177</v>
      </c>
      <c r="C51" s="9" t="str">
        <f t="shared" ca="1" si="5"/>
        <v>muž</v>
      </c>
      <c r="D51" s="9">
        <f t="shared" ca="1" si="6"/>
        <v>177</v>
      </c>
      <c r="E51" s="8" t="str">
        <f t="shared" ca="1" si="3"/>
        <v>ano</v>
      </c>
    </row>
    <row r="52" spans="1:5">
      <c r="A52" s="9">
        <v>50</v>
      </c>
      <c r="B52" s="9">
        <f t="shared" ca="1" si="4"/>
        <v>175</v>
      </c>
      <c r="C52" s="9" t="str">
        <f t="shared" ca="1" si="5"/>
        <v>muž</v>
      </c>
      <c r="D52" s="9">
        <f t="shared" ca="1" si="6"/>
        <v>175</v>
      </c>
      <c r="E52" s="8" t="str">
        <f t="shared" ca="1" si="3"/>
        <v>ano</v>
      </c>
    </row>
    <row r="53" spans="1:5">
      <c r="A53" s="9">
        <v>51</v>
      </c>
      <c r="B53" s="9">
        <f t="shared" ca="1" si="4"/>
        <v>167</v>
      </c>
      <c r="C53" s="9" t="str">
        <f t="shared" ca="1" si="5"/>
        <v>žena</v>
      </c>
      <c r="D53" s="9">
        <f t="shared" ca="1" si="6"/>
        <v>167</v>
      </c>
      <c r="E53" s="8" t="str">
        <f t="shared" ca="1" si="3"/>
        <v>ano</v>
      </c>
    </row>
    <row r="54" spans="1:5">
      <c r="A54" s="9">
        <v>52</v>
      </c>
      <c r="B54" s="9">
        <f t="shared" ca="1" si="4"/>
        <v>153</v>
      </c>
      <c r="C54" s="9" t="str">
        <f t="shared" ca="1" si="5"/>
        <v>žena</v>
      </c>
      <c r="D54" s="9">
        <f t="shared" ca="1" si="6"/>
        <v>153</v>
      </c>
      <c r="E54" s="8" t="str">
        <f t="shared" ca="1" si="3"/>
        <v>ne</v>
      </c>
    </row>
    <row r="55" spans="1:5">
      <c r="A55" s="9">
        <v>53</v>
      </c>
      <c r="B55" s="9">
        <f t="shared" ca="1" si="4"/>
        <v>170</v>
      </c>
      <c r="C55" s="9" t="str">
        <f t="shared" ca="1" si="5"/>
        <v>žena</v>
      </c>
      <c r="D55" s="9">
        <f t="shared" ca="1" si="6"/>
        <v>170</v>
      </c>
      <c r="E55" s="8" t="str">
        <f t="shared" ca="1" si="3"/>
        <v>ano</v>
      </c>
    </row>
    <row r="56" spans="1:5">
      <c r="A56" s="9">
        <v>54</v>
      </c>
      <c r="B56" s="9">
        <f t="shared" ca="1" si="4"/>
        <v>197</v>
      </c>
      <c r="C56" s="9" t="str">
        <f t="shared" ca="1" si="5"/>
        <v>muž</v>
      </c>
      <c r="D56" s="9">
        <f t="shared" ca="1" si="6"/>
        <v>197</v>
      </c>
      <c r="E56" s="8" t="str">
        <f t="shared" ca="1" si="3"/>
        <v>ne</v>
      </c>
    </row>
    <row r="57" spans="1:5">
      <c r="A57" s="9">
        <v>55</v>
      </c>
      <c r="B57" s="9">
        <f t="shared" ca="1" si="4"/>
        <v>183</v>
      </c>
      <c r="C57" s="9" t="str">
        <f t="shared" ca="1" si="5"/>
        <v>muž</v>
      </c>
      <c r="D57" s="9">
        <f t="shared" ca="1" si="6"/>
        <v>183</v>
      </c>
      <c r="E57" s="8" t="str">
        <f t="shared" ca="1" si="3"/>
        <v>ano</v>
      </c>
    </row>
    <row r="58" spans="1:5">
      <c r="A58" s="9">
        <v>56</v>
      </c>
      <c r="B58" s="9">
        <f t="shared" ca="1" si="4"/>
        <v>175</v>
      </c>
      <c r="C58" s="9" t="str">
        <f t="shared" ca="1" si="5"/>
        <v>muž</v>
      </c>
      <c r="D58" s="9">
        <f t="shared" ca="1" si="6"/>
        <v>175</v>
      </c>
      <c r="E58" s="8" t="str">
        <f t="shared" ca="1" si="3"/>
        <v>ano</v>
      </c>
    </row>
    <row r="59" spans="1:5">
      <c r="A59" s="9">
        <v>57</v>
      </c>
      <c r="B59" s="9">
        <f t="shared" ca="1" si="4"/>
        <v>151</v>
      </c>
      <c r="C59" s="9" t="str">
        <f t="shared" ca="1" si="5"/>
        <v>žena</v>
      </c>
      <c r="D59" s="9">
        <f t="shared" ca="1" si="6"/>
        <v>151</v>
      </c>
      <c r="E59" s="8" t="str">
        <f t="shared" ca="1" si="3"/>
        <v>ne</v>
      </c>
    </row>
    <row r="60" spans="1:5">
      <c r="A60" s="9">
        <v>58</v>
      </c>
      <c r="B60" s="9">
        <f t="shared" ca="1" si="4"/>
        <v>158</v>
      </c>
      <c r="C60" s="9" t="str">
        <f t="shared" ca="1" si="5"/>
        <v>žena</v>
      </c>
      <c r="D60" s="9">
        <f t="shared" ca="1" si="6"/>
        <v>158</v>
      </c>
      <c r="E60" s="8" t="str">
        <f t="shared" ca="1" si="3"/>
        <v>ne</v>
      </c>
    </row>
    <row r="61" spans="1:5">
      <c r="A61" s="9">
        <v>59</v>
      </c>
      <c r="B61" s="9">
        <f t="shared" ca="1" si="4"/>
        <v>185</v>
      </c>
      <c r="C61" s="9" t="str">
        <f t="shared" ca="1" si="5"/>
        <v>muž</v>
      </c>
      <c r="D61" s="9">
        <f t="shared" ca="1" si="6"/>
        <v>185</v>
      </c>
      <c r="E61" s="8" t="str">
        <f t="shared" ca="1" si="3"/>
        <v>ano</v>
      </c>
    </row>
    <row r="62" spans="1:5">
      <c r="A62" s="9">
        <v>60</v>
      </c>
      <c r="B62" s="9">
        <f t="shared" ca="1" si="4"/>
        <v>171</v>
      </c>
      <c r="C62" s="9" t="str">
        <f t="shared" ca="1" si="5"/>
        <v>muž</v>
      </c>
      <c r="D62" s="9">
        <f t="shared" ca="1" si="6"/>
        <v>171</v>
      </c>
      <c r="E62" s="8" t="str">
        <f t="shared" ca="1" si="3"/>
        <v>ano</v>
      </c>
    </row>
    <row r="63" spans="1:5">
      <c r="A63" s="9">
        <v>61</v>
      </c>
      <c r="B63" s="9">
        <f t="shared" ca="1" si="4"/>
        <v>176</v>
      </c>
      <c r="C63" s="9" t="str">
        <f t="shared" ca="1" si="5"/>
        <v>muž</v>
      </c>
      <c r="D63" s="9">
        <f t="shared" ca="1" si="6"/>
        <v>176</v>
      </c>
      <c r="E63" s="8" t="str">
        <f t="shared" ca="1" si="3"/>
        <v>ano</v>
      </c>
    </row>
    <row r="64" spans="1:5">
      <c r="A64" s="9">
        <v>62</v>
      </c>
      <c r="B64" s="9">
        <f t="shared" ca="1" si="4"/>
        <v>180</v>
      </c>
      <c r="C64" s="9" t="str">
        <f t="shared" ca="1" si="5"/>
        <v>muž</v>
      </c>
      <c r="D64" s="9">
        <f t="shared" ca="1" si="6"/>
        <v>180</v>
      </c>
      <c r="E64" s="8" t="str">
        <f t="shared" ca="1" si="3"/>
        <v>ano</v>
      </c>
    </row>
    <row r="65" spans="1:5">
      <c r="A65" s="9">
        <v>63</v>
      </c>
      <c r="B65" s="9">
        <f t="shared" ca="1" si="4"/>
        <v>193</v>
      </c>
      <c r="C65" s="9" t="str">
        <f t="shared" ca="1" si="5"/>
        <v>muž</v>
      </c>
      <c r="D65" s="9">
        <f t="shared" ca="1" si="6"/>
        <v>193</v>
      </c>
      <c r="E65" s="8" t="str">
        <f t="shared" ca="1" si="3"/>
        <v>ne</v>
      </c>
    </row>
    <row r="66" spans="1:5">
      <c r="A66" s="9">
        <v>64</v>
      </c>
      <c r="B66" s="9">
        <f t="shared" ca="1" si="4"/>
        <v>152</v>
      </c>
      <c r="C66" s="9" t="str">
        <f t="shared" ca="1" si="5"/>
        <v>žena</v>
      </c>
      <c r="D66" s="9">
        <f t="shared" ca="1" si="6"/>
        <v>152</v>
      </c>
      <c r="E66" s="8" t="str">
        <f t="shared" ca="1" si="3"/>
        <v>ne</v>
      </c>
    </row>
    <row r="67" spans="1:5">
      <c r="A67" s="9">
        <v>65</v>
      </c>
      <c r="B67" s="9">
        <f t="shared" ref="B67:B98" ca="1" si="7">ROUND(50*RAND()+150,0)</f>
        <v>177</v>
      </c>
      <c r="C67" s="9" t="str">
        <f t="shared" ref="C67:C98" ca="1" si="8">IF(B67&gt;=171,"muž","žena")</f>
        <v>muž</v>
      </c>
      <c r="D67" s="9">
        <f t="shared" ref="D67:D98" ca="1" si="9">B67</f>
        <v>177</v>
      </c>
      <c r="E67" s="8" t="str">
        <f t="shared" ca="1" si="3"/>
        <v>ano</v>
      </c>
    </row>
    <row r="68" spans="1:5">
      <c r="A68" s="9">
        <v>66</v>
      </c>
      <c r="B68" s="9">
        <f t="shared" ca="1" si="7"/>
        <v>190</v>
      </c>
      <c r="C68" s="9" t="str">
        <f t="shared" ca="1" si="8"/>
        <v>muž</v>
      </c>
      <c r="D68" s="9">
        <f t="shared" ca="1" si="9"/>
        <v>190</v>
      </c>
      <c r="E68" s="8" t="str">
        <f t="shared" ref="E68:E125" ca="1" si="10">IF(AND(C68="muž",D68&gt;170,D68&lt;190),"ano",IF(AND(C68="žena",D68&gt;160,D68&lt;180),"ano","ne"))</f>
        <v>ne</v>
      </c>
    </row>
    <row r="69" spans="1:5">
      <c r="A69" s="9">
        <v>67</v>
      </c>
      <c r="B69" s="9">
        <f t="shared" ca="1" si="7"/>
        <v>200</v>
      </c>
      <c r="C69" s="9" t="str">
        <f t="shared" ca="1" si="8"/>
        <v>muž</v>
      </c>
      <c r="D69" s="9">
        <f t="shared" ca="1" si="9"/>
        <v>200</v>
      </c>
      <c r="E69" s="8" t="str">
        <f t="shared" ca="1" si="10"/>
        <v>ne</v>
      </c>
    </row>
    <row r="70" spans="1:5">
      <c r="A70" s="9">
        <v>68</v>
      </c>
      <c r="B70" s="9">
        <f t="shared" ca="1" si="7"/>
        <v>174</v>
      </c>
      <c r="C70" s="9" t="str">
        <f t="shared" ca="1" si="8"/>
        <v>muž</v>
      </c>
      <c r="D70" s="9">
        <f t="shared" ca="1" si="9"/>
        <v>174</v>
      </c>
      <c r="E70" s="8" t="str">
        <f t="shared" ca="1" si="10"/>
        <v>ano</v>
      </c>
    </row>
    <row r="71" spans="1:5">
      <c r="A71" s="9">
        <v>69</v>
      </c>
      <c r="B71" s="9">
        <f t="shared" ca="1" si="7"/>
        <v>154</v>
      </c>
      <c r="C71" s="9" t="str">
        <f t="shared" ca="1" si="8"/>
        <v>žena</v>
      </c>
      <c r="D71" s="9">
        <f t="shared" ca="1" si="9"/>
        <v>154</v>
      </c>
      <c r="E71" s="8" t="str">
        <f t="shared" ca="1" si="10"/>
        <v>ne</v>
      </c>
    </row>
    <row r="72" spans="1:5">
      <c r="A72" s="9">
        <v>70</v>
      </c>
      <c r="B72" s="9">
        <f t="shared" ca="1" si="7"/>
        <v>160</v>
      </c>
      <c r="C72" s="9" t="str">
        <f t="shared" ca="1" si="8"/>
        <v>žena</v>
      </c>
      <c r="D72" s="9">
        <f t="shared" ca="1" si="9"/>
        <v>160</v>
      </c>
      <c r="E72" s="8" t="str">
        <f t="shared" ca="1" si="10"/>
        <v>ne</v>
      </c>
    </row>
    <row r="73" spans="1:5">
      <c r="A73" s="9">
        <v>71</v>
      </c>
      <c r="B73" s="9">
        <f t="shared" ca="1" si="7"/>
        <v>194</v>
      </c>
      <c r="C73" s="9" t="str">
        <f t="shared" ca="1" si="8"/>
        <v>muž</v>
      </c>
      <c r="D73" s="9">
        <f t="shared" ca="1" si="9"/>
        <v>194</v>
      </c>
      <c r="E73" s="8" t="str">
        <f t="shared" ca="1" si="10"/>
        <v>ne</v>
      </c>
    </row>
    <row r="74" spans="1:5">
      <c r="A74" s="9">
        <v>72</v>
      </c>
      <c r="B74" s="9">
        <f t="shared" ca="1" si="7"/>
        <v>199</v>
      </c>
      <c r="C74" s="9" t="str">
        <f t="shared" ca="1" si="8"/>
        <v>muž</v>
      </c>
      <c r="D74" s="9">
        <f t="shared" ca="1" si="9"/>
        <v>199</v>
      </c>
      <c r="E74" s="8" t="str">
        <f t="shared" ca="1" si="10"/>
        <v>ne</v>
      </c>
    </row>
    <row r="75" spans="1:5">
      <c r="A75" s="9">
        <v>73</v>
      </c>
      <c r="B75" s="9">
        <f t="shared" ca="1" si="7"/>
        <v>174</v>
      </c>
      <c r="C75" s="9" t="str">
        <f t="shared" ca="1" si="8"/>
        <v>muž</v>
      </c>
      <c r="D75" s="9">
        <f t="shared" ca="1" si="9"/>
        <v>174</v>
      </c>
      <c r="E75" s="8" t="str">
        <f t="shared" ca="1" si="10"/>
        <v>ano</v>
      </c>
    </row>
    <row r="76" spans="1:5">
      <c r="A76" s="9">
        <v>74</v>
      </c>
      <c r="B76" s="9">
        <f t="shared" ca="1" si="7"/>
        <v>186</v>
      </c>
      <c r="C76" s="9" t="str">
        <f t="shared" ca="1" si="8"/>
        <v>muž</v>
      </c>
      <c r="D76" s="9">
        <f t="shared" ca="1" si="9"/>
        <v>186</v>
      </c>
      <c r="E76" s="8" t="str">
        <f t="shared" ca="1" si="10"/>
        <v>ano</v>
      </c>
    </row>
    <row r="77" spans="1:5">
      <c r="A77" s="9">
        <v>75</v>
      </c>
      <c r="B77" s="9">
        <f t="shared" ca="1" si="7"/>
        <v>193</v>
      </c>
      <c r="C77" s="9" t="str">
        <f t="shared" ca="1" si="8"/>
        <v>muž</v>
      </c>
      <c r="D77" s="9">
        <f t="shared" ca="1" si="9"/>
        <v>193</v>
      </c>
      <c r="E77" s="8" t="str">
        <f t="shared" ca="1" si="10"/>
        <v>ne</v>
      </c>
    </row>
    <row r="78" spans="1:5">
      <c r="A78" s="9">
        <v>76</v>
      </c>
      <c r="B78" s="9">
        <f t="shared" ca="1" si="7"/>
        <v>172</v>
      </c>
      <c r="C78" s="9" t="str">
        <f t="shared" ca="1" si="8"/>
        <v>muž</v>
      </c>
      <c r="D78" s="9">
        <f t="shared" ca="1" si="9"/>
        <v>172</v>
      </c>
      <c r="E78" s="8" t="str">
        <f t="shared" ca="1" si="10"/>
        <v>ano</v>
      </c>
    </row>
    <row r="79" spans="1:5">
      <c r="A79" s="9">
        <v>77</v>
      </c>
      <c r="B79" s="9">
        <f t="shared" ca="1" si="7"/>
        <v>165</v>
      </c>
      <c r="C79" s="9" t="str">
        <f t="shared" ca="1" si="8"/>
        <v>žena</v>
      </c>
      <c r="D79" s="9">
        <f t="shared" ca="1" si="9"/>
        <v>165</v>
      </c>
      <c r="E79" s="8" t="str">
        <f t="shared" ca="1" si="10"/>
        <v>ano</v>
      </c>
    </row>
    <row r="80" spans="1:5">
      <c r="A80" s="9">
        <v>78</v>
      </c>
      <c r="B80" s="9">
        <f t="shared" ca="1" si="7"/>
        <v>198</v>
      </c>
      <c r="C80" s="9" t="str">
        <f t="shared" ca="1" si="8"/>
        <v>muž</v>
      </c>
      <c r="D80" s="9">
        <f t="shared" ca="1" si="9"/>
        <v>198</v>
      </c>
      <c r="E80" s="8" t="str">
        <f t="shared" ca="1" si="10"/>
        <v>ne</v>
      </c>
    </row>
    <row r="81" spans="1:5">
      <c r="A81" s="9">
        <v>79</v>
      </c>
      <c r="B81" s="9">
        <f t="shared" ca="1" si="7"/>
        <v>167</v>
      </c>
      <c r="C81" s="9" t="str">
        <f t="shared" ca="1" si="8"/>
        <v>žena</v>
      </c>
      <c r="D81" s="9">
        <f t="shared" ca="1" si="9"/>
        <v>167</v>
      </c>
      <c r="E81" s="8" t="str">
        <f t="shared" ca="1" si="10"/>
        <v>ano</v>
      </c>
    </row>
    <row r="82" spans="1:5">
      <c r="A82" s="9">
        <v>80</v>
      </c>
      <c r="B82" s="9">
        <f t="shared" ca="1" si="7"/>
        <v>163</v>
      </c>
      <c r="C82" s="9" t="str">
        <f t="shared" ca="1" si="8"/>
        <v>žena</v>
      </c>
      <c r="D82" s="9">
        <f t="shared" ca="1" si="9"/>
        <v>163</v>
      </c>
      <c r="E82" s="8" t="str">
        <f t="shared" ca="1" si="10"/>
        <v>ano</v>
      </c>
    </row>
    <row r="83" spans="1:5">
      <c r="A83" s="9">
        <v>81</v>
      </c>
      <c r="B83" s="9">
        <f t="shared" ca="1" si="7"/>
        <v>188</v>
      </c>
      <c r="C83" s="9" t="str">
        <f t="shared" ca="1" si="8"/>
        <v>muž</v>
      </c>
      <c r="D83" s="9">
        <f t="shared" ca="1" si="9"/>
        <v>188</v>
      </c>
      <c r="E83" s="8" t="str">
        <f t="shared" ca="1" si="10"/>
        <v>ano</v>
      </c>
    </row>
    <row r="84" spans="1:5">
      <c r="A84" s="9">
        <v>82</v>
      </c>
      <c r="B84" s="9">
        <f t="shared" ca="1" si="7"/>
        <v>160</v>
      </c>
      <c r="C84" s="9" t="str">
        <f t="shared" ca="1" si="8"/>
        <v>žena</v>
      </c>
      <c r="D84" s="9">
        <f t="shared" ca="1" si="9"/>
        <v>160</v>
      </c>
      <c r="E84" s="8" t="str">
        <f t="shared" ca="1" si="10"/>
        <v>ne</v>
      </c>
    </row>
    <row r="85" spans="1:5">
      <c r="A85" s="9">
        <v>83</v>
      </c>
      <c r="B85" s="9">
        <f t="shared" ca="1" si="7"/>
        <v>183</v>
      </c>
      <c r="C85" s="9" t="str">
        <f t="shared" ca="1" si="8"/>
        <v>muž</v>
      </c>
      <c r="D85" s="9">
        <f t="shared" ca="1" si="9"/>
        <v>183</v>
      </c>
      <c r="E85" s="8" t="str">
        <f t="shared" ca="1" si="10"/>
        <v>ano</v>
      </c>
    </row>
    <row r="86" spans="1:5">
      <c r="A86" s="9">
        <v>84</v>
      </c>
      <c r="B86" s="9">
        <f t="shared" ca="1" si="7"/>
        <v>156</v>
      </c>
      <c r="C86" s="9" t="str">
        <f t="shared" ca="1" si="8"/>
        <v>žena</v>
      </c>
      <c r="D86" s="9">
        <f t="shared" ca="1" si="9"/>
        <v>156</v>
      </c>
      <c r="E86" s="8" t="str">
        <f t="shared" ca="1" si="10"/>
        <v>ne</v>
      </c>
    </row>
    <row r="87" spans="1:5">
      <c r="A87" s="9">
        <v>85</v>
      </c>
      <c r="B87" s="9">
        <f t="shared" ca="1" si="7"/>
        <v>160</v>
      </c>
      <c r="C87" s="9" t="str">
        <f t="shared" ca="1" si="8"/>
        <v>žena</v>
      </c>
      <c r="D87" s="9">
        <f t="shared" ca="1" si="9"/>
        <v>160</v>
      </c>
      <c r="E87" s="8" t="str">
        <f t="shared" ca="1" si="10"/>
        <v>ne</v>
      </c>
    </row>
    <row r="88" spans="1:5">
      <c r="A88" s="9">
        <v>86</v>
      </c>
      <c r="B88" s="9">
        <f t="shared" ca="1" si="7"/>
        <v>169</v>
      </c>
      <c r="C88" s="9" t="str">
        <f t="shared" ca="1" si="8"/>
        <v>žena</v>
      </c>
      <c r="D88" s="9">
        <f t="shared" ca="1" si="9"/>
        <v>169</v>
      </c>
      <c r="E88" s="8" t="str">
        <f t="shared" ca="1" si="10"/>
        <v>ano</v>
      </c>
    </row>
    <row r="89" spans="1:5">
      <c r="A89" s="9">
        <v>87</v>
      </c>
      <c r="B89" s="9">
        <f t="shared" ca="1" si="7"/>
        <v>157</v>
      </c>
      <c r="C89" s="9" t="str">
        <f t="shared" ca="1" si="8"/>
        <v>žena</v>
      </c>
      <c r="D89" s="9">
        <f t="shared" ca="1" si="9"/>
        <v>157</v>
      </c>
      <c r="E89" s="8" t="str">
        <f t="shared" ca="1" si="10"/>
        <v>ne</v>
      </c>
    </row>
    <row r="90" spans="1:5">
      <c r="A90" s="9">
        <v>88</v>
      </c>
      <c r="B90" s="9">
        <f t="shared" ca="1" si="7"/>
        <v>158</v>
      </c>
      <c r="C90" s="9" t="str">
        <f t="shared" ca="1" si="8"/>
        <v>žena</v>
      </c>
      <c r="D90" s="9">
        <f t="shared" ca="1" si="9"/>
        <v>158</v>
      </c>
      <c r="E90" s="8" t="str">
        <f t="shared" ca="1" si="10"/>
        <v>ne</v>
      </c>
    </row>
    <row r="91" spans="1:5">
      <c r="A91" s="9">
        <v>89</v>
      </c>
      <c r="B91" s="9">
        <f t="shared" ca="1" si="7"/>
        <v>163</v>
      </c>
      <c r="C91" s="9" t="str">
        <f t="shared" ca="1" si="8"/>
        <v>žena</v>
      </c>
      <c r="D91" s="9">
        <f t="shared" ca="1" si="9"/>
        <v>163</v>
      </c>
      <c r="E91" s="8" t="str">
        <f t="shared" ca="1" si="10"/>
        <v>ano</v>
      </c>
    </row>
    <row r="92" spans="1:5">
      <c r="A92" s="9">
        <v>90</v>
      </c>
      <c r="B92" s="9">
        <f t="shared" ca="1" si="7"/>
        <v>183</v>
      </c>
      <c r="C92" s="9" t="str">
        <f t="shared" ca="1" si="8"/>
        <v>muž</v>
      </c>
      <c r="D92" s="9">
        <f t="shared" ca="1" si="9"/>
        <v>183</v>
      </c>
      <c r="E92" s="8" t="str">
        <f t="shared" ca="1" si="10"/>
        <v>ano</v>
      </c>
    </row>
    <row r="93" spans="1:5">
      <c r="A93" s="9">
        <v>91</v>
      </c>
      <c r="B93" s="9">
        <f t="shared" ca="1" si="7"/>
        <v>176</v>
      </c>
      <c r="C93" s="9" t="str">
        <f t="shared" ca="1" si="8"/>
        <v>muž</v>
      </c>
      <c r="D93" s="9">
        <f t="shared" ca="1" si="9"/>
        <v>176</v>
      </c>
      <c r="E93" s="8" t="str">
        <f t="shared" ca="1" si="10"/>
        <v>ano</v>
      </c>
    </row>
    <row r="94" spans="1:5">
      <c r="A94" s="9">
        <v>92</v>
      </c>
      <c r="B94" s="9">
        <f t="shared" ca="1" si="7"/>
        <v>198</v>
      </c>
      <c r="C94" s="9" t="str">
        <f t="shared" ca="1" si="8"/>
        <v>muž</v>
      </c>
      <c r="D94" s="9">
        <f t="shared" ca="1" si="9"/>
        <v>198</v>
      </c>
      <c r="E94" s="8" t="str">
        <f t="shared" ca="1" si="10"/>
        <v>ne</v>
      </c>
    </row>
    <row r="95" spans="1:5">
      <c r="A95" s="9">
        <v>93</v>
      </c>
      <c r="B95" s="9">
        <f t="shared" ca="1" si="7"/>
        <v>170</v>
      </c>
      <c r="C95" s="9" t="str">
        <f t="shared" ca="1" si="8"/>
        <v>žena</v>
      </c>
      <c r="D95" s="9">
        <f t="shared" ca="1" si="9"/>
        <v>170</v>
      </c>
      <c r="E95" s="8" t="str">
        <f t="shared" ca="1" si="10"/>
        <v>ano</v>
      </c>
    </row>
    <row r="96" spans="1:5">
      <c r="A96" s="9">
        <v>94</v>
      </c>
      <c r="B96" s="9">
        <f t="shared" ca="1" si="7"/>
        <v>191</v>
      </c>
      <c r="C96" s="9" t="str">
        <f t="shared" ca="1" si="8"/>
        <v>muž</v>
      </c>
      <c r="D96" s="9">
        <f t="shared" ca="1" si="9"/>
        <v>191</v>
      </c>
      <c r="E96" s="8" t="str">
        <f t="shared" ca="1" si="10"/>
        <v>ne</v>
      </c>
    </row>
    <row r="97" spans="1:5">
      <c r="A97" s="9">
        <v>95</v>
      </c>
      <c r="B97" s="9">
        <f t="shared" ca="1" si="7"/>
        <v>160</v>
      </c>
      <c r="C97" s="9" t="str">
        <f t="shared" ca="1" si="8"/>
        <v>žena</v>
      </c>
      <c r="D97" s="9">
        <f t="shared" ca="1" si="9"/>
        <v>160</v>
      </c>
      <c r="E97" s="8" t="str">
        <f t="shared" ca="1" si="10"/>
        <v>ne</v>
      </c>
    </row>
    <row r="98" spans="1:5">
      <c r="A98" s="9">
        <v>96</v>
      </c>
      <c r="B98" s="9">
        <f t="shared" ca="1" si="7"/>
        <v>163</v>
      </c>
      <c r="C98" s="9" t="str">
        <f t="shared" ca="1" si="8"/>
        <v>žena</v>
      </c>
      <c r="D98" s="9">
        <f t="shared" ca="1" si="9"/>
        <v>163</v>
      </c>
      <c r="E98" s="8" t="str">
        <f t="shared" ca="1" si="10"/>
        <v>ano</v>
      </c>
    </row>
    <row r="99" spans="1:5">
      <c r="A99" s="9">
        <v>97</v>
      </c>
      <c r="B99" s="9">
        <f t="shared" ref="B99:B125" ca="1" si="11">ROUND(50*RAND()+150,0)</f>
        <v>164</v>
      </c>
      <c r="C99" s="9" t="str">
        <f t="shared" ref="C99:C125" ca="1" si="12">IF(B99&gt;=171,"muž","žena")</f>
        <v>žena</v>
      </c>
      <c r="D99" s="9">
        <f t="shared" ref="D99:D125" ca="1" si="13">B99</f>
        <v>164</v>
      </c>
      <c r="E99" s="8" t="str">
        <f t="shared" ca="1" si="10"/>
        <v>ano</v>
      </c>
    </row>
    <row r="100" spans="1:5">
      <c r="A100" s="9">
        <v>98</v>
      </c>
      <c r="B100" s="9">
        <f t="shared" ca="1" si="11"/>
        <v>174</v>
      </c>
      <c r="C100" s="9" t="str">
        <f t="shared" ca="1" si="12"/>
        <v>muž</v>
      </c>
      <c r="D100" s="9">
        <f t="shared" ca="1" si="13"/>
        <v>174</v>
      </c>
      <c r="E100" s="8" t="str">
        <f t="shared" ca="1" si="10"/>
        <v>ano</v>
      </c>
    </row>
    <row r="101" spans="1:5">
      <c r="A101" s="9">
        <v>99</v>
      </c>
      <c r="B101" s="9">
        <f t="shared" ca="1" si="11"/>
        <v>181</v>
      </c>
      <c r="C101" s="9" t="str">
        <f t="shared" ca="1" si="12"/>
        <v>muž</v>
      </c>
      <c r="D101" s="9">
        <f t="shared" ca="1" si="13"/>
        <v>181</v>
      </c>
      <c r="E101" s="8" t="str">
        <f t="shared" ca="1" si="10"/>
        <v>ano</v>
      </c>
    </row>
    <row r="102" spans="1:5">
      <c r="A102" s="9">
        <v>100</v>
      </c>
      <c r="B102" s="9">
        <f t="shared" ca="1" si="11"/>
        <v>199</v>
      </c>
      <c r="C102" s="9" t="str">
        <f t="shared" ca="1" si="12"/>
        <v>muž</v>
      </c>
      <c r="D102" s="9">
        <f t="shared" ca="1" si="13"/>
        <v>199</v>
      </c>
      <c r="E102" s="8" t="str">
        <f t="shared" ca="1" si="10"/>
        <v>ne</v>
      </c>
    </row>
    <row r="103" spans="1:5">
      <c r="A103" s="9">
        <v>101</v>
      </c>
      <c r="B103" s="9">
        <f t="shared" ca="1" si="11"/>
        <v>168</v>
      </c>
      <c r="C103" s="9" t="str">
        <f t="shared" ca="1" si="12"/>
        <v>žena</v>
      </c>
      <c r="D103" s="9">
        <f t="shared" ca="1" si="13"/>
        <v>168</v>
      </c>
      <c r="E103" s="8" t="str">
        <f t="shared" ca="1" si="10"/>
        <v>ano</v>
      </c>
    </row>
    <row r="104" spans="1:5">
      <c r="A104" s="9">
        <v>102</v>
      </c>
      <c r="B104" s="9">
        <f t="shared" ca="1" si="11"/>
        <v>174</v>
      </c>
      <c r="C104" s="9" t="str">
        <f t="shared" ca="1" si="12"/>
        <v>muž</v>
      </c>
      <c r="D104" s="9">
        <f t="shared" ca="1" si="13"/>
        <v>174</v>
      </c>
      <c r="E104" s="8" t="str">
        <f t="shared" ca="1" si="10"/>
        <v>ano</v>
      </c>
    </row>
    <row r="105" spans="1:5">
      <c r="A105" s="9">
        <v>103</v>
      </c>
      <c r="B105" s="9">
        <f t="shared" ca="1" si="11"/>
        <v>184</v>
      </c>
      <c r="C105" s="9" t="str">
        <f t="shared" ca="1" si="12"/>
        <v>muž</v>
      </c>
      <c r="D105" s="9">
        <f t="shared" ca="1" si="13"/>
        <v>184</v>
      </c>
      <c r="E105" s="8" t="str">
        <f t="shared" ca="1" si="10"/>
        <v>ano</v>
      </c>
    </row>
    <row r="106" spans="1:5">
      <c r="A106" s="9">
        <v>104</v>
      </c>
      <c r="B106" s="9">
        <f t="shared" ca="1" si="11"/>
        <v>151</v>
      </c>
      <c r="C106" s="9" t="str">
        <f t="shared" ca="1" si="12"/>
        <v>žena</v>
      </c>
      <c r="D106" s="9">
        <f t="shared" ca="1" si="13"/>
        <v>151</v>
      </c>
      <c r="E106" s="8" t="str">
        <f t="shared" ca="1" si="10"/>
        <v>ne</v>
      </c>
    </row>
    <row r="107" spans="1:5">
      <c r="A107" s="9">
        <v>105</v>
      </c>
      <c r="B107" s="9">
        <f t="shared" ca="1" si="11"/>
        <v>171</v>
      </c>
      <c r="C107" s="9" t="str">
        <f t="shared" ca="1" si="12"/>
        <v>muž</v>
      </c>
      <c r="D107" s="9">
        <f t="shared" ca="1" si="13"/>
        <v>171</v>
      </c>
      <c r="E107" s="8" t="str">
        <f t="shared" ca="1" si="10"/>
        <v>ano</v>
      </c>
    </row>
    <row r="108" spans="1:5">
      <c r="A108" s="9">
        <v>106</v>
      </c>
      <c r="B108" s="9">
        <f t="shared" ca="1" si="11"/>
        <v>172</v>
      </c>
      <c r="C108" s="9" t="str">
        <f t="shared" ca="1" si="12"/>
        <v>muž</v>
      </c>
      <c r="D108" s="9">
        <f t="shared" ca="1" si="13"/>
        <v>172</v>
      </c>
      <c r="E108" s="8" t="str">
        <f t="shared" ca="1" si="10"/>
        <v>ano</v>
      </c>
    </row>
    <row r="109" spans="1:5">
      <c r="A109" s="9">
        <v>107</v>
      </c>
      <c r="B109" s="9">
        <f t="shared" ca="1" si="11"/>
        <v>152</v>
      </c>
      <c r="C109" s="9" t="str">
        <f t="shared" ca="1" si="12"/>
        <v>žena</v>
      </c>
      <c r="D109" s="9">
        <f t="shared" ca="1" si="13"/>
        <v>152</v>
      </c>
      <c r="E109" s="8" t="str">
        <f t="shared" ca="1" si="10"/>
        <v>ne</v>
      </c>
    </row>
    <row r="110" spans="1:5">
      <c r="A110" s="9">
        <v>108</v>
      </c>
      <c r="B110" s="9">
        <f t="shared" ca="1" si="11"/>
        <v>157</v>
      </c>
      <c r="C110" s="9" t="str">
        <f t="shared" ca="1" si="12"/>
        <v>žena</v>
      </c>
      <c r="D110" s="9">
        <f t="shared" ca="1" si="13"/>
        <v>157</v>
      </c>
      <c r="E110" s="8" t="str">
        <f t="shared" ca="1" si="10"/>
        <v>ne</v>
      </c>
    </row>
    <row r="111" spans="1:5">
      <c r="A111" s="9">
        <v>109</v>
      </c>
      <c r="B111" s="9">
        <f t="shared" ca="1" si="11"/>
        <v>182</v>
      </c>
      <c r="C111" s="9" t="str">
        <f t="shared" ca="1" si="12"/>
        <v>muž</v>
      </c>
      <c r="D111" s="9">
        <f t="shared" ca="1" si="13"/>
        <v>182</v>
      </c>
      <c r="E111" s="8" t="str">
        <f t="shared" ca="1" si="10"/>
        <v>ano</v>
      </c>
    </row>
    <row r="112" spans="1:5">
      <c r="A112" s="9">
        <v>110</v>
      </c>
      <c r="B112" s="9">
        <f t="shared" ca="1" si="11"/>
        <v>163</v>
      </c>
      <c r="C112" s="9" t="str">
        <f t="shared" ca="1" si="12"/>
        <v>žena</v>
      </c>
      <c r="D112" s="9">
        <f t="shared" ca="1" si="13"/>
        <v>163</v>
      </c>
      <c r="E112" s="8" t="str">
        <f t="shared" ca="1" si="10"/>
        <v>ano</v>
      </c>
    </row>
    <row r="113" spans="1:5">
      <c r="A113" s="9">
        <v>111</v>
      </c>
      <c r="B113" s="9">
        <f t="shared" ca="1" si="11"/>
        <v>176</v>
      </c>
      <c r="C113" s="9" t="str">
        <f t="shared" ca="1" si="12"/>
        <v>muž</v>
      </c>
      <c r="D113" s="9">
        <f t="shared" ca="1" si="13"/>
        <v>176</v>
      </c>
      <c r="E113" s="8" t="str">
        <f t="shared" ca="1" si="10"/>
        <v>ano</v>
      </c>
    </row>
    <row r="114" spans="1:5">
      <c r="A114" s="9">
        <v>112</v>
      </c>
      <c r="B114" s="9">
        <f t="shared" ca="1" si="11"/>
        <v>197</v>
      </c>
      <c r="C114" s="9" t="str">
        <f t="shared" ca="1" si="12"/>
        <v>muž</v>
      </c>
      <c r="D114" s="9">
        <f t="shared" ca="1" si="13"/>
        <v>197</v>
      </c>
      <c r="E114" s="8" t="str">
        <f t="shared" ca="1" si="10"/>
        <v>ne</v>
      </c>
    </row>
    <row r="115" spans="1:5">
      <c r="A115" s="9">
        <v>113</v>
      </c>
      <c r="B115" s="9">
        <f t="shared" ca="1" si="11"/>
        <v>175</v>
      </c>
      <c r="C115" s="9" t="str">
        <f t="shared" ca="1" si="12"/>
        <v>muž</v>
      </c>
      <c r="D115" s="9">
        <f t="shared" ca="1" si="13"/>
        <v>175</v>
      </c>
      <c r="E115" s="8" t="str">
        <f t="shared" ca="1" si="10"/>
        <v>ano</v>
      </c>
    </row>
    <row r="116" spans="1:5">
      <c r="A116" s="9">
        <v>114</v>
      </c>
      <c r="B116" s="9">
        <f t="shared" ca="1" si="11"/>
        <v>188</v>
      </c>
      <c r="C116" s="9" t="str">
        <f t="shared" ca="1" si="12"/>
        <v>muž</v>
      </c>
      <c r="D116" s="9">
        <f t="shared" ca="1" si="13"/>
        <v>188</v>
      </c>
      <c r="E116" s="8" t="str">
        <f t="shared" ca="1" si="10"/>
        <v>ano</v>
      </c>
    </row>
    <row r="117" spans="1:5">
      <c r="A117" s="9">
        <v>115</v>
      </c>
      <c r="B117" s="9">
        <f t="shared" ca="1" si="11"/>
        <v>151</v>
      </c>
      <c r="C117" s="9" t="str">
        <f t="shared" ca="1" si="12"/>
        <v>žena</v>
      </c>
      <c r="D117" s="9">
        <f t="shared" ca="1" si="13"/>
        <v>151</v>
      </c>
      <c r="E117" s="8" t="str">
        <f t="shared" ca="1" si="10"/>
        <v>ne</v>
      </c>
    </row>
    <row r="118" spans="1:5">
      <c r="A118" s="9">
        <v>116</v>
      </c>
      <c r="B118" s="9">
        <f t="shared" ca="1" si="11"/>
        <v>152</v>
      </c>
      <c r="C118" s="9" t="str">
        <f t="shared" ca="1" si="12"/>
        <v>žena</v>
      </c>
      <c r="D118" s="9">
        <f t="shared" ca="1" si="13"/>
        <v>152</v>
      </c>
      <c r="E118" s="8" t="str">
        <f t="shared" ca="1" si="10"/>
        <v>ne</v>
      </c>
    </row>
    <row r="119" spans="1:5">
      <c r="A119" s="9">
        <v>117</v>
      </c>
      <c r="B119" s="9">
        <f t="shared" ca="1" si="11"/>
        <v>158</v>
      </c>
      <c r="C119" s="9" t="str">
        <f t="shared" ca="1" si="12"/>
        <v>žena</v>
      </c>
      <c r="D119" s="9">
        <f t="shared" ca="1" si="13"/>
        <v>158</v>
      </c>
      <c r="E119" s="8" t="str">
        <f t="shared" ca="1" si="10"/>
        <v>ne</v>
      </c>
    </row>
    <row r="120" spans="1:5">
      <c r="A120" s="9">
        <v>118</v>
      </c>
      <c r="B120" s="9">
        <f t="shared" ca="1" si="11"/>
        <v>169</v>
      </c>
      <c r="C120" s="9" t="str">
        <f t="shared" ca="1" si="12"/>
        <v>žena</v>
      </c>
      <c r="D120" s="9">
        <f t="shared" ca="1" si="13"/>
        <v>169</v>
      </c>
      <c r="E120" s="8" t="str">
        <f t="shared" ca="1" si="10"/>
        <v>ano</v>
      </c>
    </row>
    <row r="121" spans="1:5">
      <c r="A121" s="9">
        <v>119</v>
      </c>
      <c r="B121" s="9">
        <f t="shared" ca="1" si="11"/>
        <v>170</v>
      </c>
      <c r="C121" s="9" t="str">
        <f t="shared" ca="1" si="12"/>
        <v>žena</v>
      </c>
      <c r="D121" s="9">
        <f t="shared" ca="1" si="13"/>
        <v>170</v>
      </c>
      <c r="E121" s="8" t="str">
        <f t="shared" ca="1" si="10"/>
        <v>ano</v>
      </c>
    </row>
    <row r="122" spans="1:5">
      <c r="A122" s="9">
        <v>120</v>
      </c>
      <c r="B122" s="9">
        <f t="shared" ca="1" si="11"/>
        <v>179</v>
      </c>
      <c r="C122" s="9" t="str">
        <f t="shared" ca="1" si="12"/>
        <v>muž</v>
      </c>
      <c r="D122" s="9">
        <f t="shared" ca="1" si="13"/>
        <v>179</v>
      </c>
      <c r="E122" s="8" t="str">
        <f t="shared" ca="1" si="10"/>
        <v>ano</v>
      </c>
    </row>
    <row r="123" spans="1:5">
      <c r="A123" s="9">
        <v>121</v>
      </c>
      <c r="B123" s="9">
        <f t="shared" ca="1" si="11"/>
        <v>192</v>
      </c>
      <c r="C123" s="9" t="str">
        <f t="shared" ca="1" si="12"/>
        <v>muž</v>
      </c>
      <c r="D123" s="9">
        <f t="shared" ca="1" si="13"/>
        <v>192</v>
      </c>
      <c r="E123" s="8" t="str">
        <f t="shared" ca="1" si="10"/>
        <v>ne</v>
      </c>
    </row>
    <row r="124" spans="1:5">
      <c r="A124" s="9">
        <v>122</v>
      </c>
      <c r="B124" s="9">
        <f t="shared" ca="1" si="11"/>
        <v>182</v>
      </c>
      <c r="C124" s="9" t="str">
        <f t="shared" ca="1" si="12"/>
        <v>muž</v>
      </c>
      <c r="D124" s="9">
        <f t="shared" ca="1" si="13"/>
        <v>182</v>
      </c>
      <c r="E124" s="8" t="str">
        <f t="shared" ca="1" si="10"/>
        <v>ano</v>
      </c>
    </row>
    <row r="125" spans="1:5">
      <c r="A125" s="9">
        <v>123</v>
      </c>
      <c r="B125" s="9">
        <f t="shared" ca="1" si="11"/>
        <v>191</v>
      </c>
      <c r="C125" s="9" t="str">
        <f t="shared" ca="1" si="12"/>
        <v>muž</v>
      </c>
      <c r="D125" s="9">
        <f t="shared" ca="1" si="13"/>
        <v>191</v>
      </c>
      <c r="E125" s="8" t="str">
        <f t="shared" ca="1" si="10"/>
        <v>ne</v>
      </c>
    </row>
  </sheetData>
  <conditionalFormatting sqref="E3:E125">
    <cfRule type="containsText" dxfId="2" priority="1" operator="containsText" text="ne">
      <formula>NOT(ISERROR(SEARCH("ne",E3)))</formula>
    </cfRule>
    <cfRule type="containsText" dxfId="1" priority="2" operator="containsText" text="ano">
      <formula>NOT(ISERROR(SEARCH("ano",E3)))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9"/>
  <sheetViews>
    <sheetView workbookViewId="0">
      <selection activeCell="C16" sqref="C16"/>
    </sheetView>
  </sheetViews>
  <sheetFormatPr baseColWidth="10" defaultColWidth="8.83203125" defaultRowHeight="13"/>
  <cols>
    <col min="2" max="2" width="20.5" customWidth="1"/>
    <col min="3" max="3" width="22.6640625" customWidth="1"/>
    <col min="4" max="4" width="15.6640625" customWidth="1"/>
    <col min="5" max="5" width="24.83203125" customWidth="1"/>
    <col min="6" max="6" width="23.1640625" customWidth="1"/>
    <col min="7" max="7" width="17.33203125" customWidth="1"/>
    <col min="8" max="8" width="13.83203125" customWidth="1"/>
    <col min="9" max="9" width="16" customWidth="1"/>
    <col min="10" max="10" width="17.83203125" customWidth="1"/>
  </cols>
  <sheetData>
    <row r="1" spans="2:8" ht="14" thickBot="1"/>
    <row r="2" spans="2:8" ht="16">
      <c r="B2" s="2" t="s">
        <v>71</v>
      </c>
      <c r="C2" s="3" t="s">
        <v>0</v>
      </c>
      <c r="D2" s="4" t="s">
        <v>1</v>
      </c>
      <c r="E2" s="5" t="s">
        <v>0</v>
      </c>
      <c r="F2" s="1"/>
      <c r="G2" s="1"/>
      <c r="H2" s="1"/>
    </row>
    <row r="3" spans="2:8" ht="17" thickBot="1">
      <c r="B3" s="56" t="str">
        <f ca="1">IF(RAND()&lt;0.33,G4,IF(RAND()&lt;0.7,G5,G6))</f>
        <v>platina</v>
      </c>
      <c r="C3" s="55">
        <f ca="1">RAND()*200+100</f>
        <v>142.7977649999749</v>
      </c>
      <c r="D3" s="54" t="str">
        <f ca="1">IF(RAND()&lt;0.33,G7,IF(RAND()&lt;0.7,G8,"není"))</f>
        <v>diamant</v>
      </c>
      <c r="E3" s="53">
        <f ca="1">IF(D3="není","není",RAND()*20+10)</f>
        <v>14.444781713584131</v>
      </c>
      <c r="F3" s="1"/>
      <c r="G3" s="72" t="s">
        <v>2</v>
      </c>
      <c r="H3" s="72"/>
    </row>
    <row r="4" spans="2:8" ht="16">
      <c r="B4" s="1"/>
      <c r="C4" s="1"/>
      <c r="D4" s="1"/>
      <c r="E4" s="1"/>
      <c r="F4" s="73" t="s">
        <v>71</v>
      </c>
      <c r="G4" s="52" t="s">
        <v>3</v>
      </c>
      <c r="H4" s="51">
        <v>716.4</v>
      </c>
    </row>
    <row r="5" spans="2:8" ht="16">
      <c r="B5" s="1"/>
      <c r="C5" s="1"/>
      <c r="D5" s="1"/>
      <c r="E5" s="1"/>
      <c r="F5" s="73"/>
      <c r="G5" s="52" t="s">
        <v>4</v>
      </c>
      <c r="H5" s="51">
        <v>255</v>
      </c>
    </row>
    <row r="6" spans="2:8" ht="16">
      <c r="B6" s="1"/>
      <c r="C6" s="1"/>
      <c r="D6" s="1"/>
      <c r="E6" s="1"/>
      <c r="F6" s="73"/>
      <c r="G6" s="52" t="s">
        <v>8</v>
      </c>
      <c r="H6" s="51">
        <v>818</v>
      </c>
    </row>
    <row r="7" spans="2:8" ht="12.75" customHeight="1">
      <c r="B7" s="1"/>
      <c r="C7" s="1"/>
      <c r="D7" s="1"/>
      <c r="E7" s="1"/>
      <c r="F7" s="74" t="s">
        <v>1</v>
      </c>
      <c r="G7" s="50" t="s">
        <v>5</v>
      </c>
      <c r="H7" s="49">
        <v>170.8</v>
      </c>
    </row>
    <row r="8" spans="2:8" ht="17" thickBot="1">
      <c r="B8" s="1"/>
      <c r="C8" s="1"/>
      <c r="D8" s="1"/>
      <c r="E8" s="1"/>
      <c r="F8" s="74"/>
      <c r="G8" s="50" t="s">
        <v>6</v>
      </c>
      <c r="H8" s="49">
        <v>658</v>
      </c>
    </row>
    <row r="9" spans="2:8">
      <c r="B9" s="1"/>
      <c r="C9" s="40"/>
      <c r="E9" s="1"/>
      <c r="F9" s="1"/>
      <c r="G9" s="1"/>
      <c r="H9" s="1"/>
    </row>
    <row r="10" spans="2:8">
      <c r="B10" s="1"/>
      <c r="C10" s="39"/>
      <c r="E10" s="1"/>
      <c r="F10" s="1"/>
      <c r="G10" s="1"/>
      <c r="H10" s="1"/>
    </row>
    <row r="11" spans="2:8">
      <c r="B11" s="1"/>
      <c r="C11" s="39"/>
      <c r="E11" s="1"/>
      <c r="F11" s="1"/>
      <c r="G11" s="1"/>
      <c r="H11" s="1"/>
    </row>
    <row r="12" spans="2:8">
      <c r="B12" s="1"/>
      <c r="C12" s="39"/>
      <c r="E12" s="1"/>
      <c r="F12" s="1"/>
      <c r="G12" s="1"/>
      <c r="H12" s="1"/>
    </row>
    <row r="13" spans="2:8" ht="14" thickBot="1">
      <c r="B13" s="1"/>
      <c r="C13" s="38"/>
      <c r="E13" s="1"/>
      <c r="F13" s="1"/>
      <c r="G13" s="1"/>
      <c r="H13" s="1"/>
    </row>
    <row r="14" spans="2:8">
      <c r="B14" s="1"/>
      <c r="C14" s="6"/>
      <c r="D14" s="6"/>
      <c r="E14" s="1"/>
      <c r="F14" s="1"/>
      <c r="G14" s="1"/>
      <c r="H14" s="1"/>
    </row>
    <row r="15" spans="2:8" ht="14" thickBot="1">
      <c r="B15" s="1"/>
      <c r="C15" s="6"/>
      <c r="D15" s="6"/>
      <c r="E15" s="1"/>
      <c r="F15" s="1"/>
      <c r="G15" s="1"/>
      <c r="H15" s="1"/>
    </row>
    <row r="16" spans="2:8" ht="21.75" customHeight="1" thickBot="1">
      <c r="B16" s="7" t="s">
        <v>7</v>
      </c>
      <c r="C16" s="58">
        <f ca="1">IF(AND($B$3=$G$4,$D$3=$G$7),($C$3*$H$4)+($E$3*$H$7),IF(AND($B$3=$G$4,$D$3=$G$8),($C$3*$H$4)+($E$3*$H$8),IF(AND($B$3=$G$5,$D$3=$G$7),($C$3*$H$5)+($E$3*$H$7),IF(AND($B$3=$G$5,$D$3=$G$8),($C$3*$H$5)+($E$3*$H$8),IF(AND($B$3=$G$6,$D$3=$G$7),($C$3*$H$6)+($E$3*$H$7),IF(AND($B$3=$G$6,$D$3=$G$8),($C$3*$H$6)+($E$3*$H$8),IF(AND($B$3=$G$4,$D$3="není"),$C$3*$H$4,IF(AND($B$3=$G$5,$D$3="není"),$C$3*H5,IF(AND($B$3=$G$6,$D$3="není"),$C$3*H6)))))))))</f>
        <v>126313.23813751784</v>
      </c>
      <c r="E16" s="1"/>
      <c r="F16" s="1"/>
      <c r="G16" s="1"/>
      <c r="H16" s="1"/>
    </row>
    <row r="17" spans="2:8">
      <c r="B17" s="1"/>
      <c r="C17" s="1"/>
      <c r="D17" s="1"/>
      <c r="E17" s="1"/>
      <c r="F17" s="1"/>
      <c r="G17" s="1"/>
      <c r="H17" s="1"/>
    </row>
    <row r="18" spans="2:8">
      <c r="B18" s="1"/>
      <c r="C18" s="1"/>
      <c r="D18" s="1"/>
      <c r="E18" s="1"/>
      <c r="F18" s="1"/>
      <c r="G18" s="1"/>
      <c r="H18" s="1"/>
    </row>
    <row r="19" spans="2:8">
      <c r="B19" s="1"/>
      <c r="C19" s="1"/>
      <c r="D19" s="1"/>
      <c r="E19" s="1"/>
      <c r="F19" s="1"/>
      <c r="G19" s="1"/>
      <c r="H19" s="1"/>
    </row>
  </sheetData>
  <mergeCells count="3">
    <mergeCell ref="G3:H3"/>
    <mergeCell ref="F4:F6"/>
    <mergeCell ref="F7:F8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C16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1"/>
  <sheetViews>
    <sheetView topLeftCell="C1" workbookViewId="0">
      <selection activeCell="M38" sqref="M38"/>
    </sheetView>
  </sheetViews>
  <sheetFormatPr baseColWidth="10" defaultColWidth="9.1640625" defaultRowHeight="15"/>
  <cols>
    <col min="1" max="1" width="8.6640625" style="8" hidden="1" customWidth="1"/>
    <col min="2" max="2" width="6.6640625" style="8" hidden="1" customWidth="1"/>
    <col min="3" max="3" width="14" style="8" customWidth="1"/>
    <col min="4" max="4" width="9.1640625" style="8"/>
    <col min="5" max="5" width="11.5" style="8" customWidth="1"/>
    <col min="6" max="6" width="17.6640625" style="9" customWidth="1"/>
    <col min="7" max="16384" width="9.1640625" style="8"/>
  </cols>
  <sheetData>
    <row r="1" spans="1:6">
      <c r="C1" s="11" t="s">
        <v>12</v>
      </c>
      <c r="D1" s="11" t="s">
        <v>11</v>
      </c>
      <c r="E1" s="11" t="s">
        <v>10</v>
      </c>
      <c r="F1" s="10" t="s">
        <v>9</v>
      </c>
    </row>
    <row r="2" spans="1:6">
      <c r="A2" s="8">
        <f t="shared" ref="A2:B21" ca="1" si="0">RAND()</f>
        <v>0.52315246564189433</v>
      </c>
      <c r="B2" s="8">
        <f t="shared" ca="1" si="0"/>
        <v>6.238071115171695E-2</v>
      </c>
      <c r="C2" s="8">
        <v>1</v>
      </c>
      <c r="D2" s="8">
        <f t="shared" ref="D2:D65" ca="1" si="1">CEILING(A2*35+60,0.2)</f>
        <v>78.400000000000006</v>
      </c>
      <c r="E2" s="8">
        <f t="shared" ref="E2:E65" ca="1" si="2">CEILING(B2*35+155,0.2)</f>
        <v>157.20000000000002</v>
      </c>
      <c r="F2" s="9" t="str">
        <f ca="1">IF(AND(E2&lt;176.1,D2&gt;67.9,D2&lt;79.1),"přijat",IF(AND(E2&lt;176.1,D2&gt;78.9,D2&lt;83.1),"zhubnout",IF(AND(E2&lt;176.1,D2&lt;68.1,D2&gt;63.9),"přibrat","nepřijat")))</f>
        <v>přijat</v>
      </c>
    </row>
    <row r="3" spans="1:6">
      <c r="A3" s="8">
        <f t="shared" ca="1" si="0"/>
        <v>0.58312696124328056</v>
      </c>
      <c r="B3" s="8">
        <f t="shared" ca="1" si="0"/>
        <v>0.60705515440204949</v>
      </c>
      <c r="C3" s="8">
        <v>2</v>
      </c>
      <c r="D3" s="8">
        <f t="shared" ca="1" si="1"/>
        <v>80.600000000000009</v>
      </c>
      <c r="E3" s="8">
        <f t="shared" ca="1" si="2"/>
        <v>176.4</v>
      </c>
      <c r="F3" s="9" t="str">
        <f t="shared" ref="F3:F66" ca="1" si="3">IF(AND(E3&lt;176.1,D3&gt;67.9,D3&lt;79.1),"přijat",IF(AND(E3&lt;176.1,D3&gt;78.9,D3&lt;83.1),"zhubnout",IF(AND(E3&lt;176.1,D3&lt;68.1,D3&gt;63.9),"přibrat","nepřijat")))</f>
        <v>nepřijat</v>
      </c>
    </row>
    <row r="4" spans="1:6">
      <c r="A4" s="8">
        <f t="shared" ca="1" si="0"/>
        <v>0.96266943985276054</v>
      </c>
      <c r="B4" s="8">
        <f t="shared" ca="1" si="0"/>
        <v>0.15201680789095029</v>
      </c>
      <c r="C4" s="8">
        <v>3</v>
      </c>
      <c r="D4" s="8">
        <f t="shared" ca="1" si="1"/>
        <v>93.800000000000011</v>
      </c>
      <c r="E4" s="8">
        <f t="shared" ca="1" si="2"/>
        <v>160.4</v>
      </c>
      <c r="F4" s="9" t="str">
        <f t="shared" ca="1" si="3"/>
        <v>nepřijat</v>
      </c>
    </row>
    <row r="5" spans="1:6">
      <c r="A5" s="8">
        <f t="shared" ca="1" si="0"/>
        <v>0.12702601967785287</v>
      </c>
      <c r="B5" s="8">
        <f t="shared" ca="1" si="0"/>
        <v>0.12098348088119737</v>
      </c>
      <c r="C5" s="8">
        <v>4</v>
      </c>
      <c r="D5" s="8">
        <f t="shared" ca="1" si="1"/>
        <v>64.600000000000009</v>
      </c>
      <c r="E5" s="8">
        <f t="shared" ca="1" si="2"/>
        <v>159.4</v>
      </c>
      <c r="F5" s="9" t="str">
        <f t="shared" ca="1" si="3"/>
        <v>přibrat</v>
      </c>
    </row>
    <row r="6" spans="1:6">
      <c r="A6" s="8">
        <f t="shared" ca="1" si="0"/>
        <v>0.29565467406709212</v>
      </c>
      <c r="B6" s="8">
        <f t="shared" ca="1" si="0"/>
        <v>2.5469274855828394E-2</v>
      </c>
      <c r="C6" s="8">
        <v>5</v>
      </c>
      <c r="D6" s="8">
        <f t="shared" ca="1" si="1"/>
        <v>70.400000000000006</v>
      </c>
      <c r="E6" s="8">
        <f t="shared" ca="1" si="2"/>
        <v>156</v>
      </c>
      <c r="F6" s="9" t="str">
        <f t="shared" ca="1" si="3"/>
        <v>přijat</v>
      </c>
    </row>
    <row r="7" spans="1:6">
      <c r="A7" s="8">
        <f t="shared" ca="1" si="0"/>
        <v>0.842952385718997</v>
      </c>
      <c r="B7" s="8">
        <f t="shared" ca="1" si="0"/>
        <v>0.89179322869911404</v>
      </c>
      <c r="C7" s="8">
        <v>6</v>
      </c>
      <c r="D7" s="8">
        <f t="shared" ca="1" si="1"/>
        <v>89.600000000000009</v>
      </c>
      <c r="E7" s="8">
        <f t="shared" ca="1" si="2"/>
        <v>186.4</v>
      </c>
      <c r="F7" s="9" t="str">
        <f t="shared" ca="1" si="3"/>
        <v>nepřijat</v>
      </c>
    </row>
    <row r="8" spans="1:6">
      <c r="A8" s="8">
        <f t="shared" ca="1" si="0"/>
        <v>1.3777279418648036E-2</v>
      </c>
      <c r="B8" s="8">
        <f t="shared" ca="1" si="0"/>
        <v>0.6198394024252446</v>
      </c>
      <c r="C8" s="8">
        <v>7</v>
      </c>
      <c r="D8" s="8">
        <f t="shared" ca="1" si="1"/>
        <v>60.6</v>
      </c>
      <c r="E8" s="8">
        <f t="shared" ca="1" si="2"/>
        <v>176.8</v>
      </c>
      <c r="F8" s="9" t="str">
        <f t="shared" ca="1" si="3"/>
        <v>nepřijat</v>
      </c>
    </row>
    <row r="9" spans="1:6">
      <c r="A9" s="8">
        <f t="shared" ca="1" si="0"/>
        <v>0.50508134640966851</v>
      </c>
      <c r="B9" s="8">
        <f t="shared" ca="1" si="0"/>
        <v>3.6007326217442404E-2</v>
      </c>
      <c r="C9" s="8">
        <v>8</v>
      </c>
      <c r="D9" s="8">
        <f t="shared" ca="1" si="1"/>
        <v>77.800000000000011</v>
      </c>
      <c r="E9" s="8">
        <f t="shared" ca="1" si="2"/>
        <v>156.4</v>
      </c>
      <c r="F9" s="9" t="str">
        <f t="shared" ca="1" si="3"/>
        <v>přijat</v>
      </c>
    </row>
    <row r="10" spans="1:6">
      <c r="A10" s="8">
        <f t="shared" ca="1" si="0"/>
        <v>0.15120876816529705</v>
      </c>
      <c r="B10" s="8">
        <f t="shared" ca="1" si="0"/>
        <v>0.48971618127123728</v>
      </c>
      <c r="C10" s="8">
        <v>9</v>
      </c>
      <c r="D10" s="8">
        <f t="shared" ca="1" si="1"/>
        <v>65.400000000000006</v>
      </c>
      <c r="E10" s="8">
        <f t="shared" ca="1" si="2"/>
        <v>172.20000000000002</v>
      </c>
      <c r="F10" s="9" t="str">
        <f t="shared" ca="1" si="3"/>
        <v>přibrat</v>
      </c>
    </row>
    <row r="11" spans="1:6">
      <c r="A11" s="8">
        <f t="shared" ca="1" si="0"/>
        <v>0.47345646731641378</v>
      </c>
      <c r="B11" s="8">
        <f t="shared" ca="1" si="0"/>
        <v>0.23966066962539101</v>
      </c>
      <c r="C11" s="8">
        <v>10</v>
      </c>
      <c r="D11" s="8">
        <f t="shared" ca="1" si="1"/>
        <v>76.600000000000009</v>
      </c>
      <c r="E11" s="8">
        <f t="shared" ca="1" si="2"/>
        <v>163.4</v>
      </c>
      <c r="F11" s="9" t="str">
        <f t="shared" ca="1" si="3"/>
        <v>přijat</v>
      </c>
    </row>
    <row r="12" spans="1:6">
      <c r="A12" s="8">
        <f t="shared" ca="1" si="0"/>
        <v>0.95595994448405464</v>
      </c>
      <c r="B12" s="8">
        <f t="shared" ca="1" si="0"/>
        <v>0.57855366242344697</v>
      </c>
      <c r="C12" s="8">
        <v>11</v>
      </c>
      <c r="D12" s="8">
        <f t="shared" ca="1" si="1"/>
        <v>93.600000000000009</v>
      </c>
      <c r="E12" s="8">
        <f t="shared" ca="1" si="2"/>
        <v>175.4</v>
      </c>
      <c r="F12" s="9" t="str">
        <f t="shared" ca="1" si="3"/>
        <v>nepřijat</v>
      </c>
    </row>
    <row r="13" spans="1:6">
      <c r="A13" s="8">
        <f t="shared" ca="1" si="0"/>
        <v>0.64008690397200596</v>
      </c>
      <c r="B13" s="8">
        <f t="shared" ca="1" si="0"/>
        <v>0.37410059942830531</v>
      </c>
      <c r="C13" s="8">
        <v>12</v>
      </c>
      <c r="D13" s="8">
        <f t="shared" ca="1" si="1"/>
        <v>82.600000000000009</v>
      </c>
      <c r="E13" s="8">
        <f t="shared" ca="1" si="2"/>
        <v>168.20000000000002</v>
      </c>
      <c r="F13" s="9" t="str">
        <f t="shared" ca="1" si="3"/>
        <v>zhubnout</v>
      </c>
    </row>
    <row r="14" spans="1:6">
      <c r="A14" s="8">
        <f t="shared" ca="1" si="0"/>
        <v>1.8530820766456957E-3</v>
      </c>
      <c r="B14" s="8">
        <f t="shared" ca="1" si="0"/>
        <v>0.33123461589440062</v>
      </c>
      <c r="C14" s="8">
        <v>13</v>
      </c>
      <c r="D14" s="8">
        <f t="shared" ca="1" si="1"/>
        <v>60.2</v>
      </c>
      <c r="E14" s="8">
        <f t="shared" ca="1" si="2"/>
        <v>166.60000000000002</v>
      </c>
      <c r="F14" s="9" t="str">
        <f t="shared" ca="1" si="3"/>
        <v>nepřijat</v>
      </c>
    </row>
    <row r="15" spans="1:6">
      <c r="A15" s="8">
        <f t="shared" ca="1" si="0"/>
        <v>0.33206285398867952</v>
      </c>
      <c r="B15" s="8">
        <f t="shared" ca="1" si="0"/>
        <v>0.51706611082979226</v>
      </c>
      <c r="C15" s="8">
        <v>14</v>
      </c>
      <c r="D15" s="8">
        <f t="shared" ca="1" si="1"/>
        <v>71.8</v>
      </c>
      <c r="E15" s="8">
        <f t="shared" ca="1" si="2"/>
        <v>173.20000000000002</v>
      </c>
      <c r="F15" s="9" t="str">
        <f t="shared" ca="1" si="3"/>
        <v>přijat</v>
      </c>
    </row>
    <row r="16" spans="1:6">
      <c r="A16" s="8">
        <f t="shared" ca="1" si="0"/>
        <v>0.28295898211285342</v>
      </c>
      <c r="B16" s="8">
        <f t="shared" ca="1" si="0"/>
        <v>7.6050951301790293E-2</v>
      </c>
      <c r="C16" s="8">
        <v>15</v>
      </c>
      <c r="D16" s="8">
        <f t="shared" ca="1" si="1"/>
        <v>70</v>
      </c>
      <c r="E16" s="8">
        <f t="shared" ca="1" si="2"/>
        <v>157.80000000000001</v>
      </c>
      <c r="F16" s="9" t="str">
        <f t="shared" ca="1" si="3"/>
        <v>přijat</v>
      </c>
    </row>
    <row r="17" spans="1:9">
      <c r="A17" s="8">
        <f t="shared" ca="1" si="0"/>
        <v>0.27713917947529298</v>
      </c>
      <c r="B17" s="8">
        <f t="shared" ca="1" si="0"/>
        <v>0.83098895691440844</v>
      </c>
      <c r="C17" s="8">
        <v>16</v>
      </c>
      <c r="D17" s="8">
        <f t="shared" ca="1" si="1"/>
        <v>69.8</v>
      </c>
      <c r="E17" s="8">
        <f t="shared" ca="1" si="2"/>
        <v>184.20000000000002</v>
      </c>
      <c r="F17" s="9" t="str">
        <f t="shared" ca="1" si="3"/>
        <v>nepřijat</v>
      </c>
    </row>
    <row r="18" spans="1:9">
      <c r="A18" s="8">
        <f t="shared" ca="1" si="0"/>
        <v>0.69450349761169128</v>
      </c>
      <c r="B18" s="8">
        <f t="shared" ca="1" si="0"/>
        <v>0.39127497973121983</v>
      </c>
      <c r="C18" s="8">
        <v>17</v>
      </c>
      <c r="D18" s="8">
        <f t="shared" ca="1" si="1"/>
        <v>84.4</v>
      </c>
      <c r="E18" s="8">
        <f t="shared" ca="1" si="2"/>
        <v>168.8</v>
      </c>
      <c r="F18" s="9" t="str">
        <f t="shared" ca="1" si="3"/>
        <v>nepřijat</v>
      </c>
    </row>
    <row r="19" spans="1:9">
      <c r="A19" s="8">
        <f t="shared" ca="1" si="0"/>
        <v>0.21148092670898644</v>
      </c>
      <c r="B19" s="8">
        <f t="shared" ca="1" si="0"/>
        <v>0.81510502886865843</v>
      </c>
      <c r="C19" s="8">
        <v>18</v>
      </c>
      <c r="D19" s="8">
        <f t="shared" ca="1" si="1"/>
        <v>67.600000000000009</v>
      </c>
      <c r="E19" s="8">
        <f t="shared" ca="1" si="2"/>
        <v>183.60000000000002</v>
      </c>
      <c r="F19" s="9" t="str">
        <f t="shared" ca="1" si="3"/>
        <v>nepřijat</v>
      </c>
    </row>
    <row r="20" spans="1:9">
      <c r="A20" s="8">
        <f t="shared" ca="1" si="0"/>
        <v>0.75665493494223823</v>
      </c>
      <c r="B20" s="8">
        <f t="shared" ca="1" si="0"/>
        <v>0.98873274894878171</v>
      </c>
      <c r="C20" s="8">
        <v>19</v>
      </c>
      <c r="D20" s="8">
        <f t="shared" ca="1" si="1"/>
        <v>86.600000000000009</v>
      </c>
      <c r="E20" s="8">
        <f t="shared" ca="1" si="2"/>
        <v>189.8</v>
      </c>
      <c r="F20" s="9" t="str">
        <f t="shared" ca="1" si="3"/>
        <v>nepřijat</v>
      </c>
    </row>
    <row r="21" spans="1:9">
      <c r="A21" s="8">
        <f t="shared" ca="1" si="0"/>
        <v>0.5712117678448343</v>
      </c>
      <c r="B21" s="8">
        <f t="shared" ca="1" si="0"/>
        <v>0.97612957473866857</v>
      </c>
      <c r="C21" s="8">
        <v>20</v>
      </c>
      <c r="D21" s="8">
        <f t="shared" ca="1" si="1"/>
        <v>80</v>
      </c>
      <c r="E21" s="8">
        <f t="shared" ca="1" si="2"/>
        <v>189.20000000000002</v>
      </c>
      <c r="F21" s="9" t="str">
        <f t="shared" ca="1" si="3"/>
        <v>nepřijat</v>
      </c>
    </row>
    <row r="22" spans="1:9">
      <c r="A22" s="8">
        <f t="shared" ref="A22:B41" ca="1" si="4">RAND()</f>
        <v>0.67801345504420607</v>
      </c>
      <c r="B22" s="8">
        <f t="shared" ca="1" si="4"/>
        <v>0.43494912734104374</v>
      </c>
      <c r="C22" s="8">
        <v>21</v>
      </c>
      <c r="D22" s="8">
        <f t="shared" ca="1" si="1"/>
        <v>83.800000000000011</v>
      </c>
      <c r="E22" s="8">
        <f t="shared" ca="1" si="2"/>
        <v>170.4</v>
      </c>
      <c r="F22" s="9" t="str">
        <f t="shared" ca="1" si="3"/>
        <v>nepřijat</v>
      </c>
      <c r="H22" s="57" t="s">
        <v>74</v>
      </c>
      <c r="I22" s="8">
        <f ca="1">COUNTIF(F2:F301,"přijat")</f>
        <v>57</v>
      </c>
    </row>
    <row r="23" spans="1:9">
      <c r="A23" s="8">
        <f t="shared" ca="1" si="4"/>
        <v>0.31150847623741018</v>
      </c>
      <c r="B23" s="8">
        <f t="shared" ca="1" si="4"/>
        <v>0.2695466975641867</v>
      </c>
      <c r="C23" s="8">
        <v>22</v>
      </c>
      <c r="D23" s="8">
        <f t="shared" ca="1" si="1"/>
        <v>71</v>
      </c>
      <c r="E23" s="8">
        <f t="shared" ca="1" si="2"/>
        <v>164.60000000000002</v>
      </c>
      <c r="F23" s="9" t="str">
        <f t="shared" ca="1" si="3"/>
        <v>přijat</v>
      </c>
      <c r="H23" s="57" t="s">
        <v>75</v>
      </c>
      <c r="I23" s="8">
        <f ca="1">COUNTIF(F2:F301,"nepřijat")</f>
        <v>205</v>
      </c>
    </row>
    <row r="24" spans="1:9">
      <c r="A24" s="8">
        <f t="shared" ca="1" si="4"/>
        <v>0.98064497869871325</v>
      </c>
      <c r="B24" s="8">
        <f t="shared" ca="1" si="4"/>
        <v>0.96517177809652033</v>
      </c>
      <c r="C24" s="8">
        <v>23</v>
      </c>
      <c r="D24" s="8">
        <f t="shared" ca="1" si="1"/>
        <v>94.4</v>
      </c>
      <c r="E24" s="8">
        <f t="shared" ca="1" si="2"/>
        <v>188.8</v>
      </c>
      <c r="F24" s="9" t="str">
        <f t="shared" ca="1" si="3"/>
        <v>nepřijat</v>
      </c>
      <c r="H24" s="57" t="s">
        <v>76</v>
      </c>
      <c r="I24" s="8">
        <f ca="1">COUNTIF(F2:F301,"přibrat")</f>
        <v>14</v>
      </c>
    </row>
    <row r="25" spans="1:9">
      <c r="A25" s="8">
        <f t="shared" ca="1" si="4"/>
        <v>0.20600896059784846</v>
      </c>
      <c r="B25" s="8">
        <f t="shared" ca="1" si="4"/>
        <v>0.96524370420239214</v>
      </c>
      <c r="C25" s="8">
        <v>24</v>
      </c>
      <c r="D25" s="8">
        <f t="shared" ca="1" si="1"/>
        <v>67.400000000000006</v>
      </c>
      <c r="E25" s="8">
        <f t="shared" ca="1" si="2"/>
        <v>188.8</v>
      </c>
      <c r="F25" s="9" t="str">
        <f t="shared" ca="1" si="3"/>
        <v>nepřijat</v>
      </c>
      <c r="H25" s="57" t="s">
        <v>77</v>
      </c>
      <c r="I25" s="57">
        <f ca="1">COUNTIF(F2:F301,"zhubnout")</f>
        <v>24</v>
      </c>
    </row>
    <row r="26" spans="1:9">
      <c r="A26" s="8">
        <f t="shared" ca="1" si="4"/>
        <v>0.45432696287570851</v>
      </c>
      <c r="B26" s="8">
        <f t="shared" ca="1" si="4"/>
        <v>0.33429375027599606</v>
      </c>
      <c r="C26" s="8">
        <v>25</v>
      </c>
      <c r="D26" s="8">
        <f t="shared" ca="1" si="1"/>
        <v>76</v>
      </c>
      <c r="E26" s="8">
        <f t="shared" ca="1" si="2"/>
        <v>166.8</v>
      </c>
      <c r="F26" s="9" t="str">
        <f t="shared" ca="1" si="3"/>
        <v>přijat</v>
      </c>
    </row>
    <row r="27" spans="1:9">
      <c r="A27" s="8">
        <f t="shared" ca="1" si="4"/>
        <v>0.83019041292512319</v>
      </c>
      <c r="B27" s="8">
        <f t="shared" ca="1" si="4"/>
        <v>0.59218411661834924</v>
      </c>
      <c r="C27" s="8">
        <v>26</v>
      </c>
      <c r="D27" s="8">
        <f t="shared" ca="1" si="1"/>
        <v>89.2</v>
      </c>
      <c r="E27" s="8">
        <f t="shared" ca="1" si="2"/>
        <v>175.8</v>
      </c>
      <c r="F27" s="9" t="str">
        <f t="shared" ca="1" si="3"/>
        <v>nepřijat</v>
      </c>
    </row>
    <row r="28" spans="1:9">
      <c r="A28" s="8">
        <f t="shared" ca="1" si="4"/>
        <v>0.18982057074609304</v>
      </c>
      <c r="B28" s="8">
        <f t="shared" ca="1" si="4"/>
        <v>0.23304020262552572</v>
      </c>
      <c r="C28" s="8">
        <v>27</v>
      </c>
      <c r="D28" s="8">
        <f t="shared" ca="1" si="1"/>
        <v>66.8</v>
      </c>
      <c r="E28" s="8">
        <f t="shared" ca="1" si="2"/>
        <v>163.20000000000002</v>
      </c>
      <c r="F28" s="9" t="str">
        <f t="shared" ca="1" si="3"/>
        <v>přibrat</v>
      </c>
    </row>
    <row r="29" spans="1:9">
      <c r="A29" s="8">
        <f t="shared" ca="1" si="4"/>
        <v>0.26666707183778204</v>
      </c>
      <c r="B29" s="8">
        <f t="shared" ca="1" si="4"/>
        <v>9.8702454660749894E-2</v>
      </c>
      <c r="C29" s="8">
        <v>28</v>
      </c>
      <c r="D29" s="8">
        <f t="shared" ca="1" si="1"/>
        <v>69.400000000000006</v>
      </c>
      <c r="E29" s="8">
        <f t="shared" ca="1" si="2"/>
        <v>158.60000000000002</v>
      </c>
      <c r="F29" s="9" t="str">
        <f t="shared" ca="1" si="3"/>
        <v>přijat</v>
      </c>
    </row>
    <row r="30" spans="1:9">
      <c r="A30" s="8">
        <f t="shared" ca="1" si="4"/>
        <v>0.49473700051636871</v>
      </c>
      <c r="B30" s="8">
        <f t="shared" ca="1" si="4"/>
        <v>0.47283564679004741</v>
      </c>
      <c r="C30" s="8">
        <v>29</v>
      </c>
      <c r="D30" s="8">
        <f t="shared" ca="1" si="1"/>
        <v>77.400000000000006</v>
      </c>
      <c r="E30" s="8">
        <f t="shared" ca="1" si="2"/>
        <v>171.60000000000002</v>
      </c>
      <c r="F30" s="9" t="str">
        <f t="shared" ca="1" si="3"/>
        <v>přijat</v>
      </c>
    </row>
    <row r="31" spans="1:9">
      <c r="A31" s="8">
        <f t="shared" ca="1" si="4"/>
        <v>3.6716620956686152E-2</v>
      </c>
      <c r="B31" s="8">
        <f t="shared" ca="1" si="4"/>
        <v>0.61538040778004943</v>
      </c>
      <c r="C31" s="8">
        <v>30</v>
      </c>
      <c r="D31" s="8">
        <f t="shared" ca="1" si="1"/>
        <v>61.400000000000006</v>
      </c>
      <c r="E31" s="8">
        <f t="shared" ca="1" si="2"/>
        <v>176.60000000000002</v>
      </c>
      <c r="F31" s="9" t="str">
        <f t="shared" ca="1" si="3"/>
        <v>nepřijat</v>
      </c>
    </row>
    <row r="32" spans="1:9">
      <c r="A32" s="8">
        <f t="shared" ca="1" si="4"/>
        <v>0.32628535527883928</v>
      </c>
      <c r="B32" s="8">
        <f t="shared" ca="1" si="4"/>
        <v>0.24877881788094325</v>
      </c>
      <c r="C32" s="8">
        <v>31</v>
      </c>
      <c r="D32" s="8">
        <f t="shared" ca="1" si="1"/>
        <v>71.600000000000009</v>
      </c>
      <c r="E32" s="8">
        <f t="shared" ca="1" si="2"/>
        <v>163.80000000000001</v>
      </c>
      <c r="F32" s="9" t="str">
        <f t="shared" ca="1" si="3"/>
        <v>přijat</v>
      </c>
    </row>
    <row r="33" spans="1:6">
      <c r="A33" s="8">
        <f t="shared" ca="1" si="4"/>
        <v>0.5449338426642325</v>
      </c>
      <c r="B33" s="8">
        <f t="shared" ca="1" si="4"/>
        <v>0.27289671911190849</v>
      </c>
      <c r="C33" s="8">
        <v>32</v>
      </c>
      <c r="D33" s="8">
        <f t="shared" ca="1" si="1"/>
        <v>79.2</v>
      </c>
      <c r="E33" s="8">
        <f t="shared" ca="1" si="2"/>
        <v>164.60000000000002</v>
      </c>
      <c r="F33" s="9" t="str">
        <f t="shared" ca="1" si="3"/>
        <v>zhubnout</v>
      </c>
    </row>
    <row r="34" spans="1:6">
      <c r="A34" s="8">
        <f t="shared" ca="1" si="4"/>
        <v>0.71709271519609363</v>
      </c>
      <c r="B34" s="8">
        <f t="shared" ca="1" si="4"/>
        <v>0.14046860729652999</v>
      </c>
      <c r="C34" s="8">
        <v>33</v>
      </c>
      <c r="D34" s="8">
        <f t="shared" ca="1" si="1"/>
        <v>85.2</v>
      </c>
      <c r="E34" s="8">
        <f t="shared" ca="1" si="2"/>
        <v>160</v>
      </c>
      <c r="F34" s="9" t="str">
        <f t="shared" ca="1" si="3"/>
        <v>nepřijat</v>
      </c>
    </row>
    <row r="35" spans="1:6">
      <c r="A35" s="8">
        <f t="shared" ca="1" si="4"/>
        <v>0.10514971599265255</v>
      </c>
      <c r="B35" s="8">
        <f t="shared" ca="1" si="4"/>
        <v>0.12954029048422144</v>
      </c>
      <c r="C35" s="8">
        <v>34</v>
      </c>
      <c r="D35" s="8">
        <f t="shared" ca="1" si="1"/>
        <v>63.800000000000004</v>
      </c>
      <c r="E35" s="8">
        <f t="shared" ca="1" si="2"/>
        <v>159.60000000000002</v>
      </c>
      <c r="F35" s="9" t="str">
        <f t="shared" ca="1" si="3"/>
        <v>nepřijat</v>
      </c>
    </row>
    <row r="36" spans="1:6">
      <c r="A36" s="8">
        <f t="shared" ca="1" si="4"/>
        <v>0.16785671517822531</v>
      </c>
      <c r="B36" s="8">
        <f t="shared" ca="1" si="4"/>
        <v>0.59285494435049013</v>
      </c>
      <c r="C36" s="8">
        <v>35</v>
      </c>
      <c r="D36" s="8">
        <f t="shared" ca="1" si="1"/>
        <v>66</v>
      </c>
      <c r="E36" s="8">
        <f t="shared" ca="1" si="2"/>
        <v>175.8</v>
      </c>
      <c r="F36" s="9" t="str">
        <f t="shared" ca="1" si="3"/>
        <v>přibrat</v>
      </c>
    </row>
    <row r="37" spans="1:6">
      <c r="A37" s="8">
        <f t="shared" ca="1" si="4"/>
        <v>2.4961367135927115E-2</v>
      </c>
      <c r="B37" s="8">
        <f t="shared" ca="1" si="4"/>
        <v>0.31611871509520229</v>
      </c>
      <c r="C37" s="8">
        <v>36</v>
      </c>
      <c r="D37" s="8">
        <f t="shared" ca="1" si="1"/>
        <v>61</v>
      </c>
      <c r="E37" s="8">
        <f t="shared" ca="1" si="2"/>
        <v>166.20000000000002</v>
      </c>
      <c r="F37" s="9" t="str">
        <f t="shared" ca="1" si="3"/>
        <v>nepřijat</v>
      </c>
    </row>
    <row r="38" spans="1:6">
      <c r="A38" s="8">
        <f t="shared" ca="1" si="4"/>
        <v>0.75026243174776286</v>
      </c>
      <c r="B38" s="8">
        <f t="shared" ca="1" si="4"/>
        <v>0.7754182481724019</v>
      </c>
      <c r="C38" s="8">
        <v>37</v>
      </c>
      <c r="D38" s="8">
        <f t="shared" ca="1" si="1"/>
        <v>86.4</v>
      </c>
      <c r="E38" s="8">
        <f t="shared" ca="1" si="2"/>
        <v>182.20000000000002</v>
      </c>
      <c r="F38" s="9" t="str">
        <f t="shared" ca="1" si="3"/>
        <v>nepřijat</v>
      </c>
    </row>
    <row r="39" spans="1:6">
      <c r="A39" s="8">
        <f t="shared" ca="1" si="4"/>
        <v>0.59912727395765275</v>
      </c>
      <c r="B39" s="8">
        <f t="shared" ca="1" si="4"/>
        <v>0.44861904822329746</v>
      </c>
      <c r="C39" s="8">
        <v>38</v>
      </c>
      <c r="D39" s="8">
        <f t="shared" ca="1" si="1"/>
        <v>81</v>
      </c>
      <c r="E39" s="8">
        <f t="shared" ca="1" si="2"/>
        <v>170.8</v>
      </c>
      <c r="F39" s="9" t="str">
        <f t="shared" ca="1" si="3"/>
        <v>zhubnout</v>
      </c>
    </row>
    <row r="40" spans="1:6">
      <c r="A40" s="8">
        <f t="shared" ca="1" si="4"/>
        <v>0.94191603176434557</v>
      </c>
      <c r="B40" s="8">
        <f t="shared" ca="1" si="4"/>
        <v>7.829608500352625E-2</v>
      </c>
      <c r="C40" s="8">
        <v>39</v>
      </c>
      <c r="D40" s="8">
        <f t="shared" ca="1" si="1"/>
        <v>93</v>
      </c>
      <c r="E40" s="8">
        <f t="shared" ca="1" si="2"/>
        <v>157.80000000000001</v>
      </c>
      <c r="F40" s="9" t="str">
        <f t="shared" ca="1" si="3"/>
        <v>nepřijat</v>
      </c>
    </row>
    <row r="41" spans="1:6">
      <c r="A41" s="8">
        <f t="shared" ca="1" si="4"/>
        <v>0.32010045959541888</v>
      </c>
      <c r="B41" s="8">
        <f t="shared" ca="1" si="4"/>
        <v>0.1059222911338239</v>
      </c>
      <c r="C41" s="8">
        <v>40</v>
      </c>
      <c r="D41" s="8">
        <f t="shared" ca="1" si="1"/>
        <v>71.400000000000006</v>
      </c>
      <c r="E41" s="8">
        <f t="shared" ca="1" si="2"/>
        <v>158.80000000000001</v>
      </c>
      <c r="F41" s="9" t="str">
        <f t="shared" ca="1" si="3"/>
        <v>přijat</v>
      </c>
    </row>
    <row r="42" spans="1:6">
      <c r="A42" s="8">
        <f t="shared" ref="A42:B61" ca="1" si="5">RAND()</f>
        <v>0.76538718371503478</v>
      </c>
      <c r="B42" s="8">
        <f t="shared" ca="1" si="5"/>
        <v>0.40925376934756019</v>
      </c>
      <c r="C42" s="8">
        <v>41</v>
      </c>
      <c r="D42" s="8">
        <f t="shared" ca="1" si="1"/>
        <v>86.800000000000011</v>
      </c>
      <c r="E42" s="8">
        <f t="shared" ca="1" si="2"/>
        <v>169.4</v>
      </c>
      <c r="F42" s="9" t="str">
        <f t="shared" ca="1" si="3"/>
        <v>nepřijat</v>
      </c>
    </row>
    <row r="43" spans="1:6">
      <c r="A43" s="8">
        <f t="shared" ca="1" si="5"/>
        <v>0.13334877855070537</v>
      </c>
      <c r="B43" s="8">
        <f t="shared" ca="1" si="5"/>
        <v>0.8749737873406559</v>
      </c>
      <c r="C43" s="8">
        <v>42</v>
      </c>
      <c r="D43" s="8">
        <f t="shared" ca="1" si="1"/>
        <v>64.8</v>
      </c>
      <c r="E43" s="8">
        <f t="shared" ca="1" si="2"/>
        <v>185.8</v>
      </c>
      <c r="F43" s="9" t="str">
        <f t="shared" ca="1" si="3"/>
        <v>nepřijat</v>
      </c>
    </row>
    <row r="44" spans="1:6">
      <c r="A44" s="8">
        <f t="shared" ca="1" si="5"/>
        <v>0.51028544895428962</v>
      </c>
      <c r="B44" s="8">
        <f t="shared" ca="1" si="5"/>
        <v>0.1810387782593591</v>
      </c>
      <c r="C44" s="8">
        <v>43</v>
      </c>
      <c r="D44" s="8">
        <f t="shared" ca="1" si="1"/>
        <v>78</v>
      </c>
      <c r="E44" s="8">
        <f t="shared" ca="1" si="2"/>
        <v>161.4</v>
      </c>
      <c r="F44" s="9" t="str">
        <f t="shared" ca="1" si="3"/>
        <v>přijat</v>
      </c>
    </row>
    <row r="45" spans="1:6">
      <c r="A45" s="8">
        <f t="shared" ca="1" si="5"/>
        <v>0.65260254487370162</v>
      </c>
      <c r="B45" s="8">
        <f t="shared" ca="1" si="5"/>
        <v>0.32729464739481096</v>
      </c>
      <c r="C45" s="8">
        <v>44</v>
      </c>
      <c r="D45" s="8">
        <f t="shared" ca="1" si="1"/>
        <v>83</v>
      </c>
      <c r="E45" s="8">
        <f t="shared" ca="1" si="2"/>
        <v>166.60000000000002</v>
      </c>
      <c r="F45" s="9" t="str">
        <f t="shared" ca="1" si="3"/>
        <v>zhubnout</v>
      </c>
    </row>
    <row r="46" spans="1:6">
      <c r="A46" s="8">
        <f t="shared" ca="1" si="5"/>
        <v>1.0120898363073061E-2</v>
      </c>
      <c r="B46" s="8">
        <f t="shared" ca="1" si="5"/>
        <v>0.53595085681038501</v>
      </c>
      <c r="C46" s="8">
        <v>45</v>
      </c>
      <c r="D46" s="8">
        <f t="shared" ca="1" si="1"/>
        <v>60.400000000000006</v>
      </c>
      <c r="E46" s="8">
        <f t="shared" ca="1" si="2"/>
        <v>173.8</v>
      </c>
      <c r="F46" s="9" t="str">
        <f t="shared" ca="1" si="3"/>
        <v>nepřijat</v>
      </c>
    </row>
    <row r="47" spans="1:6">
      <c r="A47" s="8">
        <f t="shared" ca="1" si="5"/>
        <v>0.18390462448350786</v>
      </c>
      <c r="B47" s="8">
        <f t="shared" ca="1" si="5"/>
        <v>0.72175205092985573</v>
      </c>
      <c r="C47" s="8">
        <v>46</v>
      </c>
      <c r="D47" s="8">
        <f t="shared" ca="1" si="1"/>
        <v>66.600000000000009</v>
      </c>
      <c r="E47" s="8">
        <f t="shared" ca="1" si="2"/>
        <v>180.4</v>
      </c>
      <c r="F47" s="9" t="str">
        <f t="shared" ca="1" si="3"/>
        <v>nepřijat</v>
      </c>
    </row>
    <row r="48" spans="1:6">
      <c r="A48" s="8">
        <f t="shared" ca="1" si="5"/>
        <v>3.6229225202109028E-3</v>
      </c>
      <c r="B48" s="8">
        <f t="shared" ca="1" si="5"/>
        <v>0.96721339128195494</v>
      </c>
      <c r="C48" s="8">
        <v>47</v>
      </c>
      <c r="D48" s="8">
        <f t="shared" ca="1" si="1"/>
        <v>60.2</v>
      </c>
      <c r="E48" s="8">
        <f t="shared" ca="1" si="2"/>
        <v>189</v>
      </c>
      <c r="F48" s="9" t="str">
        <f t="shared" ca="1" si="3"/>
        <v>nepřijat</v>
      </c>
    </row>
    <row r="49" spans="1:6">
      <c r="A49" s="8">
        <f t="shared" ca="1" si="5"/>
        <v>0.18938532606586989</v>
      </c>
      <c r="B49" s="8">
        <f t="shared" ca="1" si="5"/>
        <v>0.9704796488323858</v>
      </c>
      <c r="C49" s="8">
        <v>48</v>
      </c>
      <c r="D49" s="8">
        <f t="shared" ca="1" si="1"/>
        <v>66.8</v>
      </c>
      <c r="E49" s="8">
        <f t="shared" ca="1" si="2"/>
        <v>189</v>
      </c>
      <c r="F49" s="9" t="str">
        <f t="shared" ca="1" si="3"/>
        <v>nepřijat</v>
      </c>
    </row>
    <row r="50" spans="1:6">
      <c r="A50" s="8">
        <f t="shared" ca="1" si="5"/>
        <v>0.46961918241631739</v>
      </c>
      <c r="B50" s="8">
        <f t="shared" ca="1" si="5"/>
        <v>0.91542323017227745</v>
      </c>
      <c r="C50" s="8">
        <v>49</v>
      </c>
      <c r="D50" s="8">
        <f t="shared" ca="1" si="1"/>
        <v>76.600000000000009</v>
      </c>
      <c r="E50" s="8">
        <f t="shared" ca="1" si="2"/>
        <v>187.20000000000002</v>
      </c>
      <c r="F50" s="9" t="str">
        <f t="shared" ca="1" si="3"/>
        <v>nepřijat</v>
      </c>
    </row>
    <row r="51" spans="1:6">
      <c r="A51" s="8">
        <f t="shared" ca="1" si="5"/>
        <v>0.48708082057592206</v>
      </c>
      <c r="B51" s="8">
        <f t="shared" ca="1" si="5"/>
        <v>0.84328498062747337</v>
      </c>
      <c r="C51" s="8">
        <v>50</v>
      </c>
      <c r="D51" s="8">
        <f t="shared" ca="1" si="1"/>
        <v>77.2</v>
      </c>
      <c r="E51" s="8">
        <f t="shared" ca="1" si="2"/>
        <v>184.60000000000002</v>
      </c>
      <c r="F51" s="9" t="str">
        <f t="shared" ca="1" si="3"/>
        <v>nepřijat</v>
      </c>
    </row>
    <row r="52" spans="1:6">
      <c r="A52" s="8">
        <f t="shared" ca="1" si="5"/>
        <v>0.4510760514576333</v>
      </c>
      <c r="B52" s="8">
        <f t="shared" ca="1" si="5"/>
        <v>0.41826483721210739</v>
      </c>
      <c r="C52" s="8">
        <v>51</v>
      </c>
      <c r="D52" s="8">
        <f t="shared" ca="1" si="1"/>
        <v>75.8</v>
      </c>
      <c r="E52" s="8">
        <f t="shared" ca="1" si="2"/>
        <v>169.8</v>
      </c>
      <c r="F52" s="9" t="str">
        <f t="shared" ca="1" si="3"/>
        <v>přijat</v>
      </c>
    </row>
    <row r="53" spans="1:6">
      <c r="A53" s="8">
        <f t="shared" ca="1" si="5"/>
        <v>0.22241852751793645</v>
      </c>
      <c r="B53" s="8">
        <f t="shared" ca="1" si="5"/>
        <v>0.60813332080697424</v>
      </c>
      <c r="C53" s="8">
        <v>52</v>
      </c>
      <c r="D53" s="8">
        <f t="shared" ca="1" si="1"/>
        <v>67.8</v>
      </c>
      <c r="E53" s="8">
        <f t="shared" ca="1" si="2"/>
        <v>176.4</v>
      </c>
      <c r="F53" s="9" t="str">
        <f t="shared" ca="1" si="3"/>
        <v>nepřijat</v>
      </c>
    </row>
    <row r="54" spans="1:6">
      <c r="A54" s="8">
        <f t="shared" ca="1" si="5"/>
        <v>0.73184624928108288</v>
      </c>
      <c r="B54" s="8">
        <f t="shared" ca="1" si="5"/>
        <v>0.25741532859956506</v>
      </c>
      <c r="C54" s="8">
        <v>53</v>
      </c>
      <c r="D54" s="8">
        <f t="shared" ca="1" si="1"/>
        <v>85.800000000000011</v>
      </c>
      <c r="E54" s="8">
        <f t="shared" ca="1" si="2"/>
        <v>164.20000000000002</v>
      </c>
      <c r="F54" s="9" t="str">
        <f t="shared" ca="1" si="3"/>
        <v>nepřijat</v>
      </c>
    </row>
    <row r="55" spans="1:6">
      <c r="A55" s="8">
        <f t="shared" ca="1" si="5"/>
        <v>0.67656109840952972</v>
      </c>
      <c r="B55" s="8">
        <f t="shared" ca="1" si="5"/>
        <v>0.86547192319622834</v>
      </c>
      <c r="C55" s="8">
        <v>54</v>
      </c>
      <c r="D55" s="8">
        <f t="shared" ca="1" si="1"/>
        <v>83.800000000000011</v>
      </c>
      <c r="E55" s="8">
        <f t="shared" ca="1" si="2"/>
        <v>185.4</v>
      </c>
      <c r="F55" s="9" t="str">
        <f t="shared" ca="1" si="3"/>
        <v>nepřijat</v>
      </c>
    </row>
    <row r="56" spans="1:6">
      <c r="A56" s="8">
        <f t="shared" ca="1" si="5"/>
        <v>0.3293340812110267</v>
      </c>
      <c r="B56" s="8">
        <f t="shared" ca="1" si="5"/>
        <v>0.45309089815015957</v>
      </c>
      <c r="C56" s="8">
        <v>55</v>
      </c>
      <c r="D56" s="8">
        <f t="shared" ca="1" si="1"/>
        <v>71.600000000000009</v>
      </c>
      <c r="E56" s="8">
        <f t="shared" ca="1" si="2"/>
        <v>171</v>
      </c>
      <c r="F56" s="9" t="str">
        <f t="shared" ca="1" si="3"/>
        <v>přijat</v>
      </c>
    </row>
    <row r="57" spans="1:6">
      <c r="A57" s="8">
        <f t="shared" ca="1" si="5"/>
        <v>0.1248926681004876</v>
      </c>
      <c r="B57" s="8">
        <f t="shared" ca="1" si="5"/>
        <v>0.7241042110938184</v>
      </c>
      <c r="C57" s="8">
        <v>56</v>
      </c>
      <c r="D57" s="8">
        <f t="shared" ca="1" si="1"/>
        <v>64.400000000000006</v>
      </c>
      <c r="E57" s="8">
        <f t="shared" ca="1" si="2"/>
        <v>180.4</v>
      </c>
      <c r="F57" s="9" t="str">
        <f t="shared" ca="1" si="3"/>
        <v>nepřijat</v>
      </c>
    </row>
    <row r="58" spans="1:6">
      <c r="A58" s="8">
        <f t="shared" ca="1" si="5"/>
        <v>3.708659592425656E-2</v>
      </c>
      <c r="B58" s="8">
        <f t="shared" ca="1" si="5"/>
        <v>0.21075880067807951</v>
      </c>
      <c r="C58" s="8">
        <v>57</v>
      </c>
      <c r="D58" s="8">
        <f t="shared" ca="1" si="1"/>
        <v>61.400000000000006</v>
      </c>
      <c r="E58" s="8">
        <f t="shared" ca="1" si="2"/>
        <v>162.4</v>
      </c>
      <c r="F58" s="9" t="str">
        <f t="shared" ca="1" si="3"/>
        <v>nepřijat</v>
      </c>
    </row>
    <row r="59" spans="1:6">
      <c r="A59" s="8">
        <f t="shared" ca="1" si="5"/>
        <v>0.35754039606102916</v>
      </c>
      <c r="B59" s="8">
        <f t="shared" ca="1" si="5"/>
        <v>0.62614566221880119</v>
      </c>
      <c r="C59" s="8">
        <v>58</v>
      </c>
      <c r="D59" s="8">
        <f t="shared" ca="1" si="1"/>
        <v>72.600000000000009</v>
      </c>
      <c r="E59" s="8">
        <f t="shared" ca="1" si="2"/>
        <v>177</v>
      </c>
      <c r="F59" s="9" t="str">
        <f t="shared" ca="1" si="3"/>
        <v>nepřijat</v>
      </c>
    </row>
    <row r="60" spans="1:6">
      <c r="A60" s="8">
        <f t="shared" ca="1" si="5"/>
        <v>0.51713269092533309</v>
      </c>
      <c r="B60" s="8">
        <f t="shared" ca="1" si="5"/>
        <v>0.31169348120217966</v>
      </c>
      <c r="C60" s="8">
        <v>59</v>
      </c>
      <c r="D60" s="8">
        <f t="shared" ca="1" si="1"/>
        <v>78.2</v>
      </c>
      <c r="E60" s="8">
        <f t="shared" ca="1" si="2"/>
        <v>166</v>
      </c>
      <c r="F60" s="9" t="str">
        <f t="shared" ca="1" si="3"/>
        <v>přijat</v>
      </c>
    </row>
    <row r="61" spans="1:6">
      <c r="A61" s="8">
        <f t="shared" ca="1" si="5"/>
        <v>0.94007667739516276</v>
      </c>
      <c r="B61" s="8">
        <f t="shared" ca="1" si="5"/>
        <v>0.96877341833257036</v>
      </c>
      <c r="C61" s="8">
        <v>60</v>
      </c>
      <c r="D61" s="8">
        <f t="shared" ca="1" si="1"/>
        <v>93</v>
      </c>
      <c r="E61" s="8">
        <f t="shared" ca="1" si="2"/>
        <v>189</v>
      </c>
      <c r="F61" s="9" t="str">
        <f t="shared" ca="1" si="3"/>
        <v>nepřijat</v>
      </c>
    </row>
    <row r="62" spans="1:6">
      <c r="A62" s="8">
        <f t="shared" ref="A62:B81" ca="1" si="6">RAND()</f>
        <v>0.35778730502777611</v>
      </c>
      <c r="B62" s="8">
        <f t="shared" ca="1" si="6"/>
        <v>0.20716232115853617</v>
      </c>
      <c r="C62" s="8">
        <v>61</v>
      </c>
      <c r="D62" s="8">
        <f t="shared" ca="1" si="1"/>
        <v>72.600000000000009</v>
      </c>
      <c r="E62" s="8">
        <f t="shared" ca="1" si="2"/>
        <v>162.4</v>
      </c>
      <c r="F62" s="9" t="str">
        <f t="shared" ca="1" si="3"/>
        <v>přijat</v>
      </c>
    </row>
    <row r="63" spans="1:6">
      <c r="A63" s="8">
        <f t="shared" ca="1" si="6"/>
        <v>0.26511406169030283</v>
      </c>
      <c r="B63" s="8">
        <f t="shared" ca="1" si="6"/>
        <v>0.18255268229537269</v>
      </c>
      <c r="C63" s="8">
        <v>62</v>
      </c>
      <c r="D63" s="8">
        <f t="shared" ca="1" si="1"/>
        <v>69.400000000000006</v>
      </c>
      <c r="E63" s="8">
        <f t="shared" ca="1" si="2"/>
        <v>161.4</v>
      </c>
      <c r="F63" s="9" t="str">
        <f t="shared" ca="1" si="3"/>
        <v>přijat</v>
      </c>
    </row>
    <row r="64" spans="1:6">
      <c r="A64" s="8">
        <f t="shared" ca="1" si="6"/>
        <v>0.63938020002511164</v>
      </c>
      <c r="B64" s="8">
        <f t="shared" ca="1" si="6"/>
        <v>0.35163430584146149</v>
      </c>
      <c r="C64" s="8">
        <v>63</v>
      </c>
      <c r="D64" s="8">
        <f t="shared" ca="1" si="1"/>
        <v>82.4</v>
      </c>
      <c r="E64" s="8">
        <f t="shared" ca="1" si="2"/>
        <v>167.4</v>
      </c>
      <c r="F64" s="9" t="str">
        <f t="shared" ca="1" si="3"/>
        <v>zhubnout</v>
      </c>
    </row>
    <row r="65" spans="1:6">
      <c r="A65" s="8">
        <f t="shared" ca="1" si="6"/>
        <v>4.2901089576497631E-2</v>
      </c>
      <c r="B65" s="8">
        <f t="shared" ca="1" si="6"/>
        <v>0.55503224927060979</v>
      </c>
      <c r="C65" s="8">
        <v>64</v>
      </c>
      <c r="D65" s="8">
        <f t="shared" ca="1" si="1"/>
        <v>61.6</v>
      </c>
      <c r="E65" s="8">
        <f t="shared" ca="1" si="2"/>
        <v>174.60000000000002</v>
      </c>
      <c r="F65" s="9" t="str">
        <f t="shared" ca="1" si="3"/>
        <v>nepřijat</v>
      </c>
    </row>
    <row r="66" spans="1:6">
      <c r="A66" s="8">
        <f t="shared" ca="1" si="6"/>
        <v>0.64772765928684506</v>
      </c>
      <c r="B66" s="8">
        <f t="shared" ca="1" si="6"/>
        <v>0.71504771277462975</v>
      </c>
      <c r="C66" s="8">
        <v>65</v>
      </c>
      <c r="D66" s="8">
        <f t="shared" ref="D66:D129" ca="1" si="7">CEILING(A66*35+60,0.2)</f>
        <v>82.800000000000011</v>
      </c>
      <c r="E66" s="8">
        <f t="shared" ref="E66:E129" ca="1" si="8">CEILING(B66*35+155,0.2)</f>
        <v>180.20000000000002</v>
      </c>
      <c r="F66" s="9" t="str">
        <f t="shared" ca="1" si="3"/>
        <v>nepřijat</v>
      </c>
    </row>
    <row r="67" spans="1:6">
      <c r="A67" s="8">
        <f t="shared" ca="1" si="6"/>
        <v>2.3745013008415583E-2</v>
      </c>
      <c r="B67" s="8">
        <f t="shared" ca="1" si="6"/>
        <v>0.74479316611421309</v>
      </c>
      <c r="C67" s="8">
        <v>66</v>
      </c>
      <c r="D67" s="8">
        <f t="shared" ca="1" si="7"/>
        <v>61</v>
      </c>
      <c r="E67" s="8">
        <f t="shared" ca="1" si="8"/>
        <v>181.20000000000002</v>
      </c>
      <c r="F67" s="9" t="str">
        <f t="shared" ref="F67:F130" ca="1" si="9">IF(AND(E67&lt;176.1,D67&gt;67.9,D67&lt;79.1),"přijat",IF(AND(E67&lt;176.1,D67&gt;78.9,D67&lt;83.1),"zhubnout",IF(AND(E67&lt;176.1,D67&lt;68.1,D67&gt;63.9),"přibrat","nepřijat")))</f>
        <v>nepřijat</v>
      </c>
    </row>
    <row r="68" spans="1:6">
      <c r="A68" s="8">
        <f t="shared" ca="1" si="6"/>
        <v>0.84986446756429013</v>
      </c>
      <c r="B68" s="8">
        <f t="shared" ca="1" si="6"/>
        <v>9.4198024145056292E-2</v>
      </c>
      <c r="C68" s="8">
        <v>67</v>
      </c>
      <c r="D68" s="8">
        <f t="shared" ca="1" si="7"/>
        <v>89.800000000000011</v>
      </c>
      <c r="E68" s="8">
        <f t="shared" ca="1" si="8"/>
        <v>158.4</v>
      </c>
      <c r="F68" s="9" t="str">
        <f t="shared" ca="1" si="9"/>
        <v>nepřijat</v>
      </c>
    </row>
    <row r="69" spans="1:6">
      <c r="A69" s="8">
        <f t="shared" ca="1" si="6"/>
        <v>1.8858559726119162E-2</v>
      </c>
      <c r="B69" s="8">
        <f t="shared" ca="1" si="6"/>
        <v>0.27510629309726398</v>
      </c>
      <c r="C69" s="8">
        <v>68</v>
      </c>
      <c r="D69" s="8">
        <f t="shared" ca="1" si="7"/>
        <v>60.800000000000004</v>
      </c>
      <c r="E69" s="8">
        <f t="shared" ca="1" si="8"/>
        <v>164.8</v>
      </c>
      <c r="F69" s="9" t="str">
        <f t="shared" ca="1" si="9"/>
        <v>nepřijat</v>
      </c>
    </row>
    <row r="70" spans="1:6">
      <c r="A70" s="8">
        <f t="shared" ca="1" si="6"/>
        <v>0.44366378675552542</v>
      </c>
      <c r="B70" s="8">
        <f t="shared" ca="1" si="6"/>
        <v>0.32571177442389454</v>
      </c>
      <c r="C70" s="8">
        <v>69</v>
      </c>
      <c r="D70" s="8">
        <f t="shared" ca="1" si="7"/>
        <v>75.600000000000009</v>
      </c>
      <c r="E70" s="8">
        <f t="shared" ca="1" si="8"/>
        <v>166.4</v>
      </c>
      <c r="F70" s="9" t="str">
        <f t="shared" ca="1" si="9"/>
        <v>přijat</v>
      </c>
    </row>
    <row r="71" spans="1:6">
      <c r="A71" s="8">
        <f t="shared" ca="1" si="6"/>
        <v>0.4722991735759966</v>
      </c>
      <c r="B71" s="8">
        <f t="shared" ca="1" si="6"/>
        <v>2.2327483541428661E-2</v>
      </c>
      <c r="C71" s="8">
        <v>70</v>
      </c>
      <c r="D71" s="8">
        <f t="shared" ca="1" si="7"/>
        <v>76.600000000000009</v>
      </c>
      <c r="E71" s="8">
        <f t="shared" ca="1" si="8"/>
        <v>155.80000000000001</v>
      </c>
      <c r="F71" s="9" t="str">
        <f t="shared" ca="1" si="9"/>
        <v>přijat</v>
      </c>
    </row>
    <row r="72" spans="1:6">
      <c r="A72" s="8">
        <f t="shared" ca="1" si="6"/>
        <v>0.55997081736930665</v>
      </c>
      <c r="B72" s="8">
        <f t="shared" ca="1" si="6"/>
        <v>0.40017185767889651</v>
      </c>
      <c r="C72" s="8">
        <v>71</v>
      </c>
      <c r="D72" s="8">
        <f t="shared" ca="1" si="7"/>
        <v>79.600000000000009</v>
      </c>
      <c r="E72" s="8">
        <f t="shared" ca="1" si="8"/>
        <v>169.20000000000002</v>
      </c>
      <c r="F72" s="9" t="str">
        <f t="shared" ca="1" si="9"/>
        <v>zhubnout</v>
      </c>
    </row>
    <row r="73" spans="1:6">
      <c r="A73" s="8">
        <f t="shared" ca="1" si="6"/>
        <v>0.19011876385563076</v>
      </c>
      <c r="B73" s="8">
        <f t="shared" ca="1" si="6"/>
        <v>0.65554385185750863</v>
      </c>
      <c r="C73" s="8">
        <v>72</v>
      </c>
      <c r="D73" s="8">
        <f t="shared" ca="1" si="7"/>
        <v>66.8</v>
      </c>
      <c r="E73" s="8">
        <f t="shared" ca="1" si="8"/>
        <v>178</v>
      </c>
      <c r="F73" s="9" t="str">
        <f t="shared" ca="1" si="9"/>
        <v>nepřijat</v>
      </c>
    </row>
    <row r="74" spans="1:6">
      <c r="A74" s="8">
        <f t="shared" ca="1" si="6"/>
        <v>0.34562503321730897</v>
      </c>
      <c r="B74" s="8">
        <f t="shared" ca="1" si="6"/>
        <v>0.76206042766264392</v>
      </c>
      <c r="C74" s="8">
        <v>73</v>
      </c>
      <c r="D74" s="8">
        <f t="shared" ca="1" si="7"/>
        <v>72.2</v>
      </c>
      <c r="E74" s="8">
        <f t="shared" ca="1" si="8"/>
        <v>181.8</v>
      </c>
      <c r="F74" s="9" t="str">
        <f t="shared" ca="1" si="9"/>
        <v>nepřijat</v>
      </c>
    </row>
    <row r="75" spans="1:6">
      <c r="A75" s="8">
        <f t="shared" ca="1" si="6"/>
        <v>0.2840796499632452</v>
      </c>
      <c r="B75" s="8">
        <f t="shared" ca="1" si="6"/>
        <v>0.78441001912475772</v>
      </c>
      <c r="C75" s="8">
        <v>74</v>
      </c>
      <c r="D75" s="8">
        <f t="shared" ca="1" si="7"/>
        <v>70</v>
      </c>
      <c r="E75" s="8">
        <f t="shared" ca="1" si="8"/>
        <v>182.60000000000002</v>
      </c>
      <c r="F75" s="9" t="str">
        <f t="shared" ca="1" si="9"/>
        <v>nepřijat</v>
      </c>
    </row>
    <row r="76" spans="1:6">
      <c r="A76" s="8">
        <f t="shared" ca="1" si="6"/>
        <v>0.77284911200447859</v>
      </c>
      <c r="B76" s="8">
        <f t="shared" ca="1" si="6"/>
        <v>0.37005682181836552</v>
      </c>
      <c r="C76" s="8">
        <v>75</v>
      </c>
      <c r="D76" s="8">
        <f t="shared" ca="1" si="7"/>
        <v>87.2</v>
      </c>
      <c r="E76" s="8">
        <f t="shared" ca="1" si="8"/>
        <v>168</v>
      </c>
      <c r="F76" s="9" t="str">
        <f t="shared" ca="1" si="9"/>
        <v>nepřijat</v>
      </c>
    </row>
    <row r="77" spans="1:6">
      <c r="A77" s="8">
        <f t="shared" ca="1" si="6"/>
        <v>0.8594709894618795</v>
      </c>
      <c r="B77" s="8">
        <f t="shared" ca="1" si="6"/>
        <v>0.18246270081683691</v>
      </c>
      <c r="C77" s="8">
        <v>76</v>
      </c>
      <c r="D77" s="8">
        <f t="shared" ca="1" si="7"/>
        <v>90.2</v>
      </c>
      <c r="E77" s="8">
        <f t="shared" ca="1" si="8"/>
        <v>161.4</v>
      </c>
      <c r="F77" s="9" t="str">
        <f t="shared" ca="1" si="9"/>
        <v>nepřijat</v>
      </c>
    </row>
    <row r="78" spans="1:6">
      <c r="A78" s="8">
        <f t="shared" ca="1" si="6"/>
        <v>0.4759559339741517</v>
      </c>
      <c r="B78" s="8">
        <f t="shared" ca="1" si="6"/>
        <v>0.81407131159351143</v>
      </c>
      <c r="C78" s="8">
        <v>77</v>
      </c>
      <c r="D78" s="8">
        <f t="shared" ca="1" si="7"/>
        <v>76.800000000000011</v>
      </c>
      <c r="E78" s="8">
        <f t="shared" ca="1" si="8"/>
        <v>183.60000000000002</v>
      </c>
      <c r="F78" s="9" t="str">
        <f t="shared" ca="1" si="9"/>
        <v>nepřijat</v>
      </c>
    </row>
    <row r="79" spans="1:6">
      <c r="A79" s="8">
        <f t="shared" ca="1" si="6"/>
        <v>1.0951023864371079E-2</v>
      </c>
      <c r="B79" s="8">
        <f t="shared" ca="1" si="6"/>
        <v>0.15325594823477351</v>
      </c>
      <c r="C79" s="8">
        <v>78</v>
      </c>
      <c r="D79" s="8">
        <f t="shared" ca="1" si="7"/>
        <v>60.400000000000006</v>
      </c>
      <c r="E79" s="8">
        <f t="shared" ca="1" si="8"/>
        <v>160.4</v>
      </c>
      <c r="F79" s="9" t="str">
        <f t="shared" ca="1" si="9"/>
        <v>nepřijat</v>
      </c>
    </row>
    <row r="80" spans="1:6">
      <c r="A80" s="8">
        <f t="shared" ca="1" si="6"/>
        <v>0.7884994603086698</v>
      </c>
      <c r="B80" s="8">
        <f t="shared" ca="1" si="6"/>
        <v>0.33214767012719648</v>
      </c>
      <c r="C80" s="8">
        <v>79</v>
      </c>
      <c r="D80" s="8">
        <f t="shared" ca="1" si="7"/>
        <v>87.600000000000009</v>
      </c>
      <c r="E80" s="8">
        <f t="shared" ca="1" si="8"/>
        <v>166.8</v>
      </c>
      <c r="F80" s="9" t="str">
        <f t="shared" ca="1" si="9"/>
        <v>nepřijat</v>
      </c>
    </row>
    <row r="81" spans="1:6">
      <c r="A81" s="8">
        <f t="shared" ca="1" si="6"/>
        <v>0.52758558355513197</v>
      </c>
      <c r="B81" s="8">
        <f t="shared" ca="1" si="6"/>
        <v>0.45552073333165521</v>
      </c>
      <c r="C81" s="8">
        <v>80</v>
      </c>
      <c r="D81" s="8">
        <f t="shared" ca="1" si="7"/>
        <v>78.600000000000009</v>
      </c>
      <c r="E81" s="8">
        <f t="shared" ca="1" si="8"/>
        <v>171</v>
      </c>
      <c r="F81" s="9" t="str">
        <f t="shared" ca="1" si="9"/>
        <v>přijat</v>
      </c>
    </row>
    <row r="82" spans="1:6">
      <c r="A82" s="8">
        <f t="shared" ref="A82:B101" ca="1" si="10">RAND()</f>
        <v>0.62765933268242824</v>
      </c>
      <c r="B82" s="8">
        <f t="shared" ca="1" si="10"/>
        <v>0.80956905910546473</v>
      </c>
      <c r="C82" s="8">
        <v>81</v>
      </c>
      <c r="D82" s="8">
        <f t="shared" ca="1" si="7"/>
        <v>82</v>
      </c>
      <c r="E82" s="8">
        <f t="shared" ca="1" si="8"/>
        <v>183.4</v>
      </c>
      <c r="F82" s="9" t="str">
        <f t="shared" ca="1" si="9"/>
        <v>nepřijat</v>
      </c>
    </row>
    <row r="83" spans="1:6">
      <c r="A83" s="8">
        <f t="shared" ca="1" si="10"/>
        <v>0.9200998187097551</v>
      </c>
      <c r="B83" s="8">
        <f t="shared" ca="1" si="10"/>
        <v>0.27356587341887983</v>
      </c>
      <c r="C83" s="8">
        <v>82</v>
      </c>
      <c r="D83" s="8">
        <f t="shared" ca="1" si="7"/>
        <v>92.4</v>
      </c>
      <c r="E83" s="8">
        <f t="shared" ca="1" si="8"/>
        <v>164.60000000000002</v>
      </c>
      <c r="F83" s="9" t="str">
        <f t="shared" ca="1" si="9"/>
        <v>nepřijat</v>
      </c>
    </row>
    <row r="84" spans="1:6">
      <c r="A84" s="8">
        <f t="shared" ca="1" si="10"/>
        <v>0.60180332441675255</v>
      </c>
      <c r="B84" s="8">
        <f t="shared" ca="1" si="10"/>
        <v>0.30914816890726493</v>
      </c>
      <c r="C84" s="8">
        <v>83</v>
      </c>
      <c r="D84" s="8">
        <f t="shared" ca="1" si="7"/>
        <v>81.2</v>
      </c>
      <c r="E84" s="8">
        <f t="shared" ca="1" si="8"/>
        <v>166</v>
      </c>
      <c r="F84" s="9" t="str">
        <f t="shared" ca="1" si="9"/>
        <v>zhubnout</v>
      </c>
    </row>
    <row r="85" spans="1:6">
      <c r="A85" s="8">
        <f t="shared" ca="1" si="10"/>
        <v>0.84869241000134032</v>
      </c>
      <c r="B85" s="8">
        <f t="shared" ca="1" si="10"/>
        <v>0.96936020546665214</v>
      </c>
      <c r="C85" s="8">
        <v>84</v>
      </c>
      <c r="D85" s="8">
        <f t="shared" ca="1" si="7"/>
        <v>89.800000000000011</v>
      </c>
      <c r="E85" s="8">
        <f t="shared" ca="1" si="8"/>
        <v>189</v>
      </c>
      <c r="F85" s="9" t="str">
        <f t="shared" ca="1" si="9"/>
        <v>nepřijat</v>
      </c>
    </row>
    <row r="86" spans="1:6">
      <c r="A86" s="8">
        <f t="shared" ca="1" si="10"/>
        <v>0.80250264095270962</v>
      </c>
      <c r="B86" s="8">
        <f t="shared" ca="1" si="10"/>
        <v>0.22288073025416211</v>
      </c>
      <c r="C86" s="8">
        <v>85</v>
      </c>
      <c r="D86" s="8">
        <f t="shared" ca="1" si="7"/>
        <v>88.2</v>
      </c>
      <c r="E86" s="8">
        <f t="shared" ca="1" si="8"/>
        <v>163</v>
      </c>
      <c r="F86" s="9" t="str">
        <f t="shared" ca="1" si="9"/>
        <v>nepřijat</v>
      </c>
    </row>
    <row r="87" spans="1:6">
      <c r="A87" s="8">
        <f t="shared" ca="1" si="10"/>
        <v>0.66885713939714153</v>
      </c>
      <c r="B87" s="8">
        <f t="shared" ca="1" si="10"/>
        <v>0.6584092937192948</v>
      </c>
      <c r="C87" s="8">
        <v>86</v>
      </c>
      <c r="D87" s="8">
        <f t="shared" ca="1" si="7"/>
        <v>83.600000000000009</v>
      </c>
      <c r="E87" s="8">
        <f t="shared" ca="1" si="8"/>
        <v>178.20000000000002</v>
      </c>
      <c r="F87" s="9" t="str">
        <f t="shared" ca="1" si="9"/>
        <v>nepřijat</v>
      </c>
    </row>
    <row r="88" spans="1:6">
      <c r="A88" s="8">
        <f t="shared" ca="1" si="10"/>
        <v>0.89301168720171553</v>
      </c>
      <c r="B88" s="8">
        <f t="shared" ca="1" si="10"/>
        <v>0.66971487722276479</v>
      </c>
      <c r="C88" s="8">
        <v>87</v>
      </c>
      <c r="D88" s="8">
        <f t="shared" ca="1" si="7"/>
        <v>91.4</v>
      </c>
      <c r="E88" s="8">
        <f t="shared" ca="1" si="8"/>
        <v>178.60000000000002</v>
      </c>
      <c r="F88" s="9" t="str">
        <f t="shared" ca="1" si="9"/>
        <v>nepřijat</v>
      </c>
    </row>
    <row r="89" spans="1:6">
      <c r="A89" s="8">
        <f t="shared" ca="1" si="10"/>
        <v>0.2052519010902083</v>
      </c>
      <c r="B89" s="8">
        <f t="shared" ca="1" si="10"/>
        <v>0.18094076841545681</v>
      </c>
      <c r="C89" s="8">
        <v>88</v>
      </c>
      <c r="D89" s="8">
        <f t="shared" ca="1" si="7"/>
        <v>67.2</v>
      </c>
      <c r="E89" s="8">
        <f t="shared" ca="1" si="8"/>
        <v>161.4</v>
      </c>
      <c r="F89" s="9" t="str">
        <f t="shared" ca="1" si="9"/>
        <v>přibrat</v>
      </c>
    </row>
    <row r="90" spans="1:6">
      <c r="A90" s="8">
        <f t="shared" ca="1" si="10"/>
        <v>0.83839625091784575</v>
      </c>
      <c r="B90" s="8">
        <f t="shared" ca="1" si="10"/>
        <v>0.6278044848501898</v>
      </c>
      <c r="C90" s="8">
        <v>89</v>
      </c>
      <c r="D90" s="8">
        <f t="shared" ca="1" si="7"/>
        <v>89.4</v>
      </c>
      <c r="E90" s="8">
        <f t="shared" ca="1" si="8"/>
        <v>177</v>
      </c>
      <c r="F90" s="9" t="str">
        <f t="shared" ca="1" si="9"/>
        <v>nepřijat</v>
      </c>
    </row>
    <row r="91" spans="1:6">
      <c r="A91" s="8">
        <f t="shared" ca="1" si="10"/>
        <v>0.69769802810833892</v>
      </c>
      <c r="B91" s="8">
        <f t="shared" ca="1" si="10"/>
        <v>0.14461102371096235</v>
      </c>
      <c r="C91" s="8">
        <v>90</v>
      </c>
      <c r="D91" s="8">
        <f t="shared" ca="1" si="7"/>
        <v>84.600000000000009</v>
      </c>
      <c r="E91" s="8">
        <f t="shared" ca="1" si="8"/>
        <v>160.20000000000002</v>
      </c>
      <c r="F91" s="9" t="str">
        <f t="shared" ca="1" si="9"/>
        <v>nepřijat</v>
      </c>
    </row>
    <row r="92" spans="1:6">
      <c r="A92" s="8">
        <f t="shared" ca="1" si="10"/>
        <v>0.98473770321907172</v>
      </c>
      <c r="B92" s="8">
        <f t="shared" ca="1" si="10"/>
        <v>0.61417532174377687</v>
      </c>
      <c r="C92" s="8">
        <v>91</v>
      </c>
      <c r="D92" s="8">
        <f t="shared" ca="1" si="7"/>
        <v>94.600000000000009</v>
      </c>
      <c r="E92" s="8">
        <f t="shared" ca="1" si="8"/>
        <v>176.60000000000002</v>
      </c>
      <c r="F92" s="9" t="str">
        <f t="shared" ca="1" si="9"/>
        <v>nepřijat</v>
      </c>
    </row>
    <row r="93" spans="1:6">
      <c r="A93" s="8">
        <f t="shared" ca="1" si="10"/>
        <v>0.53342710138401339</v>
      </c>
      <c r="B93" s="8">
        <f t="shared" ca="1" si="10"/>
        <v>0.30209952131208051</v>
      </c>
      <c r="C93" s="8">
        <v>92</v>
      </c>
      <c r="D93" s="8">
        <f t="shared" ca="1" si="7"/>
        <v>78.800000000000011</v>
      </c>
      <c r="E93" s="8">
        <f t="shared" ca="1" si="8"/>
        <v>165.60000000000002</v>
      </c>
      <c r="F93" s="9" t="str">
        <f t="shared" ca="1" si="9"/>
        <v>přijat</v>
      </c>
    </row>
    <row r="94" spans="1:6">
      <c r="A94" s="8">
        <f t="shared" ca="1" si="10"/>
        <v>0.82685561640113059</v>
      </c>
      <c r="B94" s="8">
        <f t="shared" ca="1" si="10"/>
        <v>0.93361688178744351</v>
      </c>
      <c r="C94" s="8">
        <v>93</v>
      </c>
      <c r="D94" s="8">
        <f t="shared" ca="1" si="7"/>
        <v>89</v>
      </c>
      <c r="E94" s="8">
        <f t="shared" ca="1" si="8"/>
        <v>187.8</v>
      </c>
      <c r="F94" s="9" t="str">
        <f t="shared" ca="1" si="9"/>
        <v>nepřijat</v>
      </c>
    </row>
    <row r="95" spans="1:6">
      <c r="A95" s="8">
        <f t="shared" ca="1" si="10"/>
        <v>0.30361070165074788</v>
      </c>
      <c r="B95" s="8">
        <f t="shared" ca="1" si="10"/>
        <v>0.78809253613002972</v>
      </c>
      <c r="C95" s="8">
        <v>94</v>
      </c>
      <c r="D95" s="8">
        <f t="shared" ca="1" si="7"/>
        <v>70.8</v>
      </c>
      <c r="E95" s="8">
        <f t="shared" ca="1" si="8"/>
        <v>182.60000000000002</v>
      </c>
      <c r="F95" s="9" t="str">
        <f t="shared" ca="1" si="9"/>
        <v>nepřijat</v>
      </c>
    </row>
    <row r="96" spans="1:6">
      <c r="A96" s="8">
        <f t="shared" ca="1" si="10"/>
        <v>0.16053671684231507</v>
      </c>
      <c r="B96" s="8">
        <f t="shared" ca="1" si="10"/>
        <v>0.66461504720635245</v>
      </c>
      <c r="C96" s="8">
        <v>95</v>
      </c>
      <c r="D96" s="8">
        <f t="shared" ca="1" si="7"/>
        <v>65.8</v>
      </c>
      <c r="E96" s="8">
        <f t="shared" ca="1" si="8"/>
        <v>178.4</v>
      </c>
      <c r="F96" s="9" t="str">
        <f t="shared" ca="1" si="9"/>
        <v>nepřijat</v>
      </c>
    </row>
    <row r="97" spans="1:6">
      <c r="A97" s="8">
        <f t="shared" ca="1" si="10"/>
        <v>0.41655183501479354</v>
      </c>
      <c r="B97" s="8">
        <f t="shared" ca="1" si="10"/>
        <v>0.39037573816230109</v>
      </c>
      <c r="C97" s="8">
        <v>96</v>
      </c>
      <c r="D97" s="8">
        <f t="shared" ca="1" si="7"/>
        <v>74.600000000000009</v>
      </c>
      <c r="E97" s="8">
        <f t="shared" ca="1" si="8"/>
        <v>168.8</v>
      </c>
      <c r="F97" s="9" t="str">
        <f t="shared" ca="1" si="9"/>
        <v>přijat</v>
      </c>
    </row>
    <row r="98" spans="1:6">
      <c r="A98" s="8">
        <f t="shared" ca="1" si="10"/>
        <v>0.86962946092302762</v>
      </c>
      <c r="B98" s="8">
        <f t="shared" ca="1" si="10"/>
        <v>0.19750397321670832</v>
      </c>
      <c r="C98" s="8">
        <v>97</v>
      </c>
      <c r="D98" s="8">
        <f t="shared" ca="1" si="7"/>
        <v>90.600000000000009</v>
      </c>
      <c r="E98" s="8">
        <f t="shared" ca="1" si="8"/>
        <v>162</v>
      </c>
      <c r="F98" s="9" t="str">
        <f t="shared" ca="1" si="9"/>
        <v>nepřijat</v>
      </c>
    </row>
    <row r="99" spans="1:6">
      <c r="A99" s="8">
        <f t="shared" ca="1" si="10"/>
        <v>0.63937207832412368</v>
      </c>
      <c r="B99" s="8">
        <f t="shared" ca="1" si="10"/>
        <v>0.87867255374415709</v>
      </c>
      <c r="C99" s="8">
        <v>98</v>
      </c>
      <c r="D99" s="8">
        <f t="shared" ca="1" si="7"/>
        <v>82.4</v>
      </c>
      <c r="E99" s="8">
        <f t="shared" ca="1" si="8"/>
        <v>185.8</v>
      </c>
      <c r="F99" s="9" t="str">
        <f t="shared" ca="1" si="9"/>
        <v>nepřijat</v>
      </c>
    </row>
    <row r="100" spans="1:6">
      <c r="A100" s="8">
        <f t="shared" ca="1" si="10"/>
        <v>0.40327827911984027</v>
      </c>
      <c r="B100" s="8">
        <f t="shared" ca="1" si="10"/>
        <v>0.11197127525480377</v>
      </c>
      <c r="C100" s="8">
        <v>99</v>
      </c>
      <c r="D100" s="8">
        <f t="shared" ca="1" si="7"/>
        <v>74.2</v>
      </c>
      <c r="E100" s="8">
        <f t="shared" ca="1" si="8"/>
        <v>159</v>
      </c>
      <c r="F100" s="9" t="str">
        <f t="shared" ca="1" si="9"/>
        <v>přijat</v>
      </c>
    </row>
    <row r="101" spans="1:6">
      <c r="A101" s="8">
        <f t="shared" ca="1" si="10"/>
        <v>0.58524453248835318</v>
      </c>
      <c r="B101" s="8">
        <f t="shared" ca="1" si="10"/>
        <v>0.83017446524483141</v>
      </c>
      <c r="C101" s="8">
        <v>100</v>
      </c>
      <c r="D101" s="8">
        <f t="shared" ca="1" si="7"/>
        <v>80.600000000000009</v>
      </c>
      <c r="E101" s="8">
        <f t="shared" ca="1" si="8"/>
        <v>184.20000000000002</v>
      </c>
      <c r="F101" s="9" t="str">
        <f t="shared" ca="1" si="9"/>
        <v>nepřijat</v>
      </c>
    </row>
    <row r="102" spans="1:6">
      <c r="A102" s="8">
        <f t="shared" ref="A102:B121" ca="1" si="11">RAND()</f>
        <v>0.38617712447285735</v>
      </c>
      <c r="B102" s="8">
        <f t="shared" ca="1" si="11"/>
        <v>0.75387044754120491</v>
      </c>
      <c r="C102" s="8">
        <v>101</v>
      </c>
      <c r="D102" s="8">
        <f t="shared" ca="1" si="7"/>
        <v>73.600000000000009</v>
      </c>
      <c r="E102" s="8">
        <f t="shared" ca="1" si="8"/>
        <v>181.4</v>
      </c>
      <c r="F102" s="9" t="str">
        <f t="shared" ca="1" si="9"/>
        <v>nepřijat</v>
      </c>
    </row>
    <row r="103" spans="1:6">
      <c r="A103" s="8">
        <f t="shared" ca="1" si="11"/>
        <v>0.12857143039149943</v>
      </c>
      <c r="B103" s="8">
        <f t="shared" ca="1" si="11"/>
        <v>0.81994665973244085</v>
      </c>
      <c r="C103" s="8">
        <v>102</v>
      </c>
      <c r="D103" s="8">
        <f t="shared" ca="1" si="7"/>
        <v>64.600000000000009</v>
      </c>
      <c r="E103" s="8">
        <f t="shared" ca="1" si="8"/>
        <v>183.8</v>
      </c>
      <c r="F103" s="9" t="str">
        <f t="shared" ca="1" si="9"/>
        <v>nepřijat</v>
      </c>
    </row>
    <row r="104" spans="1:6">
      <c r="A104" s="8">
        <f t="shared" ca="1" si="11"/>
        <v>0.65071514588629742</v>
      </c>
      <c r="B104" s="8">
        <f t="shared" ca="1" si="11"/>
        <v>0.69386146029067541</v>
      </c>
      <c r="C104" s="8">
        <v>103</v>
      </c>
      <c r="D104" s="8">
        <f t="shared" ca="1" si="7"/>
        <v>82.800000000000011</v>
      </c>
      <c r="E104" s="8">
        <f t="shared" ca="1" si="8"/>
        <v>179.4</v>
      </c>
      <c r="F104" s="9" t="str">
        <f t="shared" ca="1" si="9"/>
        <v>nepřijat</v>
      </c>
    </row>
    <row r="105" spans="1:6">
      <c r="A105" s="8">
        <f t="shared" ca="1" si="11"/>
        <v>4.2308917617681407E-2</v>
      </c>
      <c r="B105" s="8">
        <f t="shared" ca="1" si="11"/>
        <v>0.25373769543871394</v>
      </c>
      <c r="C105" s="8">
        <v>104</v>
      </c>
      <c r="D105" s="8">
        <f t="shared" ca="1" si="7"/>
        <v>61.6</v>
      </c>
      <c r="E105" s="8">
        <f t="shared" ca="1" si="8"/>
        <v>164</v>
      </c>
      <c r="F105" s="9" t="str">
        <f t="shared" ca="1" si="9"/>
        <v>nepřijat</v>
      </c>
    </row>
    <row r="106" spans="1:6">
      <c r="A106" s="8">
        <f t="shared" ca="1" si="11"/>
        <v>0.80881208346264388</v>
      </c>
      <c r="B106" s="8">
        <f t="shared" ca="1" si="11"/>
        <v>0.97147607042170336</v>
      </c>
      <c r="C106" s="8">
        <v>105</v>
      </c>
      <c r="D106" s="8">
        <f t="shared" ca="1" si="7"/>
        <v>88.4</v>
      </c>
      <c r="E106" s="8">
        <f t="shared" ca="1" si="8"/>
        <v>189.20000000000002</v>
      </c>
      <c r="F106" s="9" t="str">
        <f t="shared" ca="1" si="9"/>
        <v>nepřijat</v>
      </c>
    </row>
    <row r="107" spans="1:6">
      <c r="A107" s="8">
        <f t="shared" ca="1" si="11"/>
        <v>0.49032048051956989</v>
      </c>
      <c r="B107" s="8">
        <f t="shared" ca="1" si="11"/>
        <v>3.1759151084292836E-2</v>
      </c>
      <c r="C107" s="8">
        <v>106</v>
      </c>
      <c r="D107" s="8">
        <f t="shared" ca="1" si="7"/>
        <v>77.2</v>
      </c>
      <c r="E107" s="8">
        <f t="shared" ca="1" si="8"/>
        <v>156.20000000000002</v>
      </c>
      <c r="F107" s="9" t="str">
        <f t="shared" ca="1" si="9"/>
        <v>přijat</v>
      </c>
    </row>
    <row r="108" spans="1:6">
      <c r="A108" s="8">
        <f t="shared" ca="1" si="11"/>
        <v>0.688380288867112</v>
      </c>
      <c r="B108" s="8">
        <f t="shared" ca="1" si="11"/>
        <v>0.69779499259137234</v>
      </c>
      <c r="C108" s="8">
        <v>107</v>
      </c>
      <c r="D108" s="8">
        <f t="shared" ca="1" si="7"/>
        <v>84.2</v>
      </c>
      <c r="E108" s="8">
        <f t="shared" ca="1" si="8"/>
        <v>179.60000000000002</v>
      </c>
      <c r="F108" s="9" t="str">
        <f t="shared" ca="1" si="9"/>
        <v>nepřijat</v>
      </c>
    </row>
    <row r="109" spans="1:6">
      <c r="A109" s="8">
        <f t="shared" ca="1" si="11"/>
        <v>0.92668293065064</v>
      </c>
      <c r="B109" s="8">
        <f t="shared" ca="1" si="11"/>
        <v>0.99342914529269022</v>
      </c>
      <c r="C109" s="8">
        <v>108</v>
      </c>
      <c r="D109" s="8">
        <f t="shared" ca="1" si="7"/>
        <v>92.600000000000009</v>
      </c>
      <c r="E109" s="8">
        <f t="shared" ca="1" si="8"/>
        <v>189.8</v>
      </c>
      <c r="F109" s="9" t="str">
        <f t="shared" ca="1" si="9"/>
        <v>nepřijat</v>
      </c>
    </row>
    <row r="110" spans="1:6">
      <c r="A110" s="8">
        <f t="shared" ca="1" si="11"/>
        <v>0.86820735936325844</v>
      </c>
      <c r="B110" s="8">
        <f t="shared" ca="1" si="11"/>
        <v>0.27800568051319585</v>
      </c>
      <c r="C110" s="8">
        <v>109</v>
      </c>
      <c r="D110" s="8">
        <f t="shared" ca="1" si="7"/>
        <v>90.4</v>
      </c>
      <c r="E110" s="8">
        <f t="shared" ca="1" si="8"/>
        <v>164.8</v>
      </c>
      <c r="F110" s="9" t="str">
        <f t="shared" ca="1" si="9"/>
        <v>nepřijat</v>
      </c>
    </row>
    <row r="111" spans="1:6">
      <c r="A111" s="8">
        <f t="shared" ca="1" si="11"/>
        <v>0.41311333661097227</v>
      </c>
      <c r="B111" s="8">
        <f t="shared" ca="1" si="11"/>
        <v>0.6399807737440909</v>
      </c>
      <c r="C111" s="8">
        <v>110</v>
      </c>
      <c r="D111" s="8">
        <f t="shared" ca="1" si="7"/>
        <v>74.600000000000009</v>
      </c>
      <c r="E111" s="8">
        <f t="shared" ca="1" si="8"/>
        <v>177.4</v>
      </c>
      <c r="F111" s="9" t="str">
        <f t="shared" ca="1" si="9"/>
        <v>nepřijat</v>
      </c>
    </row>
    <row r="112" spans="1:6">
      <c r="A112" s="8">
        <f t="shared" ca="1" si="11"/>
        <v>0.89508635203849207</v>
      </c>
      <c r="B112" s="8">
        <f t="shared" ca="1" si="11"/>
        <v>0.66168609978974213</v>
      </c>
      <c r="C112" s="8">
        <v>111</v>
      </c>
      <c r="D112" s="8">
        <f t="shared" ca="1" si="7"/>
        <v>91.4</v>
      </c>
      <c r="E112" s="8">
        <f t="shared" ca="1" si="8"/>
        <v>178.20000000000002</v>
      </c>
      <c r="F112" s="9" t="str">
        <f t="shared" ca="1" si="9"/>
        <v>nepřijat</v>
      </c>
    </row>
    <row r="113" spans="1:6">
      <c r="A113" s="8">
        <f t="shared" ca="1" si="11"/>
        <v>4.3839032937749489E-2</v>
      </c>
      <c r="B113" s="8">
        <f t="shared" ca="1" si="11"/>
        <v>0.37001120436431156</v>
      </c>
      <c r="C113" s="8">
        <v>112</v>
      </c>
      <c r="D113" s="8">
        <f t="shared" ca="1" si="7"/>
        <v>61.6</v>
      </c>
      <c r="E113" s="8">
        <f t="shared" ca="1" si="8"/>
        <v>168</v>
      </c>
      <c r="F113" s="9" t="str">
        <f t="shared" ca="1" si="9"/>
        <v>nepřijat</v>
      </c>
    </row>
    <row r="114" spans="1:6">
      <c r="A114" s="8">
        <f t="shared" ca="1" si="11"/>
        <v>0.32031936045994769</v>
      </c>
      <c r="B114" s="8">
        <f t="shared" ca="1" si="11"/>
        <v>0.93123270201624553</v>
      </c>
      <c r="C114" s="8">
        <v>113</v>
      </c>
      <c r="D114" s="8">
        <f t="shared" ca="1" si="7"/>
        <v>71.400000000000006</v>
      </c>
      <c r="E114" s="8">
        <f t="shared" ca="1" si="8"/>
        <v>187.60000000000002</v>
      </c>
      <c r="F114" s="9" t="str">
        <f t="shared" ca="1" si="9"/>
        <v>nepřijat</v>
      </c>
    </row>
    <row r="115" spans="1:6">
      <c r="A115" s="8">
        <f t="shared" ca="1" si="11"/>
        <v>0.27994254207721703</v>
      </c>
      <c r="B115" s="8">
        <f t="shared" ca="1" si="11"/>
        <v>0.42799277384591983</v>
      </c>
      <c r="C115" s="8">
        <v>114</v>
      </c>
      <c r="D115" s="8">
        <f t="shared" ca="1" si="7"/>
        <v>69.8</v>
      </c>
      <c r="E115" s="8">
        <f t="shared" ca="1" si="8"/>
        <v>170</v>
      </c>
      <c r="F115" s="9" t="str">
        <f t="shared" ca="1" si="9"/>
        <v>přijat</v>
      </c>
    </row>
    <row r="116" spans="1:6">
      <c r="A116" s="8">
        <f t="shared" ca="1" si="11"/>
        <v>0.98084152065712915</v>
      </c>
      <c r="B116" s="8">
        <f t="shared" ca="1" si="11"/>
        <v>0.47691317744868367</v>
      </c>
      <c r="C116" s="8">
        <v>115</v>
      </c>
      <c r="D116" s="8">
        <f t="shared" ca="1" si="7"/>
        <v>94.4</v>
      </c>
      <c r="E116" s="8">
        <f t="shared" ca="1" si="8"/>
        <v>171.8</v>
      </c>
      <c r="F116" s="9" t="str">
        <f t="shared" ca="1" si="9"/>
        <v>nepřijat</v>
      </c>
    </row>
    <row r="117" spans="1:6">
      <c r="A117" s="8">
        <f t="shared" ca="1" si="11"/>
        <v>0.50770980517289299</v>
      </c>
      <c r="B117" s="8">
        <f t="shared" ca="1" si="11"/>
        <v>0.2894027144491641</v>
      </c>
      <c r="C117" s="8">
        <v>116</v>
      </c>
      <c r="D117" s="8">
        <f t="shared" ca="1" si="7"/>
        <v>77.800000000000011</v>
      </c>
      <c r="E117" s="8">
        <f t="shared" ca="1" si="8"/>
        <v>165.20000000000002</v>
      </c>
      <c r="F117" s="9" t="str">
        <f t="shared" ca="1" si="9"/>
        <v>přijat</v>
      </c>
    </row>
    <row r="118" spans="1:6">
      <c r="A118" s="8">
        <f t="shared" ca="1" si="11"/>
        <v>9.2659165786774911E-2</v>
      </c>
      <c r="B118" s="8">
        <f t="shared" ca="1" si="11"/>
        <v>0.91492096408481127</v>
      </c>
      <c r="C118" s="8">
        <v>117</v>
      </c>
      <c r="D118" s="8">
        <f t="shared" ca="1" si="7"/>
        <v>63.400000000000006</v>
      </c>
      <c r="E118" s="8">
        <f t="shared" ca="1" si="8"/>
        <v>187.20000000000002</v>
      </c>
      <c r="F118" s="9" t="str">
        <f t="shared" ca="1" si="9"/>
        <v>nepřijat</v>
      </c>
    </row>
    <row r="119" spans="1:6">
      <c r="A119" s="8">
        <f t="shared" ca="1" si="11"/>
        <v>0.87785629722309078</v>
      </c>
      <c r="B119" s="8">
        <f t="shared" ca="1" si="11"/>
        <v>0.1482884113454952</v>
      </c>
      <c r="C119" s="8">
        <v>118</v>
      </c>
      <c r="D119" s="8">
        <f t="shared" ca="1" si="7"/>
        <v>90.800000000000011</v>
      </c>
      <c r="E119" s="8">
        <f t="shared" ca="1" si="8"/>
        <v>160.20000000000002</v>
      </c>
      <c r="F119" s="9" t="str">
        <f t="shared" ca="1" si="9"/>
        <v>nepřijat</v>
      </c>
    </row>
    <row r="120" spans="1:6">
      <c r="A120" s="8">
        <f t="shared" ca="1" si="11"/>
        <v>0.19671409679204788</v>
      </c>
      <c r="B120" s="8">
        <f t="shared" ca="1" si="11"/>
        <v>0.37057523536697146</v>
      </c>
      <c r="C120" s="8">
        <v>119</v>
      </c>
      <c r="D120" s="8">
        <f t="shared" ca="1" si="7"/>
        <v>67</v>
      </c>
      <c r="E120" s="8">
        <f t="shared" ca="1" si="8"/>
        <v>168</v>
      </c>
      <c r="F120" s="9" t="str">
        <f t="shared" ca="1" si="9"/>
        <v>přibrat</v>
      </c>
    </row>
    <row r="121" spans="1:6">
      <c r="A121" s="8">
        <f t="shared" ca="1" si="11"/>
        <v>0.69657226941445294</v>
      </c>
      <c r="B121" s="8">
        <f t="shared" ca="1" si="11"/>
        <v>0.39735151651191503</v>
      </c>
      <c r="C121" s="8">
        <v>120</v>
      </c>
      <c r="D121" s="8">
        <f t="shared" ca="1" si="7"/>
        <v>84.4</v>
      </c>
      <c r="E121" s="8">
        <f t="shared" ca="1" si="8"/>
        <v>169</v>
      </c>
      <c r="F121" s="9" t="str">
        <f t="shared" ca="1" si="9"/>
        <v>nepřijat</v>
      </c>
    </row>
    <row r="122" spans="1:6">
      <c r="A122" s="8">
        <f t="shared" ref="A122:B141" ca="1" si="12">RAND()</f>
        <v>0.11438734047221577</v>
      </c>
      <c r="B122" s="8">
        <f t="shared" ca="1" si="12"/>
        <v>0.44511031068521745</v>
      </c>
      <c r="C122" s="8">
        <v>121</v>
      </c>
      <c r="D122" s="8">
        <f t="shared" ca="1" si="7"/>
        <v>64.2</v>
      </c>
      <c r="E122" s="8">
        <f t="shared" ca="1" si="8"/>
        <v>170.60000000000002</v>
      </c>
      <c r="F122" s="9" t="str">
        <f t="shared" ca="1" si="9"/>
        <v>přibrat</v>
      </c>
    </row>
    <row r="123" spans="1:6">
      <c r="A123" s="8">
        <f t="shared" ca="1" si="12"/>
        <v>0.71661070059741461</v>
      </c>
      <c r="B123" s="8">
        <f t="shared" ca="1" si="12"/>
        <v>0.86570764571371572</v>
      </c>
      <c r="C123" s="8">
        <v>122</v>
      </c>
      <c r="D123" s="8">
        <f t="shared" ca="1" si="7"/>
        <v>85.2</v>
      </c>
      <c r="E123" s="8">
        <f t="shared" ca="1" si="8"/>
        <v>185.4</v>
      </c>
      <c r="F123" s="9" t="str">
        <f t="shared" ca="1" si="9"/>
        <v>nepřijat</v>
      </c>
    </row>
    <row r="124" spans="1:6">
      <c r="A124" s="8">
        <f t="shared" ca="1" si="12"/>
        <v>0.56450503274247543</v>
      </c>
      <c r="B124" s="8">
        <f t="shared" ca="1" si="12"/>
        <v>0.70940163480744578</v>
      </c>
      <c r="C124" s="8">
        <v>123</v>
      </c>
      <c r="D124" s="8">
        <f t="shared" ca="1" si="7"/>
        <v>79.800000000000011</v>
      </c>
      <c r="E124" s="8">
        <f t="shared" ca="1" si="8"/>
        <v>180</v>
      </c>
      <c r="F124" s="9" t="str">
        <f t="shared" ca="1" si="9"/>
        <v>nepřijat</v>
      </c>
    </row>
    <row r="125" spans="1:6">
      <c r="A125" s="8">
        <f t="shared" ca="1" si="12"/>
        <v>8.4629305750548056E-2</v>
      </c>
      <c r="B125" s="8">
        <f t="shared" ca="1" si="12"/>
        <v>0.39199884705506416</v>
      </c>
      <c r="C125" s="8">
        <v>124</v>
      </c>
      <c r="D125" s="8">
        <f t="shared" ca="1" si="7"/>
        <v>63</v>
      </c>
      <c r="E125" s="8">
        <f t="shared" ca="1" si="8"/>
        <v>168.8</v>
      </c>
      <c r="F125" s="9" t="str">
        <f t="shared" ca="1" si="9"/>
        <v>nepřijat</v>
      </c>
    </row>
    <row r="126" spans="1:6">
      <c r="A126" s="8">
        <f t="shared" ca="1" si="12"/>
        <v>0.55088843169109603</v>
      </c>
      <c r="B126" s="8">
        <f t="shared" ca="1" si="12"/>
        <v>0.63323139812993445</v>
      </c>
      <c r="C126" s="8">
        <v>125</v>
      </c>
      <c r="D126" s="8">
        <f t="shared" ca="1" si="7"/>
        <v>79.400000000000006</v>
      </c>
      <c r="E126" s="8">
        <f t="shared" ca="1" si="8"/>
        <v>177.20000000000002</v>
      </c>
      <c r="F126" s="9" t="str">
        <f t="shared" ca="1" si="9"/>
        <v>nepřijat</v>
      </c>
    </row>
    <row r="127" spans="1:6">
      <c r="A127" s="8">
        <f t="shared" ca="1" si="12"/>
        <v>0.9392942434027558</v>
      </c>
      <c r="B127" s="8">
        <f t="shared" ca="1" si="12"/>
        <v>3.4457695806698219E-2</v>
      </c>
      <c r="C127" s="8">
        <v>126</v>
      </c>
      <c r="D127" s="8">
        <f t="shared" ca="1" si="7"/>
        <v>93</v>
      </c>
      <c r="E127" s="8">
        <f t="shared" ca="1" si="8"/>
        <v>156.4</v>
      </c>
      <c r="F127" s="9" t="str">
        <f t="shared" ca="1" si="9"/>
        <v>nepřijat</v>
      </c>
    </row>
    <row r="128" spans="1:6">
      <c r="A128" s="8">
        <f t="shared" ca="1" si="12"/>
        <v>0.25684500352528916</v>
      </c>
      <c r="B128" s="8">
        <f t="shared" ca="1" si="12"/>
        <v>0.82818446981889604</v>
      </c>
      <c r="C128" s="8">
        <v>127</v>
      </c>
      <c r="D128" s="8">
        <f t="shared" ca="1" si="7"/>
        <v>69</v>
      </c>
      <c r="E128" s="8">
        <f t="shared" ca="1" si="8"/>
        <v>184</v>
      </c>
      <c r="F128" s="9" t="str">
        <f t="shared" ca="1" si="9"/>
        <v>nepřijat</v>
      </c>
    </row>
    <row r="129" spans="1:6">
      <c r="A129" s="8">
        <f t="shared" ca="1" si="12"/>
        <v>0.294158284533237</v>
      </c>
      <c r="B129" s="8">
        <f t="shared" ca="1" si="12"/>
        <v>0.99927762219406591</v>
      </c>
      <c r="C129" s="8">
        <v>128</v>
      </c>
      <c r="D129" s="8">
        <f t="shared" ca="1" si="7"/>
        <v>70.400000000000006</v>
      </c>
      <c r="E129" s="8">
        <f t="shared" ca="1" si="8"/>
        <v>190</v>
      </c>
      <c r="F129" s="9" t="str">
        <f t="shared" ca="1" si="9"/>
        <v>nepřijat</v>
      </c>
    </row>
    <row r="130" spans="1:6">
      <c r="A130" s="8">
        <f t="shared" ca="1" si="12"/>
        <v>0.13159272371774877</v>
      </c>
      <c r="B130" s="8">
        <f t="shared" ca="1" si="12"/>
        <v>0.16617604008557219</v>
      </c>
      <c r="C130" s="8">
        <v>129</v>
      </c>
      <c r="D130" s="8">
        <f t="shared" ref="D130:D193" ca="1" si="13">CEILING(A130*35+60,0.2)</f>
        <v>64.8</v>
      </c>
      <c r="E130" s="8">
        <f t="shared" ref="E130:E193" ca="1" si="14">CEILING(B130*35+155,0.2)</f>
        <v>161</v>
      </c>
      <c r="F130" s="9" t="str">
        <f t="shared" ca="1" si="9"/>
        <v>přibrat</v>
      </c>
    </row>
    <row r="131" spans="1:6">
      <c r="A131" s="8">
        <f t="shared" ca="1" si="12"/>
        <v>0.31771610795792649</v>
      </c>
      <c r="B131" s="8">
        <f t="shared" ca="1" si="12"/>
        <v>0.44904696846144887</v>
      </c>
      <c r="C131" s="8">
        <v>130</v>
      </c>
      <c r="D131" s="8">
        <f t="shared" ca="1" si="13"/>
        <v>71.2</v>
      </c>
      <c r="E131" s="8">
        <f t="shared" ca="1" si="14"/>
        <v>170.8</v>
      </c>
      <c r="F131" s="9" t="str">
        <f t="shared" ref="F131:F194" ca="1" si="15">IF(AND(E131&lt;176.1,D131&gt;67.9,D131&lt;79.1),"přijat",IF(AND(E131&lt;176.1,D131&gt;78.9,D131&lt;83.1),"zhubnout",IF(AND(E131&lt;176.1,D131&lt;68.1,D131&gt;63.9),"přibrat","nepřijat")))</f>
        <v>přijat</v>
      </c>
    </row>
    <row r="132" spans="1:6">
      <c r="A132" s="8">
        <f t="shared" ca="1" si="12"/>
        <v>0.7696564634133517</v>
      </c>
      <c r="B132" s="8">
        <f t="shared" ca="1" si="12"/>
        <v>0.94578658080207134</v>
      </c>
      <c r="C132" s="8">
        <v>131</v>
      </c>
      <c r="D132" s="8">
        <f t="shared" ca="1" si="13"/>
        <v>87</v>
      </c>
      <c r="E132" s="8">
        <f t="shared" ca="1" si="14"/>
        <v>188.20000000000002</v>
      </c>
      <c r="F132" s="9" t="str">
        <f t="shared" ca="1" si="15"/>
        <v>nepřijat</v>
      </c>
    </row>
    <row r="133" spans="1:6">
      <c r="A133" s="8">
        <f t="shared" ca="1" si="12"/>
        <v>0.81533004082590343</v>
      </c>
      <c r="B133" s="8">
        <f t="shared" ca="1" si="12"/>
        <v>0.101278661506084</v>
      </c>
      <c r="C133" s="8">
        <v>132</v>
      </c>
      <c r="D133" s="8">
        <f t="shared" ca="1" si="13"/>
        <v>88.600000000000009</v>
      </c>
      <c r="E133" s="8">
        <f t="shared" ca="1" si="14"/>
        <v>158.60000000000002</v>
      </c>
      <c r="F133" s="9" t="str">
        <f t="shared" ca="1" si="15"/>
        <v>nepřijat</v>
      </c>
    </row>
    <row r="134" spans="1:6">
      <c r="A134" s="8">
        <f t="shared" ca="1" si="12"/>
        <v>0.60504389316318996</v>
      </c>
      <c r="B134" s="8">
        <f t="shared" ca="1" si="12"/>
        <v>0.55885024902051339</v>
      </c>
      <c r="C134" s="8">
        <v>133</v>
      </c>
      <c r="D134" s="8">
        <f t="shared" ca="1" si="13"/>
        <v>81.2</v>
      </c>
      <c r="E134" s="8">
        <f t="shared" ca="1" si="14"/>
        <v>174.60000000000002</v>
      </c>
      <c r="F134" s="9" t="str">
        <f t="shared" ca="1" si="15"/>
        <v>zhubnout</v>
      </c>
    </row>
    <row r="135" spans="1:6">
      <c r="A135" s="8">
        <f t="shared" ca="1" si="12"/>
        <v>0.61814573910617676</v>
      </c>
      <c r="B135" s="8">
        <f t="shared" ca="1" si="12"/>
        <v>0.87383727642145193</v>
      </c>
      <c r="C135" s="8">
        <v>134</v>
      </c>
      <c r="D135" s="8">
        <f t="shared" ca="1" si="13"/>
        <v>81.800000000000011</v>
      </c>
      <c r="E135" s="8">
        <f t="shared" ca="1" si="14"/>
        <v>185.60000000000002</v>
      </c>
      <c r="F135" s="9" t="str">
        <f t="shared" ca="1" si="15"/>
        <v>nepřijat</v>
      </c>
    </row>
    <row r="136" spans="1:6">
      <c r="A136" s="8">
        <f t="shared" ca="1" si="12"/>
        <v>0.35740080065968316</v>
      </c>
      <c r="B136" s="8">
        <f t="shared" ca="1" si="12"/>
        <v>0.74172283514703763</v>
      </c>
      <c r="C136" s="8">
        <v>135</v>
      </c>
      <c r="D136" s="8">
        <f t="shared" ca="1" si="13"/>
        <v>72.600000000000009</v>
      </c>
      <c r="E136" s="8">
        <f t="shared" ca="1" si="14"/>
        <v>181</v>
      </c>
      <c r="F136" s="9" t="str">
        <f t="shared" ca="1" si="15"/>
        <v>nepřijat</v>
      </c>
    </row>
    <row r="137" spans="1:6">
      <c r="A137" s="8">
        <f t="shared" ca="1" si="12"/>
        <v>0.53832385129654392</v>
      </c>
      <c r="B137" s="8">
        <f t="shared" ca="1" si="12"/>
        <v>0.88024456671066753</v>
      </c>
      <c r="C137" s="8">
        <v>136</v>
      </c>
      <c r="D137" s="8">
        <f t="shared" ca="1" si="13"/>
        <v>79</v>
      </c>
      <c r="E137" s="8">
        <f t="shared" ca="1" si="14"/>
        <v>186</v>
      </c>
      <c r="F137" s="9" t="str">
        <f t="shared" ca="1" si="15"/>
        <v>nepřijat</v>
      </c>
    </row>
    <row r="138" spans="1:6">
      <c r="A138" s="8">
        <f t="shared" ca="1" si="12"/>
        <v>0.45806014094330005</v>
      </c>
      <c r="B138" s="8">
        <f t="shared" ca="1" si="12"/>
        <v>0.3816606963300091</v>
      </c>
      <c r="C138" s="8">
        <v>137</v>
      </c>
      <c r="D138" s="8">
        <f t="shared" ca="1" si="13"/>
        <v>76.2</v>
      </c>
      <c r="E138" s="8">
        <f t="shared" ca="1" si="14"/>
        <v>168.4</v>
      </c>
      <c r="F138" s="9" t="str">
        <f t="shared" ca="1" si="15"/>
        <v>přijat</v>
      </c>
    </row>
    <row r="139" spans="1:6">
      <c r="A139" s="8">
        <f t="shared" ca="1" si="12"/>
        <v>0.23007194234802397</v>
      </c>
      <c r="B139" s="8">
        <f t="shared" ca="1" si="12"/>
        <v>0.436710868012678</v>
      </c>
      <c r="C139" s="8">
        <v>138</v>
      </c>
      <c r="D139" s="8">
        <f t="shared" ca="1" si="13"/>
        <v>68.2</v>
      </c>
      <c r="E139" s="8">
        <f t="shared" ca="1" si="14"/>
        <v>170.4</v>
      </c>
      <c r="F139" s="9" t="str">
        <f t="shared" ca="1" si="15"/>
        <v>přijat</v>
      </c>
    </row>
    <row r="140" spans="1:6">
      <c r="A140" s="8">
        <f t="shared" ca="1" si="12"/>
        <v>0.47259035538927452</v>
      </c>
      <c r="B140" s="8">
        <f t="shared" ca="1" si="12"/>
        <v>0.28505815510537247</v>
      </c>
      <c r="C140" s="8">
        <v>139</v>
      </c>
      <c r="D140" s="8">
        <f t="shared" ca="1" si="13"/>
        <v>76.600000000000009</v>
      </c>
      <c r="E140" s="8">
        <f t="shared" ca="1" si="14"/>
        <v>165</v>
      </c>
      <c r="F140" s="9" t="str">
        <f t="shared" ca="1" si="15"/>
        <v>přijat</v>
      </c>
    </row>
    <row r="141" spans="1:6">
      <c r="A141" s="8">
        <f t="shared" ca="1" si="12"/>
        <v>0.68047299793182925</v>
      </c>
      <c r="B141" s="8">
        <f t="shared" ca="1" si="12"/>
        <v>0.59960974614861229</v>
      </c>
      <c r="C141" s="8">
        <v>140</v>
      </c>
      <c r="D141" s="8">
        <f t="shared" ca="1" si="13"/>
        <v>84</v>
      </c>
      <c r="E141" s="8">
        <f t="shared" ca="1" si="14"/>
        <v>176</v>
      </c>
      <c r="F141" s="9" t="str">
        <f t="shared" ca="1" si="15"/>
        <v>nepřijat</v>
      </c>
    </row>
    <row r="142" spans="1:6">
      <c r="A142" s="8">
        <f t="shared" ref="A142:B161" ca="1" si="16">RAND()</f>
        <v>0.51637676821971801</v>
      </c>
      <c r="B142" s="8">
        <f t="shared" ca="1" si="16"/>
        <v>0.11870647848257554</v>
      </c>
      <c r="C142" s="8">
        <v>141</v>
      </c>
      <c r="D142" s="8">
        <f t="shared" ca="1" si="13"/>
        <v>78.2</v>
      </c>
      <c r="E142" s="8">
        <f t="shared" ca="1" si="14"/>
        <v>159.20000000000002</v>
      </c>
      <c r="F142" s="9" t="str">
        <f t="shared" ca="1" si="15"/>
        <v>přijat</v>
      </c>
    </row>
    <row r="143" spans="1:6">
      <c r="A143" s="8">
        <f t="shared" ca="1" si="16"/>
        <v>0.4503097643334073</v>
      </c>
      <c r="B143" s="8">
        <f t="shared" ca="1" si="16"/>
        <v>0.78243785610177086</v>
      </c>
      <c r="C143" s="8">
        <v>142</v>
      </c>
      <c r="D143" s="8">
        <f t="shared" ca="1" si="13"/>
        <v>75.8</v>
      </c>
      <c r="E143" s="8">
        <f t="shared" ca="1" si="14"/>
        <v>182.4</v>
      </c>
      <c r="F143" s="9" t="str">
        <f t="shared" ca="1" si="15"/>
        <v>nepřijat</v>
      </c>
    </row>
    <row r="144" spans="1:6">
      <c r="A144" s="8">
        <f t="shared" ca="1" si="16"/>
        <v>0.65287311867836084</v>
      </c>
      <c r="B144" s="8">
        <f t="shared" ca="1" si="16"/>
        <v>4.1367167333119514E-3</v>
      </c>
      <c r="C144" s="8">
        <v>143</v>
      </c>
      <c r="D144" s="8">
        <f t="shared" ca="1" si="13"/>
        <v>83</v>
      </c>
      <c r="E144" s="8">
        <f t="shared" ca="1" si="14"/>
        <v>155.20000000000002</v>
      </c>
      <c r="F144" s="9" t="str">
        <f t="shared" ca="1" si="15"/>
        <v>zhubnout</v>
      </c>
    </row>
    <row r="145" spans="1:6">
      <c r="A145" s="8">
        <f t="shared" ca="1" si="16"/>
        <v>0.67292210150461351</v>
      </c>
      <c r="B145" s="8">
        <f t="shared" ca="1" si="16"/>
        <v>0.15505480029107488</v>
      </c>
      <c r="C145" s="8">
        <v>144</v>
      </c>
      <c r="D145" s="8">
        <f t="shared" ca="1" si="13"/>
        <v>83.600000000000009</v>
      </c>
      <c r="E145" s="8">
        <f t="shared" ca="1" si="14"/>
        <v>160.60000000000002</v>
      </c>
      <c r="F145" s="9" t="str">
        <f t="shared" ca="1" si="15"/>
        <v>nepřijat</v>
      </c>
    </row>
    <row r="146" spans="1:6">
      <c r="A146" s="8">
        <f t="shared" ca="1" si="16"/>
        <v>8.6869608797880415E-3</v>
      </c>
      <c r="B146" s="8">
        <f t="shared" ca="1" si="16"/>
        <v>0.9204062484901564</v>
      </c>
      <c r="C146" s="8">
        <v>145</v>
      </c>
      <c r="D146" s="8">
        <f t="shared" ca="1" si="13"/>
        <v>60.400000000000006</v>
      </c>
      <c r="E146" s="8">
        <f t="shared" ca="1" si="14"/>
        <v>187.4</v>
      </c>
      <c r="F146" s="9" t="str">
        <f t="shared" ca="1" si="15"/>
        <v>nepřijat</v>
      </c>
    </row>
    <row r="147" spans="1:6">
      <c r="A147" s="8">
        <f t="shared" ca="1" si="16"/>
        <v>0.8655572693456266</v>
      </c>
      <c r="B147" s="8">
        <f t="shared" ca="1" si="16"/>
        <v>0.9273650151432663</v>
      </c>
      <c r="C147" s="8">
        <v>146</v>
      </c>
      <c r="D147" s="8">
        <f t="shared" ca="1" si="13"/>
        <v>90.4</v>
      </c>
      <c r="E147" s="8">
        <f t="shared" ca="1" si="14"/>
        <v>187.60000000000002</v>
      </c>
      <c r="F147" s="9" t="str">
        <f t="shared" ca="1" si="15"/>
        <v>nepřijat</v>
      </c>
    </row>
    <row r="148" spans="1:6">
      <c r="A148" s="8">
        <f t="shared" ca="1" si="16"/>
        <v>0.72590046172989942</v>
      </c>
      <c r="B148" s="8">
        <f t="shared" ca="1" si="16"/>
        <v>0.31036757539072302</v>
      </c>
      <c r="C148" s="8">
        <v>147</v>
      </c>
      <c r="D148" s="8">
        <f t="shared" ca="1" si="13"/>
        <v>85.600000000000009</v>
      </c>
      <c r="E148" s="8">
        <f t="shared" ca="1" si="14"/>
        <v>166</v>
      </c>
      <c r="F148" s="9" t="str">
        <f t="shared" ca="1" si="15"/>
        <v>nepřijat</v>
      </c>
    </row>
    <row r="149" spans="1:6">
      <c r="A149" s="8">
        <f t="shared" ca="1" si="16"/>
        <v>0.88719759564460421</v>
      </c>
      <c r="B149" s="8">
        <f t="shared" ca="1" si="16"/>
        <v>0.85557455061252663</v>
      </c>
      <c r="C149" s="8">
        <v>148</v>
      </c>
      <c r="D149" s="8">
        <f t="shared" ca="1" si="13"/>
        <v>91.2</v>
      </c>
      <c r="E149" s="8">
        <f t="shared" ca="1" si="14"/>
        <v>185</v>
      </c>
      <c r="F149" s="9" t="str">
        <f t="shared" ca="1" si="15"/>
        <v>nepřijat</v>
      </c>
    </row>
    <row r="150" spans="1:6">
      <c r="A150" s="8">
        <f t="shared" ca="1" si="16"/>
        <v>0.88060494355080687</v>
      </c>
      <c r="B150" s="8">
        <f t="shared" ca="1" si="16"/>
        <v>0.85364346507849087</v>
      </c>
      <c r="C150" s="8">
        <v>149</v>
      </c>
      <c r="D150" s="8">
        <f t="shared" ca="1" si="13"/>
        <v>91</v>
      </c>
      <c r="E150" s="8">
        <f t="shared" ca="1" si="14"/>
        <v>185</v>
      </c>
      <c r="F150" s="9" t="str">
        <f t="shared" ca="1" si="15"/>
        <v>nepřijat</v>
      </c>
    </row>
    <row r="151" spans="1:6">
      <c r="A151" s="8">
        <f t="shared" ca="1" si="16"/>
        <v>0.8613223200639567</v>
      </c>
      <c r="B151" s="8">
        <f t="shared" ca="1" si="16"/>
        <v>0.73544679345880137</v>
      </c>
      <c r="C151" s="8">
        <v>150</v>
      </c>
      <c r="D151" s="8">
        <f t="shared" ca="1" si="13"/>
        <v>90.2</v>
      </c>
      <c r="E151" s="8">
        <f t="shared" ca="1" si="14"/>
        <v>180.8</v>
      </c>
      <c r="F151" s="9" t="str">
        <f t="shared" ca="1" si="15"/>
        <v>nepřijat</v>
      </c>
    </row>
    <row r="152" spans="1:6">
      <c r="A152" s="8">
        <f t="shared" ca="1" si="16"/>
        <v>0.39741086862564223</v>
      </c>
      <c r="B152" s="8">
        <f t="shared" ca="1" si="16"/>
        <v>0.96263665108817587</v>
      </c>
      <c r="C152" s="8">
        <v>151</v>
      </c>
      <c r="D152" s="8">
        <f t="shared" ca="1" si="13"/>
        <v>74</v>
      </c>
      <c r="E152" s="8">
        <f t="shared" ca="1" si="14"/>
        <v>188.8</v>
      </c>
      <c r="F152" s="9" t="str">
        <f t="shared" ca="1" si="15"/>
        <v>nepřijat</v>
      </c>
    </row>
    <row r="153" spans="1:6">
      <c r="A153" s="8">
        <f t="shared" ca="1" si="16"/>
        <v>0.1370160390864682</v>
      </c>
      <c r="B153" s="8">
        <f t="shared" ca="1" si="16"/>
        <v>0.88159886825934097</v>
      </c>
      <c r="C153" s="8">
        <v>152</v>
      </c>
      <c r="D153" s="8">
        <f t="shared" ca="1" si="13"/>
        <v>64.8</v>
      </c>
      <c r="E153" s="8">
        <f t="shared" ca="1" si="14"/>
        <v>186</v>
      </c>
      <c r="F153" s="9" t="str">
        <f t="shared" ca="1" si="15"/>
        <v>nepřijat</v>
      </c>
    </row>
    <row r="154" spans="1:6">
      <c r="A154" s="8">
        <f t="shared" ca="1" si="16"/>
        <v>0.92215701970681918</v>
      </c>
      <c r="B154" s="8">
        <f t="shared" ca="1" si="16"/>
        <v>0.68024667060668109</v>
      </c>
      <c r="C154" s="8">
        <v>153</v>
      </c>
      <c r="D154" s="8">
        <f t="shared" ca="1" si="13"/>
        <v>92.4</v>
      </c>
      <c r="E154" s="8">
        <f t="shared" ca="1" si="14"/>
        <v>179</v>
      </c>
      <c r="F154" s="9" t="str">
        <f t="shared" ca="1" si="15"/>
        <v>nepřijat</v>
      </c>
    </row>
    <row r="155" spans="1:6">
      <c r="A155" s="8">
        <f t="shared" ca="1" si="16"/>
        <v>0.28519364149050686</v>
      </c>
      <c r="B155" s="8">
        <f t="shared" ca="1" si="16"/>
        <v>0.64315944901349376</v>
      </c>
      <c r="C155" s="8">
        <v>154</v>
      </c>
      <c r="D155" s="8">
        <f t="shared" ca="1" si="13"/>
        <v>70</v>
      </c>
      <c r="E155" s="8">
        <f t="shared" ca="1" si="14"/>
        <v>177.60000000000002</v>
      </c>
      <c r="F155" s="9" t="str">
        <f t="shared" ca="1" si="15"/>
        <v>nepřijat</v>
      </c>
    </row>
    <row r="156" spans="1:6">
      <c r="A156" s="8">
        <f t="shared" ca="1" si="16"/>
        <v>0.35777334152411278</v>
      </c>
      <c r="B156" s="8">
        <f t="shared" ca="1" si="16"/>
        <v>0.63978098221126234</v>
      </c>
      <c r="C156" s="8">
        <v>155</v>
      </c>
      <c r="D156" s="8">
        <f t="shared" ca="1" si="13"/>
        <v>72.600000000000009</v>
      </c>
      <c r="E156" s="8">
        <f t="shared" ca="1" si="14"/>
        <v>177.4</v>
      </c>
      <c r="F156" s="9" t="str">
        <f t="shared" ca="1" si="15"/>
        <v>nepřijat</v>
      </c>
    </row>
    <row r="157" spans="1:6">
      <c r="A157" s="8">
        <f t="shared" ca="1" si="16"/>
        <v>0.93597053679161712</v>
      </c>
      <c r="B157" s="8">
        <f t="shared" ca="1" si="16"/>
        <v>0.55142372206517554</v>
      </c>
      <c r="C157" s="8">
        <v>156</v>
      </c>
      <c r="D157" s="8">
        <f t="shared" ca="1" si="13"/>
        <v>92.800000000000011</v>
      </c>
      <c r="E157" s="8">
        <f t="shared" ca="1" si="14"/>
        <v>174.4</v>
      </c>
      <c r="F157" s="9" t="str">
        <f t="shared" ca="1" si="15"/>
        <v>nepřijat</v>
      </c>
    </row>
    <row r="158" spans="1:6">
      <c r="A158" s="8">
        <f t="shared" ca="1" si="16"/>
        <v>0.39115139583100467</v>
      </c>
      <c r="B158" s="8">
        <f t="shared" ca="1" si="16"/>
        <v>0.37847240264315796</v>
      </c>
      <c r="C158" s="8">
        <v>157</v>
      </c>
      <c r="D158" s="8">
        <f t="shared" ca="1" si="13"/>
        <v>73.8</v>
      </c>
      <c r="E158" s="8">
        <f t="shared" ca="1" si="14"/>
        <v>168.4</v>
      </c>
      <c r="F158" s="9" t="str">
        <f t="shared" ca="1" si="15"/>
        <v>přijat</v>
      </c>
    </row>
    <row r="159" spans="1:6">
      <c r="A159" s="8">
        <f t="shared" ca="1" si="16"/>
        <v>0.39768450431882851</v>
      </c>
      <c r="B159" s="8">
        <f t="shared" ca="1" si="16"/>
        <v>0.58913617090078862</v>
      </c>
      <c r="C159" s="8">
        <v>158</v>
      </c>
      <c r="D159" s="8">
        <f t="shared" ca="1" si="13"/>
        <v>74</v>
      </c>
      <c r="E159" s="8">
        <f t="shared" ca="1" si="14"/>
        <v>175.8</v>
      </c>
      <c r="F159" s="9" t="str">
        <f t="shared" ca="1" si="15"/>
        <v>přijat</v>
      </c>
    </row>
    <row r="160" spans="1:6">
      <c r="A160" s="8">
        <f t="shared" ca="1" si="16"/>
        <v>8.2194567839761312E-2</v>
      </c>
      <c r="B160" s="8">
        <f t="shared" ca="1" si="16"/>
        <v>0.67233362148881115</v>
      </c>
      <c r="C160" s="8">
        <v>159</v>
      </c>
      <c r="D160" s="8">
        <f t="shared" ca="1" si="13"/>
        <v>63</v>
      </c>
      <c r="E160" s="8">
        <f t="shared" ca="1" si="14"/>
        <v>178.60000000000002</v>
      </c>
      <c r="F160" s="9" t="str">
        <f t="shared" ca="1" si="15"/>
        <v>nepřijat</v>
      </c>
    </row>
    <row r="161" spans="1:6">
      <c r="A161" s="8">
        <f t="shared" ca="1" si="16"/>
        <v>0.75948184783851891</v>
      </c>
      <c r="B161" s="8">
        <f t="shared" ca="1" si="16"/>
        <v>0.50486643648240315</v>
      </c>
      <c r="C161" s="8">
        <v>160</v>
      </c>
      <c r="D161" s="8">
        <f t="shared" ca="1" si="13"/>
        <v>86.600000000000009</v>
      </c>
      <c r="E161" s="8">
        <f t="shared" ca="1" si="14"/>
        <v>172.8</v>
      </c>
      <c r="F161" s="9" t="str">
        <f t="shared" ca="1" si="15"/>
        <v>nepřijat</v>
      </c>
    </row>
    <row r="162" spans="1:6">
      <c r="A162" s="8">
        <f t="shared" ref="A162:B181" ca="1" si="17">RAND()</f>
        <v>0.52485477388902857</v>
      </c>
      <c r="B162" s="8">
        <f t="shared" ca="1" si="17"/>
        <v>0.2544892121169684</v>
      </c>
      <c r="C162" s="8">
        <v>161</v>
      </c>
      <c r="D162" s="8">
        <f t="shared" ca="1" si="13"/>
        <v>78.400000000000006</v>
      </c>
      <c r="E162" s="8">
        <f t="shared" ca="1" si="14"/>
        <v>164</v>
      </c>
      <c r="F162" s="9" t="str">
        <f t="shared" ca="1" si="15"/>
        <v>přijat</v>
      </c>
    </row>
    <row r="163" spans="1:6">
      <c r="A163" s="8">
        <f t="shared" ca="1" si="17"/>
        <v>0.64595401483290704</v>
      </c>
      <c r="B163" s="8">
        <f t="shared" ca="1" si="17"/>
        <v>0.48143763803911532</v>
      </c>
      <c r="C163" s="8">
        <v>162</v>
      </c>
      <c r="D163" s="8">
        <f t="shared" ca="1" si="13"/>
        <v>82.800000000000011</v>
      </c>
      <c r="E163" s="8">
        <f t="shared" ca="1" si="14"/>
        <v>172</v>
      </c>
      <c r="F163" s="9" t="str">
        <f t="shared" ca="1" si="15"/>
        <v>zhubnout</v>
      </c>
    </row>
    <row r="164" spans="1:6">
      <c r="A164" s="8">
        <f t="shared" ca="1" si="17"/>
        <v>1.4848173488158478E-2</v>
      </c>
      <c r="B164" s="8">
        <f t="shared" ca="1" si="17"/>
        <v>0.84074912702168891</v>
      </c>
      <c r="C164" s="8">
        <v>163</v>
      </c>
      <c r="D164" s="8">
        <f t="shared" ca="1" si="13"/>
        <v>60.6</v>
      </c>
      <c r="E164" s="8">
        <f t="shared" ca="1" si="14"/>
        <v>184.60000000000002</v>
      </c>
      <c r="F164" s="9" t="str">
        <f t="shared" ca="1" si="15"/>
        <v>nepřijat</v>
      </c>
    </row>
    <row r="165" spans="1:6">
      <c r="A165" s="8">
        <f t="shared" ca="1" si="17"/>
        <v>4.7354142399738675E-2</v>
      </c>
      <c r="B165" s="8">
        <f t="shared" ca="1" si="17"/>
        <v>0.32483124542850716</v>
      </c>
      <c r="C165" s="8">
        <v>164</v>
      </c>
      <c r="D165" s="8">
        <f t="shared" ca="1" si="13"/>
        <v>61.800000000000004</v>
      </c>
      <c r="E165" s="8">
        <f t="shared" ca="1" si="14"/>
        <v>166.4</v>
      </c>
      <c r="F165" s="9" t="str">
        <f t="shared" ca="1" si="15"/>
        <v>nepřijat</v>
      </c>
    </row>
    <row r="166" spans="1:6">
      <c r="A166" s="8">
        <f t="shared" ca="1" si="17"/>
        <v>0.73546142335642606</v>
      </c>
      <c r="B166" s="8">
        <f t="shared" ca="1" si="17"/>
        <v>6.3361343092522615E-2</v>
      </c>
      <c r="C166" s="8">
        <v>165</v>
      </c>
      <c r="D166" s="8">
        <f t="shared" ca="1" si="13"/>
        <v>85.800000000000011</v>
      </c>
      <c r="E166" s="8">
        <f t="shared" ca="1" si="14"/>
        <v>157.4</v>
      </c>
      <c r="F166" s="9" t="str">
        <f t="shared" ca="1" si="15"/>
        <v>nepřijat</v>
      </c>
    </row>
    <row r="167" spans="1:6">
      <c r="A167" s="8">
        <f t="shared" ca="1" si="17"/>
        <v>0.56000717979283876</v>
      </c>
      <c r="B167" s="8">
        <f t="shared" ca="1" si="17"/>
        <v>0.54469611102123694</v>
      </c>
      <c r="C167" s="8">
        <v>166</v>
      </c>
      <c r="D167" s="8">
        <f t="shared" ca="1" si="13"/>
        <v>79.800000000000011</v>
      </c>
      <c r="E167" s="8">
        <f t="shared" ca="1" si="14"/>
        <v>174.20000000000002</v>
      </c>
      <c r="F167" s="9" t="str">
        <f t="shared" ca="1" si="15"/>
        <v>zhubnout</v>
      </c>
    </row>
    <row r="168" spans="1:6">
      <c r="A168" s="8">
        <f t="shared" ca="1" si="17"/>
        <v>0.68520123876950656</v>
      </c>
      <c r="B168" s="8">
        <f t="shared" ca="1" si="17"/>
        <v>0.50043778486869961</v>
      </c>
      <c r="C168" s="8">
        <v>167</v>
      </c>
      <c r="D168" s="8">
        <f t="shared" ca="1" si="13"/>
        <v>84</v>
      </c>
      <c r="E168" s="8">
        <f t="shared" ca="1" si="14"/>
        <v>172.60000000000002</v>
      </c>
      <c r="F168" s="9" t="str">
        <f t="shared" ca="1" si="15"/>
        <v>nepřijat</v>
      </c>
    </row>
    <row r="169" spans="1:6">
      <c r="A169" s="8">
        <f t="shared" ca="1" si="17"/>
        <v>0.52860644406224155</v>
      </c>
      <c r="B169" s="8">
        <f t="shared" ca="1" si="17"/>
        <v>0.21606461794006948</v>
      </c>
      <c r="C169" s="8">
        <v>168</v>
      </c>
      <c r="D169" s="8">
        <f t="shared" ca="1" si="13"/>
        <v>78.600000000000009</v>
      </c>
      <c r="E169" s="8">
        <f t="shared" ca="1" si="14"/>
        <v>162.60000000000002</v>
      </c>
      <c r="F169" s="9" t="str">
        <f t="shared" ca="1" si="15"/>
        <v>přijat</v>
      </c>
    </row>
    <row r="170" spans="1:6">
      <c r="A170" s="8">
        <f t="shared" ca="1" si="17"/>
        <v>6.4320090101588123E-2</v>
      </c>
      <c r="B170" s="8">
        <f t="shared" ca="1" si="17"/>
        <v>0.69415985618261655</v>
      </c>
      <c r="C170" s="8">
        <v>169</v>
      </c>
      <c r="D170" s="8">
        <f t="shared" ca="1" si="13"/>
        <v>62.400000000000006</v>
      </c>
      <c r="E170" s="8">
        <f t="shared" ca="1" si="14"/>
        <v>179.4</v>
      </c>
      <c r="F170" s="9" t="str">
        <f t="shared" ca="1" si="15"/>
        <v>nepřijat</v>
      </c>
    </row>
    <row r="171" spans="1:6">
      <c r="A171" s="8">
        <f t="shared" ca="1" si="17"/>
        <v>0.29923788930211725</v>
      </c>
      <c r="B171" s="8">
        <f t="shared" ca="1" si="17"/>
        <v>0.70567987480079375</v>
      </c>
      <c r="C171" s="8">
        <v>170</v>
      </c>
      <c r="D171" s="8">
        <f t="shared" ca="1" si="13"/>
        <v>70.600000000000009</v>
      </c>
      <c r="E171" s="8">
        <f t="shared" ca="1" si="14"/>
        <v>179.8</v>
      </c>
      <c r="F171" s="9" t="str">
        <f t="shared" ca="1" si="15"/>
        <v>nepřijat</v>
      </c>
    </row>
    <row r="172" spans="1:6">
      <c r="A172" s="8">
        <f t="shared" ca="1" si="17"/>
        <v>0.16190325984535592</v>
      </c>
      <c r="B172" s="8">
        <f t="shared" ca="1" si="17"/>
        <v>0.67378796843568822</v>
      </c>
      <c r="C172" s="8">
        <v>171</v>
      </c>
      <c r="D172" s="8">
        <f t="shared" ca="1" si="13"/>
        <v>65.8</v>
      </c>
      <c r="E172" s="8">
        <f t="shared" ca="1" si="14"/>
        <v>178.60000000000002</v>
      </c>
      <c r="F172" s="9" t="str">
        <f t="shared" ca="1" si="15"/>
        <v>nepřijat</v>
      </c>
    </row>
    <row r="173" spans="1:6">
      <c r="A173" s="8">
        <f t="shared" ca="1" si="17"/>
        <v>0.61831360097642685</v>
      </c>
      <c r="B173" s="8">
        <f t="shared" ca="1" si="17"/>
        <v>0.66641788951527969</v>
      </c>
      <c r="C173" s="8">
        <v>172</v>
      </c>
      <c r="D173" s="8">
        <f t="shared" ca="1" si="13"/>
        <v>81.800000000000011</v>
      </c>
      <c r="E173" s="8">
        <f t="shared" ca="1" si="14"/>
        <v>178.4</v>
      </c>
      <c r="F173" s="9" t="str">
        <f t="shared" ca="1" si="15"/>
        <v>nepřijat</v>
      </c>
    </row>
    <row r="174" spans="1:6">
      <c r="A174" s="8">
        <f t="shared" ca="1" si="17"/>
        <v>0.69889049794387581</v>
      </c>
      <c r="B174" s="8">
        <f t="shared" ca="1" si="17"/>
        <v>0.42775918029068882</v>
      </c>
      <c r="C174" s="8">
        <v>173</v>
      </c>
      <c r="D174" s="8">
        <f t="shared" ca="1" si="13"/>
        <v>84.600000000000009</v>
      </c>
      <c r="E174" s="8">
        <f t="shared" ca="1" si="14"/>
        <v>170</v>
      </c>
      <c r="F174" s="9" t="str">
        <f t="shared" ca="1" si="15"/>
        <v>nepřijat</v>
      </c>
    </row>
    <row r="175" spans="1:6">
      <c r="A175" s="8">
        <f t="shared" ca="1" si="17"/>
        <v>9.439060126457044E-2</v>
      </c>
      <c r="B175" s="8">
        <f t="shared" ca="1" si="17"/>
        <v>0.80653837880907142</v>
      </c>
      <c r="C175" s="8">
        <v>174</v>
      </c>
      <c r="D175" s="8">
        <f t="shared" ca="1" si="13"/>
        <v>63.400000000000006</v>
      </c>
      <c r="E175" s="8">
        <f t="shared" ca="1" si="14"/>
        <v>183.4</v>
      </c>
      <c r="F175" s="9" t="str">
        <f t="shared" ca="1" si="15"/>
        <v>nepřijat</v>
      </c>
    </row>
    <row r="176" spans="1:6">
      <c r="A176" s="8">
        <f t="shared" ca="1" si="17"/>
        <v>0.53271841417445165</v>
      </c>
      <c r="B176" s="8">
        <f t="shared" ca="1" si="17"/>
        <v>0.42968620439870209</v>
      </c>
      <c r="C176" s="8">
        <v>175</v>
      </c>
      <c r="D176" s="8">
        <f t="shared" ca="1" si="13"/>
        <v>78.800000000000011</v>
      </c>
      <c r="E176" s="8">
        <f t="shared" ca="1" si="14"/>
        <v>170.20000000000002</v>
      </c>
      <c r="F176" s="9" t="str">
        <f t="shared" ca="1" si="15"/>
        <v>přijat</v>
      </c>
    </row>
    <row r="177" spans="1:6">
      <c r="A177" s="8">
        <f t="shared" ca="1" si="17"/>
        <v>0.51164821478305511</v>
      </c>
      <c r="B177" s="8">
        <f t="shared" ca="1" si="17"/>
        <v>0.77307349989793284</v>
      </c>
      <c r="C177" s="8">
        <v>176</v>
      </c>
      <c r="D177" s="8">
        <f t="shared" ca="1" si="13"/>
        <v>78</v>
      </c>
      <c r="E177" s="8">
        <f t="shared" ca="1" si="14"/>
        <v>182.20000000000002</v>
      </c>
      <c r="F177" s="9" t="str">
        <f t="shared" ca="1" si="15"/>
        <v>nepřijat</v>
      </c>
    </row>
    <row r="178" spans="1:6">
      <c r="A178" s="8">
        <f t="shared" ca="1" si="17"/>
        <v>0.93671643728465814</v>
      </c>
      <c r="B178" s="8">
        <f t="shared" ca="1" si="17"/>
        <v>0.39627052285110709</v>
      </c>
      <c r="C178" s="8">
        <v>177</v>
      </c>
      <c r="D178" s="8">
        <f t="shared" ca="1" si="13"/>
        <v>92.800000000000011</v>
      </c>
      <c r="E178" s="8">
        <f t="shared" ca="1" si="14"/>
        <v>169</v>
      </c>
      <c r="F178" s="9" t="str">
        <f t="shared" ca="1" si="15"/>
        <v>nepřijat</v>
      </c>
    </row>
    <row r="179" spans="1:6">
      <c r="A179" s="8">
        <f t="shared" ca="1" si="17"/>
        <v>0.80426264949591642</v>
      </c>
      <c r="B179" s="8">
        <f t="shared" ca="1" si="17"/>
        <v>0.86233750022667355</v>
      </c>
      <c r="C179" s="8">
        <v>178</v>
      </c>
      <c r="D179" s="8">
        <f t="shared" ca="1" si="13"/>
        <v>88.2</v>
      </c>
      <c r="E179" s="8">
        <f t="shared" ca="1" si="14"/>
        <v>185.20000000000002</v>
      </c>
      <c r="F179" s="9" t="str">
        <f t="shared" ca="1" si="15"/>
        <v>nepřijat</v>
      </c>
    </row>
    <row r="180" spans="1:6">
      <c r="A180" s="8">
        <f t="shared" ca="1" si="17"/>
        <v>0.23048987931900189</v>
      </c>
      <c r="B180" s="8">
        <f t="shared" ca="1" si="17"/>
        <v>0.78168574735038343</v>
      </c>
      <c r="C180" s="8">
        <v>179</v>
      </c>
      <c r="D180" s="8">
        <f t="shared" ca="1" si="13"/>
        <v>68.2</v>
      </c>
      <c r="E180" s="8">
        <f t="shared" ca="1" si="14"/>
        <v>182.4</v>
      </c>
      <c r="F180" s="9" t="str">
        <f t="shared" ca="1" si="15"/>
        <v>nepřijat</v>
      </c>
    </row>
    <row r="181" spans="1:6">
      <c r="A181" s="8">
        <f t="shared" ca="1" si="17"/>
        <v>0.58792127917690951</v>
      </c>
      <c r="B181" s="8">
        <f t="shared" ca="1" si="17"/>
        <v>7.2529109957423676E-2</v>
      </c>
      <c r="C181" s="8">
        <v>180</v>
      </c>
      <c r="D181" s="8">
        <f t="shared" ca="1" si="13"/>
        <v>80.600000000000009</v>
      </c>
      <c r="E181" s="8">
        <f t="shared" ca="1" si="14"/>
        <v>157.60000000000002</v>
      </c>
      <c r="F181" s="9" t="str">
        <f t="shared" ca="1" si="15"/>
        <v>zhubnout</v>
      </c>
    </row>
    <row r="182" spans="1:6">
      <c r="A182" s="8">
        <f t="shared" ref="A182:B201" ca="1" si="18">RAND()</f>
        <v>0.65613354566145166</v>
      </c>
      <c r="B182" s="8">
        <f t="shared" ca="1" si="18"/>
        <v>0.36422530225399208</v>
      </c>
      <c r="C182" s="8">
        <v>181</v>
      </c>
      <c r="D182" s="8">
        <f t="shared" ca="1" si="13"/>
        <v>83</v>
      </c>
      <c r="E182" s="8">
        <f t="shared" ca="1" si="14"/>
        <v>167.8</v>
      </c>
      <c r="F182" s="9" t="str">
        <f t="shared" ca="1" si="15"/>
        <v>zhubnout</v>
      </c>
    </row>
    <row r="183" spans="1:6">
      <c r="A183" s="8">
        <f t="shared" ca="1" si="18"/>
        <v>0.31484116289034259</v>
      </c>
      <c r="B183" s="8">
        <f t="shared" ca="1" si="18"/>
        <v>0.55634712713468915</v>
      </c>
      <c r="C183" s="8">
        <v>182</v>
      </c>
      <c r="D183" s="8">
        <f t="shared" ca="1" si="13"/>
        <v>71.2</v>
      </c>
      <c r="E183" s="8">
        <f t="shared" ca="1" si="14"/>
        <v>174.60000000000002</v>
      </c>
      <c r="F183" s="9" t="str">
        <f t="shared" ca="1" si="15"/>
        <v>přijat</v>
      </c>
    </row>
    <row r="184" spans="1:6">
      <c r="A184" s="8">
        <f t="shared" ca="1" si="18"/>
        <v>0.3225764585701032</v>
      </c>
      <c r="B184" s="8">
        <f t="shared" ca="1" si="18"/>
        <v>0.71265720325858406</v>
      </c>
      <c r="C184" s="8">
        <v>183</v>
      </c>
      <c r="D184" s="8">
        <f t="shared" ca="1" si="13"/>
        <v>71.400000000000006</v>
      </c>
      <c r="E184" s="8">
        <f t="shared" ca="1" si="14"/>
        <v>180</v>
      </c>
      <c r="F184" s="9" t="str">
        <f t="shared" ca="1" si="15"/>
        <v>nepřijat</v>
      </c>
    </row>
    <row r="185" spans="1:6">
      <c r="A185" s="8">
        <f t="shared" ca="1" si="18"/>
        <v>0.22823849714496935</v>
      </c>
      <c r="B185" s="8">
        <f t="shared" ca="1" si="18"/>
        <v>0.2413103076371681</v>
      </c>
      <c r="C185" s="8">
        <v>184</v>
      </c>
      <c r="D185" s="8">
        <f t="shared" ca="1" si="13"/>
        <v>68</v>
      </c>
      <c r="E185" s="8">
        <f t="shared" ca="1" si="14"/>
        <v>163.60000000000002</v>
      </c>
      <c r="F185" s="9" t="str">
        <f t="shared" ca="1" si="15"/>
        <v>přijat</v>
      </c>
    </row>
    <row r="186" spans="1:6">
      <c r="A186" s="8">
        <f t="shared" ca="1" si="18"/>
        <v>0.35684742478469</v>
      </c>
      <c r="B186" s="8">
        <f t="shared" ca="1" si="18"/>
        <v>6.6536199436365573E-3</v>
      </c>
      <c r="C186" s="8">
        <v>185</v>
      </c>
      <c r="D186" s="8">
        <f t="shared" ca="1" si="13"/>
        <v>72.600000000000009</v>
      </c>
      <c r="E186" s="8">
        <f t="shared" ca="1" si="14"/>
        <v>155.4</v>
      </c>
      <c r="F186" s="9" t="str">
        <f t="shared" ca="1" si="15"/>
        <v>přijat</v>
      </c>
    </row>
    <row r="187" spans="1:6">
      <c r="A187" s="8">
        <f t="shared" ca="1" si="18"/>
        <v>0.70401397519720132</v>
      </c>
      <c r="B187" s="8">
        <f t="shared" ca="1" si="18"/>
        <v>0.63968176139261745</v>
      </c>
      <c r="C187" s="8">
        <v>186</v>
      </c>
      <c r="D187" s="8">
        <f t="shared" ca="1" si="13"/>
        <v>84.800000000000011</v>
      </c>
      <c r="E187" s="8">
        <f t="shared" ca="1" si="14"/>
        <v>177.4</v>
      </c>
      <c r="F187" s="9" t="str">
        <f t="shared" ca="1" si="15"/>
        <v>nepřijat</v>
      </c>
    </row>
    <row r="188" spans="1:6">
      <c r="A188" s="8">
        <f t="shared" ca="1" si="18"/>
        <v>0.93796289743864236</v>
      </c>
      <c r="B188" s="8">
        <f t="shared" ca="1" si="18"/>
        <v>0.70769254629056932</v>
      </c>
      <c r="C188" s="8">
        <v>187</v>
      </c>
      <c r="D188" s="8">
        <f t="shared" ca="1" si="13"/>
        <v>93</v>
      </c>
      <c r="E188" s="8">
        <f t="shared" ca="1" si="14"/>
        <v>179.8</v>
      </c>
      <c r="F188" s="9" t="str">
        <f t="shared" ca="1" si="15"/>
        <v>nepřijat</v>
      </c>
    </row>
    <row r="189" spans="1:6">
      <c r="A189" s="8">
        <f t="shared" ca="1" si="18"/>
        <v>0.50375095377650869</v>
      </c>
      <c r="B189" s="8">
        <f t="shared" ca="1" si="18"/>
        <v>0.94249871089818982</v>
      </c>
      <c r="C189" s="8">
        <v>188</v>
      </c>
      <c r="D189" s="8">
        <f t="shared" ca="1" si="13"/>
        <v>77.800000000000011</v>
      </c>
      <c r="E189" s="8">
        <f t="shared" ca="1" si="14"/>
        <v>188</v>
      </c>
      <c r="F189" s="9" t="str">
        <f t="shared" ca="1" si="15"/>
        <v>nepřijat</v>
      </c>
    </row>
    <row r="190" spans="1:6">
      <c r="A190" s="8">
        <f t="shared" ca="1" si="18"/>
        <v>0.50273994792695165</v>
      </c>
      <c r="B190" s="8">
        <f t="shared" ca="1" si="18"/>
        <v>0.34648209978368505</v>
      </c>
      <c r="C190" s="8">
        <v>189</v>
      </c>
      <c r="D190" s="8">
        <f t="shared" ca="1" si="13"/>
        <v>77.600000000000009</v>
      </c>
      <c r="E190" s="8">
        <f t="shared" ca="1" si="14"/>
        <v>167.20000000000002</v>
      </c>
      <c r="F190" s="9" t="str">
        <f t="shared" ca="1" si="15"/>
        <v>přijat</v>
      </c>
    </row>
    <row r="191" spans="1:6">
      <c r="A191" s="8">
        <f t="shared" ca="1" si="18"/>
        <v>0.74745610604263202</v>
      </c>
      <c r="B191" s="8">
        <f t="shared" ca="1" si="18"/>
        <v>0.47807890100298589</v>
      </c>
      <c r="C191" s="8">
        <v>190</v>
      </c>
      <c r="D191" s="8">
        <f t="shared" ca="1" si="13"/>
        <v>86.2</v>
      </c>
      <c r="E191" s="8">
        <f t="shared" ca="1" si="14"/>
        <v>171.8</v>
      </c>
      <c r="F191" s="9" t="str">
        <f t="shared" ca="1" si="15"/>
        <v>nepřijat</v>
      </c>
    </row>
    <row r="192" spans="1:6">
      <c r="A192" s="8">
        <f t="shared" ca="1" si="18"/>
        <v>0.62655934466040442</v>
      </c>
      <c r="B192" s="8">
        <f t="shared" ca="1" si="18"/>
        <v>0.21907514332597433</v>
      </c>
      <c r="C192" s="8">
        <v>191</v>
      </c>
      <c r="D192" s="8">
        <f t="shared" ca="1" si="13"/>
        <v>82</v>
      </c>
      <c r="E192" s="8">
        <f t="shared" ca="1" si="14"/>
        <v>162.80000000000001</v>
      </c>
      <c r="F192" s="9" t="str">
        <f t="shared" ca="1" si="15"/>
        <v>zhubnout</v>
      </c>
    </row>
    <row r="193" spans="1:6">
      <c r="A193" s="8">
        <f t="shared" ca="1" si="18"/>
        <v>8.8907839642219599E-2</v>
      </c>
      <c r="B193" s="8">
        <f t="shared" ca="1" si="18"/>
        <v>0.23666380775940243</v>
      </c>
      <c r="C193" s="8">
        <v>192</v>
      </c>
      <c r="D193" s="8">
        <f t="shared" ca="1" si="13"/>
        <v>63.2</v>
      </c>
      <c r="E193" s="8">
        <f t="shared" ca="1" si="14"/>
        <v>163.4</v>
      </c>
      <c r="F193" s="9" t="str">
        <f t="shared" ca="1" si="15"/>
        <v>nepřijat</v>
      </c>
    </row>
    <row r="194" spans="1:6">
      <c r="A194" s="8">
        <f t="shared" ca="1" si="18"/>
        <v>0.55028815437636613</v>
      </c>
      <c r="B194" s="8">
        <f t="shared" ca="1" si="18"/>
        <v>0.58822411160563481</v>
      </c>
      <c r="C194" s="8">
        <v>193</v>
      </c>
      <c r="D194" s="8">
        <f t="shared" ref="D194:D257" ca="1" si="19">CEILING(A194*35+60,0.2)</f>
        <v>79.400000000000006</v>
      </c>
      <c r="E194" s="8">
        <f t="shared" ref="E194:E257" ca="1" si="20">CEILING(B194*35+155,0.2)</f>
        <v>175.60000000000002</v>
      </c>
      <c r="F194" s="9" t="str">
        <f t="shared" ca="1" si="15"/>
        <v>zhubnout</v>
      </c>
    </row>
    <row r="195" spans="1:6">
      <c r="A195" s="8">
        <f t="shared" ca="1" si="18"/>
        <v>0.7068355702292165</v>
      </c>
      <c r="B195" s="8">
        <f t="shared" ca="1" si="18"/>
        <v>0.67340789190148609</v>
      </c>
      <c r="C195" s="8">
        <v>194</v>
      </c>
      <c r="D195" s="8">
        <f t="shared" ca="1" si="19"/>
        <v>84.800000000000011</v>
      </c>
      <c r="E195" s="8">
        <f t="shared" ca="1" si="20"/>
        <v>178.60000000000002</v>
      </c>
      <c r="F195" s="9" t="str">
        <f t="shared" ref="F195:F258" ca="1" si="21">IF(AND(E195&lt;176.1,D195&gt;67.9,D195&lt;79.1),"přijat",IF(AND(E195&lt;176.1,D195&gt;78.9,D195&lt;83.1),"zhubnout",IF(AND(E195&lt;176.1,D195&lt;68.1,D195&gt;63.9),"přibrat","nepřijat")))</f>
        <v>nepřijat</v>
      </c>
    </row>
    <row r="196" spans="1:6">
      <c r="A196" s="8">
        <f t="shared" ca="1" si="18"/>
        <v>0.31185781633883636</v>
      </c>
      <c r="B196" s="8">
        <f t="shared" ca="1" si="18"/>
        <v>0.35351211518949244</v>
      </c>
      <c r="C196" s="8">
        <v>195</v>
      </c>
      <c r="D196" s="8">
        <f t="shared" ca="1" si="19"/>
        <v>71</v>
      </c>
      <c r="E196" s="8">
        <f t="shared" ca="1" si="20"/>
        <v>167.4</v>
      </c>
      <c r="F196" s="9" t="str">
        <f t="shared" ca="1" si="21"/>
        <v>přijat</v>
      </c>
    </row>
    <row r="197" spans="1:6">
      <c r="A197" s="8">
        <f t="shared" ca="1" si="18"/>
        <v>0.51093815990255631</v>
      </c>
      <c r="B197" s="8">
        <f t="shared" ca="1" si="18"/>
        <v>0.92631692885871575</v>
      </c>
      <c r="C197" s="8">
        <v>196</v>
      </c>
      <c r="D197" s="8">
        <f t="shared" ca="1" si="19"/>
        <v>78</v>
      </c>
      <c r="E197" s="8">
        <f t="shared" ca="1" si="20"/>
        <v>187.60000000000002</v>
      </c>
      <c r="F197" s="9" t="str">
        <f t="shared" ca="1" si="21"/>
        <v>nepřijat</v>
      </c>
    </row>
    <row r="198" spans="1:6">
      <c r="A198" s="8">
        <f t="shared" ca="1" si="18"/>
        <v>0.8861224293202542</v>
      </c>
      <c r="B198" s="8">
        <f t="shared" ca="1" si="18"/>
        <v>0.13728772162837832</v>
      </c>
      <c r="C198" s="8">
        <v>197</v>
      </c>
      <c r="D198" s="8">
        <f t="shared" ca="1" si="19"/>
        <v>91.2</v>
      </c>
      <c r="E198" s="8">
        <f t="shared" ca="1" si="20"/>
        <v>160</v>
      </c>
      <c r="F198" s="9" t="str">
        <f t="shared" ca="1" si="21"/>
        <v>nepřijat</v>
      </c>
    </row>
    <row r="199" spans="1:6">
      <c r="A199" s="8">
        <f t="shared" ca="1" si="18"/>
        <v>0.9241456713736923</v>
      </c>
      <c r="B199" s="8">
        <f t="shared" ca="1" si="18"/>
        <v>0.64875751055867159</v>
      </c>
      <c r="C199" s="8">
        <v>198</v>
      </c>
      <c r="D199" s="8">
        <f t="shared" ca="1" si="19"/>
        <v>92.4</v>
      </c>
      <c r="E199" s="8">
        <f t="shared" ca="1" si="20"/>
        <v>177.8</v>
      </c>
      <c r="F199" s="9" t="str">
        <f t="shared" ca="1" si="21"/>
        <v>nepřijat</v>
      </c>
    </row>
    <row r="200" spans="1:6">
      <c r="A200" s="8">
        <f t="shared" ca="1" si="18"/>
        <v>0.11870465016031428</v>
      </c>
      <c r="B200" s="8">
        <f t="shared" ca="1" si="18"/>
        <v>0.65192456872508331</v>
      </c>
      <c r="C200" s="8">
        <v>199</v>
      </c>
      <c r="D200" s="8">
        <f t="shared" ca="1" si="19"/>
        <v>64.2</v>
      </c>
      <c r="E200" s="8">
        <f t="shared" ca="1" si="20"/>
        <v>178</v>
      </c>
      <c r="F200" s="9" t="str">
        <f t="shared" ca="1" si="21"/>
        <v>nepřijat</v>
      </c>
    </row>
    <row r="201" spans="1:6">
      <c r="A201" s="8">
        <f t="shared" ca="1" si="18"/>
        <v>0.28467229771261715</v>
      </c>
      <c r="B201" s="8">
        <f t="shared" ca="1" si="18"/>
        <v>0.83288580448933314</v>
      </c>
      <c r="C201" s="8">
        <v>200</v>
      </c>
      <c r="D201" s="8">
        <f t="shared" ca="1" si="19"/>
        <v>70</v>
      </c>
      <c r="E201" s="8">
        <f t="shared" ca="1" si="20"/>
        <v>184.20000000000002</v>
      </c>
      <c r="F201" s="9" t="str">
        <f t="shared" ca="1" si="21"/>
        <v>nepřijat</v>
      </c>
    </row>
    <row r="202" spans="1:6">
      <c r="A202" s="8">
        <f t="shared" ref="A202:B221" ca="1" si="22">RAND()</f>
        <v>0.90087651701177018</v>
      </c>
      <c r="B202" s="8">
        <f t="shared" ca="1" si="22"/>
        <v>0.95599703082352439</v>
      </c>
      <c r="C202" s="8">
        <v>201</v>
      </c>
      <c r="D202" s="8">
        <f t="shared" ca="1" si="19"/>
        <v>91.600000000000009</v>
      </c>
      <c r="E202" s="8">
        <f t="shared" ca="1" si="20"/>
        <v>188.60000000000002</v>
      </c>
      <c r="F202" s="9" t="str">
        <f t="shared" ca="1" si="21"/>
        <v>nepřijat</v>
      </c>
    </row>
    <row r="203" spans="1:6">
      <c r="A203" s="8">
        <f t="shared" ca="1" si="22"/>
        <v>0.66724577363329685</v>
      </c>
      <c r="B203" s="8">
        <f t="shared" ca="1" si="22"/>
        <v>0.47067106042742235</v>
      </c>
      <c r="C203" s="8">
        <v>202</v>
      </c>
      <c r="D203" s="8">
        <f t="shared" ca="1" si="19"/>
        <v>83.4</v>
      </c>
      <c r="E203" s="8">
        <f t="shared" ca="1" si="20"/>
        <v>171.60000000000002</v>
      </c>
      <c r="F203" s="9" t="str">
        <f t="shared" ca="1" si="21"/>
        <v>nepřijat</v>
      </c>
    </row>
    <row r="204" spans="1:6">
      <c r="A204" s="8">
        <f t="shared" ca="1" si="22"/>
        <v>0.56975932561435583</v>
      </c>
      <c r="B204" s="8">
        <f t="shared" ca="1" si="22"/>
        <v>0.13734527136394381</v>
      </c>
      <c r="C204" s="8">
        <v>203</v>
      </c>
      <c r="D204" s="8">
        <f t="shared" ca="1" si="19"/>
        <v>80</v>
      </c>
      <c r="E204" s="8">
        <f t="shared" ca="1" si="20"/>
        <v>160</v>
      </c>
      <c r="F204" s="9" t="str">
        <f t="shared" ca="1" si="21"/>
        <v>zhubnout</v>
      </c>
    </row>
    <row r="205" spans="1:6">
      <c r="A205" s="8">
        <f t="shared" ca="1" si="22"/>
        <v>0.88677045499635276</v>
      </c>
      <c r="B205" s="8">
        <f t="shared" ca="1" si="22"/>
        <v>0.57366554776216616</v>
      </c>
      <c r="C205" s="8">
        <v>204</v>
      </c>
      <c r="D205" s="8">
        <f t="shared" ca="1" si="19"/>
        <v>91.2</v>
      </c>
      <c r="E205" s="8">
        <f t="shared" ca="1" si="20"/>
        <v>175.20000000000002</v>
      </c>
      <c r="F205" s="9" t="str">
        <f t="shared" ca="1" si="21"/>
        <v>nepřijat</v>
      </c>
    </row>
    <row r="206" spans="1:6">
      <c r="A206" s="8">
        <f t="shared" ca="1" si="22"/>
        <v>0.52338515973479793</v>
      </c>
      <c r="B206" s="8">
        <f t="shared" ca="1" si="22"/>
        <v>9.1643217822922618E-2</v>
      </c>
      <c r="C206" s="8">
        <v>205</v>
      </c>
      <c r="D206" s="8">
        <f t="shared" ca="1" si="19"/>
        <v>78.400000000000006</v>
      </c>
      <c r="E206" s="8">
        <f t="shared" ca="1" si="20"/>
        <v>158.4</v>
      </c>
      <c r="F206" s="9" t="str">
        <f t="shared" ca="1" si="21"/>
        <v>přijat</v>
      </c>
    </row>
    <row r="207" spans="1:6">
      <c r="A207" s="8">
        <f t="shared" ca="1" si="22"/>
        <v>0.57886017900391418</v>
      </c>
      <c r="B207" s="8">
        <f t="shared" ca="1" si="22"/>
        <v>0.20581918890107798</v>
      </c>
      <c r="C207" s="8">
        <v>206</v>
      </c>
      <c r="D207" s="8">
        <f t="shared" ca="1" si="19"/>
        <v>80.400000000000006</v>
      </c>
      <c r="E207" s="8">
        <f t="shared" ca="1" si="20"/>
        <v>162.4</v>
      </c>
      <c r="F207" s="9" t="str">
        <f t="shared" ca="1" si="21"/>
        <v>zhubnout</v>
      </c>
    </row>
    <row r="208" spans="1:6">
      <c r="A208" s="8">
        <f t="shared" ca="1" si="22"/>
        <v>0.74542088319529465</v>
      </c>
      <c r="B208" s="8">
        <f t="shared" ca="1" si="22"/>
        <v>0.69780299229430387</v>
      </c>
      <c r="C208" s="8">
        <v>207</v>
      </c>
      <c r="D208" s="8">
        <f t="shared" ca="1" si="19"/>
        <v>86.2</v>
      </c>
      <c r="E208" s="8">
        <f t="shared" ca="1" si="20"/>
        <v>179.60000000000002</v>
      </c>
      <c r="F208" s="9" t="str">
        <f t="shared" ca="1" si="21"/>
        <v>nepřijat</v>
      </c>
    </row>
    <row r="209" spans="1:6">
      <c r="A209" s="8">
        <f t="shared" ca="1" si="22"/>
        <v>1.4421048537462955E-2</v>
      </c>
      <c r="B209" s="8">
        <f t="shared" ca="1" si="22"/>
        <v>0.14862317952308757</v>
      </c>
      <c r="C209" s="8">
        <v>208</v>
      </c>
      <c r="D209" s="8">
        <f t="shared" ca="1" si="19"/>
        <v>60.6</v>
      </c>
      <c r="E209" s="8">
        <f t="shared" ca="1" si="20"/>
        <v>160.4</v>
      </c>
      <c r="F209" s="9" t="str">
        <f t="shared" ca="1" si="21"/>
        <v>nepřijat</v>
      </c>
    </row>
    <row r="210" spans="1:6">
      <c r="A210" s="8">
        <f t="shared" ca="1" si="22"/>
        <v>0.57189251138654029</v>
      </c>
      <c r="B210" s="8">
        <f t="shared" ca="1" si="22"/>
        <v>0.49707050405179065</v>
      </c>
      <c r="C210" s="8">
        <v>209</v>
      </c>
      <c r="D210" s="8">
        <f t="shared" ca="1" si="19"/>
        <v>80.2</v>
      </c>
      <c r="E210" s="8">
        <f t="shared" ca="1" si="20"/>
        <v>172.4</v>
      </c>
      <c r="F210" s="9" t="str">
        <f t="shared" ca="1" si="21"/>
        <v>zhubnout</v>
      </c>
    </row>
    <row r="211" spans="1:6">
      <c r="A211" s="8">
        <f t="shared" ca="1" si="22"/>
        <v>0.96525646193005654</v>
      </c>
      <c r="B211" s="8">
        <f t="shared" ca="1" si="22"/>
        <v>0.61526141186915539</v>
      </c>
      <c r="C211" s="8">
        <v>210</v>
      </c>
      <c r="D211" s="8">
        <f t="shared" ca="1" si="19"/>
        <v>93.800000000000011</v>
      </c>
      <c r="E211" s="8">
        <f t="shared" ca="1" si="20"/>
        <v>176.60000000000002</v>
      </c>
      <c r="F211" s="9" t="str">
        <f t="shared" ca="1" si="21"/>
        <v>nepřijat</v>
      </c>
    </row>
    <row r="212" spans="1:6">
      <c r="A212" s="8">
        <f t="shared" ca="1" si="22"/>
        <v>0.79823007159641424</v>
      </c>
      <c r="B212" s="8">
        <f t="shared" ca="1" si="22"/>
        <v>4.887971421563353E-2</v>
      </c>
      <c r="C212" s="8">
        <v>211</v>
      </c>
      <c r="D212" s="8">
        <f t="shared" ca="1" si="19"/>
        <v>88</v>
      </c>
      <c r="E212" s="8">
        <f t="shared" ca="1" si="20"/>
        <v>156.80000000000001</v>
      </c>
      <c r="F212" s="9" t="str">
        <f t="shared" ca="1" si="21"/>
        <v>nepřijat</v>
      </c>
    </row>
    <row r="213" spans="1:6">
      <c r="A213" s="8">
        <f t="shared" ca="1" si="22"/>
        <v>0.25518538464332896</v>
      </c>
      <c r="B213" s="8">
        <f t="shared" ca="1" si="22"/>
        <v>0.15579178210477784</v>
      </c>
      <c r="C213" s="8">
        <v>212</v>
      </c>
      <c r="D213" s="8">
        <f t="shared" ca="1" si="19"/>
        <v>69</v>
      </c>
      <c r="E213" s="8">
        <f t="shared" ca="1" si="20"/>
        <v>160.60000000000002</v>
      </c>
      <c r="F213" s="9" t="str">
        <f t="shared" ca="1" si="21"/>
        <v>přijat</v>
      </c>
    </row>
    <row r="214" spans="1:6">
      <c r="A214" s="8">
        <f t="shared" ca="1" si="22"/>
        <v>0.80488383914440242</v>
      </c>
      <c r="B214" s="8">
        <f t="shared" ca="1" si="22"/>
        <v>4.2816696201004478E-2</v>
      </c>
      <c r="C214" s="8">
        <v>213</v>
      </c>
      <c r="D214" s="8">
        <f t="shared" ca="1" si="19"/>
        <v>88.2</v>
      </c>
      <c r="E214" s="8">
        <f t="shared" ca="1" si="20"/>
        <v>156.60000000000002</v>
      </c>
      <c r="F214" s="9" t="str">
        <f t="shared" ca="1" si="21"/>
        <v>nepřijat</v>
      </c>
    </row>
    <row r="215" spans="1:6">
      <c r="A215" s="8">
        <f t="shared" ca="1" si="22"/>
        <v>0.76001113128050946</v>
      </c>
      <c r="B215" s="8">
        <f t="shared" ca="1" si="22"/>
        <v>4.5815977822781795E-3</v>
      </c>
      <c r="C215" s="8">
        <v>214</v>
      </c>
      <c r="D215" s="8">
        <f t="shared" ca="1" si="19"/>
        <v>86.800000000000011</v>
      </c>
      <c r="E215" s="8">
        <f t="shared" ca="1" si="20"/>
        <v>155.20000000000002</v>
      </c>
      <c r="F215" s="9" t="str">
        <f t="shared" ca="1" si="21"/>
        <v>nepřijat</v>
      </c>
    </row>
    <row r="216" spans="1:6">
      <c r="A216" s="8">
        <f t="shared" ca="1" si="22"/>
        <v>0.1959854602681137</v>
      </c>
      <c r="B216" s="8">
        <f t="shared" ca="1" si="22"/>
        <v>0.88714874802245158</v>
      </c>
      <c r="C216" s="8">
        <v>215</v>
      </c>
      <c r="D216" s="8">
        <f t="shared" ca="1" si="19"/>
        <v>67</v>
      </c>
      <c r="E216" s="8">
        <f t="shared" ca="1" si="20"/>
        <v>186.20000000000002</v>
      </c>
      <c r="F216" s="9" t="str">
        <f t="shared" ca="1" si="21"/>
        <v>nepřijat</v>
      </c>
    </row>
    <row r="217" spans="1:6">
      <c r="A217" s="8">
        <f t="shared" ca="1" si="22"/>
        <v>0.18031930761223747</v>
      </c>
      <c r="B217" s="8">
        <f t="shared" ca="1" si="22"/>
        <v>0.99362346725303319</v>
      </c>
      <c r="C217" s="8">
        <v>216</v>
      </c>
      <c r="D217" s="8">
        <f t="shared" ca="1" si="19"/>
        <v>66.400000000000006</v>
      </c>
      <c r="E217" s="8">
        <f t="shared" ca="1" si="20"/>
        <v>189.8</v>
      </c>
      <c r="F217" s="9" t="str">
        <f t="shared" ca="1" si="21"/>
        <v>nepřijat</v>
      </c>
    </row>
    <row r="218" spans="1:6">
      <c r="A218" s="8">
        <f t="shared" ca="1" si="22"/>
        <v>4.7724347327516514E-2</v>
      </c>
      <c r="B218" s="8">
        <f t="shared" ca="1" si="22"/>
        <v>0.85870258930117549</v>
      </c>
      <c r="C218" s="8">
        <v>217</v>
      </c>
      <c r="D218" s="8">
        <f t="shared" ca="1" si="19"/>
        <v>61.800000000000004</v>
      </c>
      <c r="E218" s="8">
        <f t="shared" ca="1" si="20"/>
        <v>185.20000000000002</v>
      </c>
      <c r="F218" s="9" t="str">
        <f t="shared" ca="1" si="21"/>
        <v>nepřijat</v>
      </c>
    </row>
    <row r="219" spans="1:6">
      <c r="A219" s="8">
        <f t="shared" ca="1" si="22"/>
        <v>0.47711254941066239</v>
      </c>
      <c r="B219" s="8">
        <f t="shared" ca="1" si="22"/>
        <v>0.40880800536011397</v>
      </c>
      <c r="C219" s="8">
        <v>218</v>
      </c>
      <c r="D219" s="8">
        <f t="shared" ca="1" si="19"/>
        <v>76.800000000000011</v>
      </c>
      <c r="E219" s="8">
        <f t="shared" ca="1" si="20"/>
        <v>169.4</v>
      </c>
      <c r="F219" s="9" t="str">
        <f t="shared" ca="1" si="21"/>
        <v>přijat</v>
      </c>
    </row>
    <row r="220" spans="1:6">
      <c r="A220" s="8">
        <f t="shared" ca="1" si="22"/>
        <v>0.58404242156237796</v>
      </c>
      <c r="B220" s="8">
        <f t="shared" ca="1" si="22"/>
        <v>0.83208345158342945</v>
      </c>
      <c r="C220" s="8">
        <v>219</v>
      </c>
      <c r="D220" s="8">
        <f t="shared" ca="1" si="19"/>
        <v>80.600000000000009</v>
      </c>
      <c r="E220" s="8">
        <f t="shared" ca="1" si="20"/>
        <v>184.20000000000002</v>
      </c>
      <c r="F220" s="9" t="str">
        <f t="shared" ca="1" si="21"/>
        <v>nepřijat</v>
      </c>
    </row>
    <row r="221" spans="1:6">
      <c r="A221" s="8">
        <f t="shared" ca="1" si="22"/>
        <v>0.83058603817528887</v>
      </c>
      <c r="B221" s="8">
        <f t="shared" ca="1" si="22"/>
        <v>0.60801337562963109</v>
      </c>
      <c r="C221" s="8">
        <v>220</v>
      </c>
      <c r="D221" s="8">
        <f t="shared" ca="1" si="19"/>
        <v>89.2</v>
      </c>
      <c r="E221" s="8">
        <f t="shared" ca="1" si="20"/>
        <v>176.4</v>
      </c>
      <c r="F221" s="9" t="str">
        <f t="shared" ca="1" si="21"/>
        <v>nepřijat</v>
      </c>
    </row>
    <row r="222" spans="1:6">
      <c r="A222" s="8">
        <f t="shared" ref="A222:B241" ca="1" si="23">RAND()</f>
        <v>0.80420688683720898</v>
      </c>
      <c r="B222" s="8">
        <f t="shared" ca="1" si="23"/>
        <v>0.76926084698587993</v>
      </c>
      <c r="C222" s="8">
        <v>221</v>
      </c>
      <c r="D222" s="8">
        <f t="shared" ca="1" si="19"/>
        <v>88.2</v>
      </c>
      <c r="E222" s="8">
        <f t="shared" ca="1" si="20"/>
        <v>182</v>
      </c>
      <c r="F222" s="9" t="str">
        <f t="shared" ca="1" si="21"/>
        <v>nepřijat</v>
      </c>
    </row>
    <row r="223" spans="1:6">
      <c r="A223" s="8">
        <f t="shared" ca="1" si="23"/>
        <v>0.33019191249680335</v>
      </c>
      <c r="B223" s="8">
        <f t="shared" ca="1" si="23"/>
        <v>0.57836537623585138</v>
      </c>
      <c r="C223" s="8">
        <v>222</v>
      </c>
      <c r="D223" s="8">
        <f t="shared" ca="1" si="19"/>
        <v>71.600000000000009</v>
      </c>
      <c r="E223" s="8">
        <f t="shared" ca="1" si="20"/>
        <v>175.4</v>
      </c>
      <c r="F223" s="9" t="str">
        <f t="shared" ca="1" si="21"/>
        <v>přijat</v>
      </c>
    </row>
    <row r="224" spans="1:6">
      <c r="A224" s="8">
        <f t="shared" ca="1" si="23"/>
        <v>0.93185655666150013</v>
      </c>
      <c r="B224" s="8">
        <f t="shared" ca="1" si="23"/>
        <v>0.86930333182863284</v>
      </c>
      <c r="C224" s="8">
        <v>223</v>
      </c>
      <c r="D224" s="8">
        <f t="shared" ca="1" si="19"/>
        <v>92.800000000000011</v>
      </c>
      <c r="E224" s="8">
        <f t="shared" ca="1" si="20"/>
        <v>185.60000000000002</v>
      </c>
      <c r="F224" s="9" t="str">
        <f t="shared" ca="1" si="21"/>
        <v>nepřijat</v>
      </c>
    </row>
    <row r="225" spans="1:6">
      <c r="A225" s="8">
        <f t="shared" ca="1" si="23"/>
        <v>0.42759518686697895</v>
      </c>
      <c r="B225" s="8">
        <f t="shared" ca="1" si="23"/>
        <v>0.52630717339455968</v>
      </c>
      <c r="C225" s="8">
        <v>224</v>
      </c>
      <c r="D225" s="8">
        <f t="shared" ca="1" si="19"/>
        <v>75</v>
      </c>
      <c r="E225" s="8">
        <f t="shared" ca="1" si="20"/>
        <v>173.60000000000002</v>
      </c>
      <c r="F225" s="9" t="str">
        <f t="shared" ca="1" si="21"/>
        <v>přijat</v>
      </c>
    </row>
    <row r="226" spans="1:6">
      <c r="A226" s="8">
        <f t="shared" ca="1" si="23"/>
        <v>0.67343920610773511</v>
      </c>
      <c r="B226" s="8">
        <f t="shared" ca="1" si="23"/>
        <v>0.21276403392180354</v>
      </c>
      <c r="C226" s="8">
        <v>225</v>
      </c>
      <c r="D226" s="8">
        <f t="shared" ca="1" si="19"/>
        <v>83.600000000000009</v>
      </c>
      <c r="E226" s="8">
        <f t="shared" ca="1" si="20"/>
        <v>162.60000000000002</v>
      </c>
      <c r="F226" s="9" t="str">
        <f t="shared" ca="1" si="21"/>
        <v>nepřijat</v>
      </c>
    </row>
    <row r="227" spans="1:6">
      <c r="A227" s="8">
        <f t="shared" ca="1" si="23"/>
        <v>6.3967817729124632E-2</v>
      </c>
      <c r="B227" s="8">
        <f t="shared" ca="1" si="23"/>
        <v>0.99822939033818792</v>
      </c>
      <c r="C227" s="8">
        <v>226</v>
      </c>
      <c r="D227" s="8">
        <f t="shared" ca="1" si="19"/>
        <v>62.400000000000006</v>
      </c>
      <c r="E227" s="8">
        <f t="shared" ca="1" si="20"/>
        <v>190</v>
      </c>
      <c r="F227" s="9" t="str">
        <f t="shared" ca="1" si="21"/>
        <v>nepřijat</v>
      </c>
    </row>
    <row r="228" spans="1:6">
      <c r="A228" s="8">
        <f t="shared" ca="1" si="23"/>
        <v>0.95839609272232829</v>
      </c>
      <c r="B228" s="8">
        <f t="shared" ca="1" si="23"/>
        <v>0.29920989861890968</v>
      </c>
      <c r="C228" s="8">
        <v>227</v>
      </c>
      <c r="D228" s="8">
        <f t="shared" ca="1" si="19"/>
        <v>93.600000000000009</v>
      </c>
      <c r="E228" s="8">
        <f t="shared" ca="1" si="20"/>
        <v>165.60000000000002</v>
      </c>
      <c r="F228" s="9" t="str">
        <f t="shared" ca="1" si="21"/>
        <v>nepřijat</v>
      </c>
    </row>
    <row r="229" spans="1:6">
      <c r="A229" s="8">
        <f t="shared" ca="1" si="23"/>
        <v>0.75330603813511432</v>
      </c>
      <c r="B229" s="8">
        <f t="shared" ca="1" si="23"/>
        <v>0.9749947021914005</v>
      </c>
      <c r="C229" s="8">
        <v>228</v>
      </c>
      <c r="D229" s="8">
        <f t="shared" ca="1" si="19"/>
        <v>86.4</v>
      </c>
      <c r="E229" s="8">
        <f t="shared" ca="1" si="20"/>
        <v>189.20000000000002</v>
      </c>
      <c r="F229" s="9" t="str">
        <f t="shared" ca="1" si="21"/>
        <v>nepřijat</v>
      </c>
    </row>
    <row r="230" spans="1:6">
      <c r="A230" s="8">
        <f t="shared" ca="1" si="23"/>
        <v>0.46083073072396952</v>
      </c>
      <c r="B230" s="8">
        <f t="shared" ca="1" si="23"/>
        <v>0.82961412930416445</v>
      </c>
      <c r="C230" s="8">
        <v>229</v>
      </c>
      <c r="D230" s="8">
        <f t="shared" ca="1" si="19"/>
        <v>76.2</v>
      </c>
      <c r="E230" s="8">
        <f t="shared" ca="1" si="20"/>
        <v>184.20000000000002</v>
      </c>
      <c r="F230" s="9" t="str">
        <f t="shared" ca="1" si="21"/>
        <v>nepřijat</v>
      </c>
    </row>
    <row r="231" spans="1:6">
      <c r="A231" s="8">
        <f t="shared" ca="1" si="23"/>
        <v>0.40571636413468937</v>
      </c>
      <c r="B231" s="8">
        <f t="shared" ca="1" si="23"/>
        <v>0.28122660634028884</v>
      </c>
      <c r="C231" s="8">
        <v>230</v>
      </c>
      <c r="D231" s="8">
        <f t="shared" ca="1" si="19"/>
        <v>74.400000000000006</v>
      </c>
      <c r="E231" s="8">
        <f t="shared" ca="1" si="20"/>
        <v>165</v>
      </c>
      <c r="F231" s="9" t="str">
        <f t="shared" ca="1" si="21"/>
        <v>přijat</v>
      </c>
    </row>
    <row r="232" spans="1:6">
      <c r="A232" s="8">
        <f t="shared" ca="1" si="23"/>
        <v>0.53425503947592257</v>
      </c>
      <c r="B232" s="8">
        <f t="shared" ca="1" si="23"/>
        <v>0.27816255036537096</v>
      </c>
      <c r="C232" s="8">
        <v>231</v>
      </c>
      <c r="D232" s="8">
        <f t="shared" ca="1" si="19"/>
        <v>78.800000000000011</v>
      </c>
      <c r="E232" s="8">
        <f t="shared" ca="1" si="20"/>
        <v>164.8</v>
      </c>
      <c r="F232" s="9" t="str">
        <f t="shared" ca="1" si="21"/>
        <v>přijat</v>
      </c>
    </row>
    <row r="233" spans="1:6">
      <c r="A233" s="8">
        <f t="shared" ca="1" si="23"/>
        <v>0.18955462739773976</v>
      </c>
      <c r="B233" s="8">
        <f t="shared" ca="1" si="23"/>
        <v>7.1821549246898764E-2</v>
      </c>
      <c r="C233" s="8">
        <v>232</v>
      </c>
      <c r="D233" s="8">
        <f t="shared" ca="1" si="19"/>
        <v>66.8</v>
      </c>
      <c r="E233" s="8">
        <f t="shared" ca="1" si="20"/>
        <v>157.60000000000002</v>
      </c>
      <c r="F233" s="9" t="str">
        <f t="shared" ca="1" si="21"/>
        <v>přibrat</v>
      </c>
    </row>
    <row r="234" spans="1:6">
      <c r="A234" s="8">
        <f t="shared" ca="1" si="23"/>
        <v>0.99954654937942966</v>
      </c>
      <c r="B234" s="8">
        <f t="shared" ca="1" si="23"/>
        <v>0.42504650590363047</v>
      </c>
      <c r="C234" s="8">
        <v>233</v>
      </c>
      <c r="D234" s="8">
        <f t="shared" ca="1" si="19"/>
        <v>95</v>
      </c>
      <c r="E234" s="8">
        <f t="shared" ca="1" si="20"/>
        <v>170</v>
      </c>
      <c r="F234" s="9" t="str">
        <f t="shared" ca="1" si="21"/>
        <v>nepřijat</v>
      </c>
    </row>
    <row r="235" spans="1:6">
      <c r="A235" s="8">
        <f t="shared" ca="1" si="23"/>
        <v>0.91555911618585217</v>
      </c>
      <c r="B235" s="8">
        <f t="shared" ca="1" si="23"/>
        <v>0.84906161603019226</v>
      </c>
      <c r="C235" s="8">
        <v>234</v>
      </c>
      <c r="D235" s="8">
        <f t="shared" ca="1" si="19"/>
        <v>92.2</v>
      </c>
      <c r="E235" s="8">
        <f t="shared" ca="1" si="20"/>
        <v>184.8</v>
      </c>
      <c r="F235" s="9" t="str">
        <f t="shared" ca="1" si="21"/>
        <v>nepřijat</v>
      </c>
    </row>
    <row r="236" spans="1:6">
      <c r="A236" s="8">
        <f t="shared" ca="1" si="23"/>
        <v>0.96899476233620241</v>
      </c>
      <c r="B236" s="8">
        <f t="shared" ca="1" si="23"/>
        <v>0.17319575080720007</v>
      </c>
      <c r="C236" s="8">
        <v>235</v>
      </c>
      <c r="D236" s="8">
        <f t="shared" ca="1" si="19"/>
        <v>94</v>
      </c>
      <c r="E236" s="8">
        <f t="shared" ca="1" si="20"/>
        <v>161.20000000000002</v>
      </c>
      <c r="F236" s="9" t="str">
        <f t="shared" ca="1" si="21"/>
        <v>nepřijat</v>
      </c>
    </row>
    <row r="237" spans="1:6">
      <c r="A237" s="8">
        <f t="shared" ca="1" si="23"/>
        <v>0.33682042397372502</v>
      </c>
      <c r="B237" s="8">
        <f t="shared" ca="1" si="23"/>
        <v>0.31595770126364742</v>
      </c>
      <c r="C237" s="8">
        <v>236</v>
      </c>
      <c r="D237" s="8">
        <f t="shared" ca="1" si="19"/>
        <v>71.8</v>
      </c>
      <c r="E237" s="8">
        <f t="shared" ca="1" si="20"/>
        <v>166.20000000000002</v>
      </c>
      <c r="F237" s="9" t="str">
        <f t="shared" ca="1" si="21"/>
        <v>přijat</v>
      </c>
    </row>
    <row r="238" spans="1:6">
      <c r="A238" s="8">
        <f t="shared" ca="1" si="23"/>
        <v>7.8710568505096612E-2</v>
      </c>
      <c r="B238" s="8">
        <f t="shared" ca="1" si="23"/>
        <v>0.24710761173341922</v>
      </c>
      <c r="C238" s="8">
        <v>237</v>
      </c>
      <c r="D238" s="8">
        <f t="shared" ca="1" si="19"/>
        <v>62.800000000000004</v>
      </c>
      <c r="E238" s="8">
        <f t="shared" ca="1" si="20"/>
        <v>163.80000000000001</v>
      </c>
      <c r="F238" s="9" t="str">
        <f t="shared" ca="1" si="21"/>
        <v>nepřijat</v>
      </c>
    </row>
    <row r="239" spans="1:6">
      <c r="A239" s="8">
        <f t="shared" ca="1" si="23"/>
        <v>0.50818989828535555</v>
      </c>
      <c r="B239" s="8">
        <f t="shared" ca="1" si="23"/>
        <v>0.95798675899372998</v>
      </c>
      <c r="C239" s="8">
        <v>238</v>
      </c>
      <c r="D239" s="8">
        <f t="shared" ca="1" si="19"/>
        <v>77.800000000000011</v>
      </c>
      <c r="E239" s="8">
        <f t="shared" ca="1" si="20"/>
        <v>188.60000000000002</v>
      </c>
      <c r="F239" s="9" t="str">
        <f t="shared" ca="1" si="21"/>
        <v>nepřijat</v>
      </c>
    </row>
    <row r="240" spans="1:6">
      <c r="A240" s="8">
        <f t="shared" ca="1" si="23"/>
        <v>0.5150611876002843</v>
      </c>
      <c r="B240" s="8">
        <f t="shared" ca="1" si="23"/>
        <v>0.52146711114397004</v>
      </c>
      <c r="C240" s="8">
        <v>239</v>
      </c>
      <c r="D240" s="8">
        <f t="shared" ca="1" si="19"/>
        <v>78.2</v>
      </c>
      <c r="E240" s="8">
        <f t="shared" ca="1" si="20"/>
        <v>173.4</v>
      </c>
      <c r="F240" s="9" t="str">
        <f t="shared" ca="1" si="21"/>
        <v>přijat</v>
      </c>
    </row>
    <row r="241" spans="1:6">
      <c r="A241" s="8">
        <f t="shared" ca="1" si="23"/>
        <v>0.27043956045160267</v>
      </c>
      <c r="B241" s="8">
        <f t="shared" ca="1" si="23"/>
        <v>0.97099226999489252</v>
      </c>
      <c r="C241" s="8">
        <v>240</v>
      </c>
      <c r="D241" s="8">
        <f t="shared" ca="1" si="19"/>
        <v>69.600000000000009</v>
      </c>
      <c r="E241" s="8">
        <f t="shared" ca="1" si="20"/>
        <v>189</v>
      </c>
      <c r="F241" s="9" t="str">
        <f t="shared" ca="1" si="21"/>
        <v>nepřijat</v>
      </c>
    </row>
    <row r="242" spans="1:6">
      <c r="A242" s="8">
        <f t="shared" ref="A242:B261" ca="1" si="24">RAND()</f>
        <v>0.99718436852329351</v>
      </c>
      <c r="B242" s="8">
        <f t="shared" ca="1" si="24"/>
        <v>2.5441839778993058E-2</v>
      </c>
      <c r="C242" s="8">
        <v>241</v>
      </c>
      <c r="D242" s="8">
        <f t="shared" ca="1" si="19"/>
        <v>95</v>
      </c>
      <c r="E242" s="8">
        <f t="shared" ca="1" si="20"/>
        <v>156</v>
      </c>
      <c r="F242" s="9" t="str">
        <f t="shared" ca="1" si="21"/>
        <v>nepřijat</v>
      </c>
    </row>
    <row r="243" spans="1:6">
      <c r="A243" s="8">
        <f t="shared" ca="1" si="24"/>
        <v>0.78529015478519504</v>
      </c>
      <c r="B243" s="8">
        <f t="shared" ca="1" si="24"/>
        <v>0.87608791692454402</v>
      </c>
      <c r="C243" s="8">
        <v>242</v>
      </c>
      <c r="D243" s="8">
        <f t="shared" ca="1" si="19"/>
        <v>87.600000000000009</v>
      </c>
      <c r="E243" s="8">
        <f t="shared" ca="1" si="20"/>
        <v>185.8</v>
      </c>
      <c r="F243" s="9" t="str">
        <f t="shared" ca="1" si="21"/>
        <v>nepřijat</v>
      </c>
    </row>
    <row r="244" spans="1:6">
      <c r="A244" s="8">
        <f t="shared" ca="1" si="24"/>
        <v>5.1117127236634752E-2</v>
      </c>
      <c r="B244" s="8">
        <f t="shared" ca="1" si="24"/>
        <v>0.18479901424347345</v>
      </c>
      <c r="C244" s="8">
        <v>243</v>
      </c>
      <c r="D244" s="8">
        <f t="shared" ca="1" si="19"/>
        <v>61.800000000000004</v>
      </c>
      <c r="E244" s="8">
        <f t="shared" ca="1" si="20"/>
        <v>161.60000000000002</v>
      </c>
      <c r="F244" s="9" t="str">
        <f t="shared" ca="1" si="21"/>
        <v>nepřijat</v>
      </c>
    </row>
    <row r="245" spans="1:6">
      <c r="A245" s="8">
        <f t="shared" ca="1" si="24"/>
        <v>0.11557701675765708</v>
      </c>
      <c r="B245" s="8">
        <f t="shared" ca="1" si="24"/>
        <v>0.43989639983685469</v>
      </c>
      <c r="C245" s="8">
        <v>244</v>
      </c>
      <c r="D245" s="8">
        <f t="shared" ca="1" si="19"/>
        <v>64.2</v>
      </c>
      <c r="E245" s="8">
        <f t="shared" ca="1" si="20"/>
        <v>170.4</v>
      </c>
      <c r="F245" s="9" t="str">
        <f t="shared" ca="1" si="21"/>
        <v>přibrat</v>
      </c>
    </row>
    <row r="246" spans="1:6">
      <c r="A246" s="8">
        <f t="shared" ca="1" si="24"/>
        <v>0.41888408766718044</v>
      </c>
      <c r="B246" s="8">
        <f t="shared" ca="1" si="24"/>
        <v>0.66038611111218726</v>
      </c>
      <c r="C246" s="8">
        <v>245</v>
      </c>
      <c r="D246" s="8">
        <f t="shared" ca="1" si="19"/>
        <v>74.8</v>
      </c>
      <c r="E246" s="8">
        <f t="shared" ca="1" si="20"/>
        <v>178.20000000000002</v>
      </c>
      <c r="F246" s="9" t="str">
        <f t="shared" ca="1" si="21"/>
        <v>nepřijat</v>
      </c>
    </row>
    <row r="247" spans="1:6">
      <c r="A247" s="8">
        <f t="shared" ca="1" si="24"/>
        <v>0.87283177956092661</v>
      </c>
      <c r="B247" s="8">
        <f t="shared" ca="1" si="24"/>
        <v>0.34495103192740673</v>
      </c>
      <c r="C247" s="8">
        <v>246</v>
      </c>
      <c r="D247" s="8">
        <f t="shared" ca="1" si="19"/>
        <v>90.600000000000009</v>
      </c>
      <c r="E247" s="8">
        <f t="shared" ca="1" si="20"/>
        <v>167.20000000000002</v>
      </c>
      <c r="F247" s="9" t="str">
        <f t="shared" ca="1" si="21"/>
        <v>nepřijat</v>
      </c>
    </row>
    <row r="248" spans="1:6">
      <c r="A248" s="8">
        <f t="shared" ca="1" si="24"/>
        <v>0.2090423387937661</v>
      </c>
      <c r="B248" s="8">
        <f t="shared" ca="1" si="24"/>
        <v>0.95139496243434618</v>
      </c>
      <c r="C248" s="8">
        <v>247</v>
      </c>
      <c r="D248" s="8">
        <f t="shared" ca="1" si="19"/>
        <v>67.400000000000006</v>
      </c>
      <c r="E248" s="8">
        <f t="shared" ca="1" si="20"/>
        <v>188.4</v>
      </c>
      <c r="F248" s="9" t="str">
        <f t="shared" ca="1" si="21"/>
        <v>nepřijat</v>
      </c>
    </row>
    <row r="249" spans="1:6">
      <c r="A249" s="8">
        <f t="shared" ca="1" si="24"/>
        <v>0.13427943235876039</v>
      </c>
      <c r="B249" s="8">
        <f t="shared" ca="1" si="24"/>
        <v>0.57984602253194817</v>
      </c>
      <c r="C249" s="8">
        <v>248</v>
      </c>
      <c r="D249" s="8">
        <f t="shared" ca="1" si="19"/>
        <v>64.8</v>
      </c>
      <c r="E249" s="8">
        <f t="shared" ca="1" si="20"/>
        <v>175.4</v>
      </c>
      <c r="F249" s="9" t="str">
        <f t="shared" ca="1" si="21"/>
        <v>přibrat</v>
      </c>
    </row>
    <row r="250" spans="1:6">
      <c r="A250" s="8">
        <f t="shared" ca="1" si="24"/>
        <v>0.13375346088506168</v>
      </c>
      <c r="B250" s="8">
        <f t="shared" ca="1" si="24"/>
        <v>0.98084929336076954</v>
      </c>
      <c r="C250" s="8">
        <v>249</v>
      </c>
      <c r="D250" s="8">
        <f t="shared" ca="1" si="19"/>
        <v>64.8</v>
      </c>
      <c r="E250" s="8">
        <f t="shared" ca="1" si="20"/>
        <v>189.4</v>
      </c>
      <c r="F250" s="9" t="str">
        <f t="shared" ca="1" si="21"/>
        <v>nepřijat</v>
      </c>
    </row>
    <row r="251" spans="1:6">
      <c r="A251" s="8">
        <f t="shared" ca="1" si="24"/>
        <v>0.46754703954262411</v>
      </c>
      <c r="B251" s="8">
        <f t="shared" ca="1" si="24"/>
        <v>0.1428441857686692</v>
      </c>
      <c r="C251" s="8">
        <v>250</v>
      </c>
      <c r="D251" s="8">
        <f t="shared" ca="1" si="19"/>
        <v>76.400000000000006</v>
      </c>
      <c r="E251" s="8">
        <f t="shared" ca="1" si="20"/>
        <v>160</v>
      </c>
      <c r="F251" s="9" t="str">
        <f t="shared" ca="1" si="21"/>
        <v>přijat</v>
      </c>
    </row>
    <row r="252" spans="1:6">
      <c r="A252" s="8">
        <f t="shared" ca="1" si="24"/>
        <v>0.69498911754739245</v>
      </c>
      <c r="B252" s="8">
        <f t="shared" ca="1" si="24"/>
        <v>1.0407849711024264E-2</v>
      </c>
      <c r="C252" s="8">
        <v>251</v>
      </c>
      <c r="D252" s="8">
        <f t="shared" ca="1" si="19"/>
        <v>84.4</v>
      </c>
      <c r="E252" s="8">
        <f t="shared" ca="1" si="20"/>
        <v>155.4</v>
      </c>
      <c r="F252" s="9" t="str">
        <f t="shared" ca="1" si="21"/>
        <v>nepřijat</v>
      </c>
    </row>
    <row r="253" spans="1:6">
      <c r="A253" s="8">
        <f t="shared" ca="1" si="24"/>
        <v>4.939556090433328E-2</v>
      </c>
      <c r="B253" s="8">
        <f t="shared" ca="1" si="24"/>
        <v>0.20686369411369698</v>
      </c>
      <c r="C253" s="8">
        <v>252</v>
      </c>
      <c r="D253" s="8">
        <f t="shared" ca="1" si="19"/>
        <v>61.800000000000004</v>
      </c>
      <c r="E253" s="8">
        <f t="shared" ca="1" si="20"/>
        <v>162.4</v>
      </c>
      <c r="F253" s="9" t="str">
        <f t="shared" ca="1" si="21"/>
        <v>nepřijat</v>
      </c>
    </row>
    <row r="254" spans="1:6">
      <c r="A254" s="8">
        <f t="shared" ca="1" si="24"/>
        <v>0.95255638169230383</v>
      </c>
      <c r="B254" s="8">
        <f t="shared" ca="1" si="24"/>
        <v>0.85689060928347793</v>
      </c>
      <c r="C254" s="8">
        <v>253</v>
      </c>
      <c r="D254" s="8">
        <f t="shared" ca="1" si="19"/>
        <v>93.4</v>
      </c>
      <c r="E254" s="8">
        <f t="shared" ca="1" si="20"/>
        <v>185</v>
      </c>
      <c r="F254" s="9" t="str">
        <f t="shared" ca="1" si="21"/>
        <v>nepřijat</v>
      </c>
    </row>
    <row r="255" spans="1:6">
      <c r="A255" s="8">
        <f t="shared" ca="1" si="24"/>
        <v>0.79845700133143616</v>
      </c>
      <c r="B255" s="8">
        <f t="shared" ca="1" si="24"/>
        <v>0.87389630902468696</v>
      </c>
      <c r="C255" s="8">
        <v>254</v>
      </c>
      <c r="D255" s="8">
        <f t="shared" ca="1" si="19"/>
        <v>88</v>
      </c>
      <c r="E255" s="8">
        <f t="shared" ca="1" si="20"/>
        <v>185.60000000000002</v>
      </c>
      <c r="F255" s="9" t="str">
        <f t="shared" ca="1" si="21"/>
        <v>nepřijat</v>
      </c>
    </row>
    <row r="256" spans="1:6">
      <c r="A256" s="8">
        <f t="shared" ca="1" si="24"/>
        <v>0.50486719781776535</v>
      </c>
      <c r="B256" s="8">
        <f t="shared" ca="1" si="24"/>
        <v>0.69995226124386078</v>
      </c>
      <c r="C256" s="8">
        <v>255</v>
      </c>
      <c r="D256" s="8">
        <f t="shared" ca="1" si="19"/>
        <v>77.800000000000011</v>
      </c>
      <c r="E256" s="8">
        <f t="shared" ca="1" si="20"/>
        <v>179.60000000000002</v>
      </c>
      <c r="F256" s="9" t="str">
        <f t="shared" ca="1" si="21"/>
        <v>nepřijat</v>
      </c>
    </row>
    <row r="257" spans="1:6">
      <c r="A257" s="8">
        <f t="shared" ca="1" si="24"/>
        <v>6.7908155260945069E-2</v>
      </c>
      <c r="B257" s="8">
        <f t="shared" ca="1" si="24"/>
        <v>0.56538041778589432</v>
      </c>
      <c r="C257" s="8">
        <v>256</v>
      </c>
      <c r="D257" s="8">
        <f t="shared" ca="1" si="19"/>
        <v>62.400000000000006</v>
      </c>
      <c r="E257" s="8">
        <f t="shared" ca="1" si="20"/>
        <v>174.8</v>
      </c>
      <c r="F257" s="9" t="str">
        <f t="shared" ca="1" si="21"/>
        <v>nepřijat</v>
      </c>
    </row>
    <row r="258" spans="1:6">
      <c r="A258" s="8">
        <f t="shared" ca="1" si="24"/>
        <v>0.90343014162496382</v>
      </c>
      <c r="B258" s="8">
        <f t="shared" ca="1" si="24"/>
        <v>0.33367341131085526</v>
      </c>
      <c r="C258" s="8">
        <v>257</v>
      </c>
      <c r="D258" s="8">
        <f t="shared" ref="D258:D301" ca="1" si="25">CEILING(A258*35+60,0.2)</f>
        <v>91.800000000000011</v>
      </c>
      <c r="E258" s="8">
        <f t="shared" ref="E258:E301" ca="1" si="26">CEILING(B258*35+155,0.2)</f>
        <v>166.8</v>
      </c>
      <c r="F258" s="9" t="str">
        <f t="shared" ca="1" si="21"/>
        <v>nepřijat</v>
      </c>
    </row>
    <row r="259" spans="1:6">
      <c r="A259" s="8">
        <f t="shared" ca="1" si="24"/>
        <v>5.912696612139956E-2</v>
      </c>
      <c r="B259" s="8">
        <f t="shared" ca="1" si="24"/>
        <v>4.3254814295231592E-2</v>
      </c>
      <c r="C259" s="8">
        <v>258</v>
      </c>
      <c r="D259" s="8">
        <f t="shared" ca="1" si="25"/>
        <v>62.2</v>
      </c>
      <c r="E259" s="8">
        <f t="shared" ca="1" si="26"/>
        <v>156.60000000000002</v>
      </c>
      <c r="F259" s="9" t="str">
        <f t="shared" ref="F259:F301" ca="1" si="27">IF(AND(E259&lt;176.1,D259&gt;67.9,D259&lt;79.1),"přijat",IF(AND(E259&lt;176.1,D259&gt;78.9,D259&lt;83.1),"zhubnout",IF(AND(E259&lt;176.1,D259&lt;68.1,D259&gt;63.9),"přibrat","nepřijat")))</f>
        <v>nepřijat</v>
      </c>
    </row>
    <row r="260" spans="1:6">
      <c r="A260" s="8">
        <f t="shared" ca="1" si="24"/>
        <v>0.73641669523999231</v>
      </c>
      <c r="B260" s="8">
        <f t="shared" ca="1" si="24"/>
        <v>0.22397998679475106</v>
      </c>
      <c r="C260" s="8">
        <v>259</v>
      </c>
      <c r="D260" s="8">
        <f t="shared" ca="1" si="25"/>
        <v>85.800000000000011</v>
      </c>
      <c r="E260" s="8">
        <f t="shared" ca="1" si="26"/>
        <v>163</v>
      </c>
      <c r="F260" s="9" t="str">
        <f t="shared" ca="1" si="27"/>
        <v>nepřijat</v>
      </c>
    </row>
    <row r="261" spans="1:6">
      <c r="A261" s="8">
        <f t="shared" ca="1" si="24"/>
        <v>0.27271058600064657</v>
      </c>
      <c r="B261" s="8">
        <f t="shared" ca="1" si="24"/>
        <v>0.62096546196584923</v>
      </c>
      <c r="C261" s="8">
        <v>260</v>
      </c>
      <c r="D261" s="8">
        <f t="shared" ca="1" si="25"/>
        <v>69.600000000000009</v>
      </c>
      <c r="E261" s="8">
        <f t="shared" ca="1" si="26"/>
        <v>176.8</v>
      </c>
      <c r="F261" s="9" t="str">
        <f t="shared" ca="1" si="27"/>
        <v>nepřijat</v>
      </c>
    </row>
    <row r="262" spans="1:6">
      <c r="A262" s="8">
        <f t="shared" ref="A262:B281" ca="1" si="28">RAND()</f>
        <v>0.68859065199275626</v>
      </c>
      <c r="B262" s="8">
        <f t="shared" ca="1" si="28"/>
        <v>0.14724800784741265</v>
      </c>
      <c r="C262" s="8">
        <v>261</v>
      </c>
      <c r="D262" s="8">
        <f t="shared" ca="1" si="25"/>
        <v>84.2</v>
      </c>
      <c r="E262" s="8">
        <f t="shared" ca="1" si="26"/>
        <v>160.20000000000002</v>
      </c>
      <c r="F262" s="9" t="str">
        <f t="shared" ca="1" si="27"/>
        <v>nepřijat</v>
      </c>
    </row>
    <row r="263" spans="1:6">
      <c r="A263" s="8">
        <f t="shared" ca="1" si="28"/>
        <v>0.93878017283764426</v>
      </c>
      <c r="B263" s="8">
        <f t="shared" ca="1" si="28"/>
        <v>0.8008283954568064</v>
      </c>
      <c r="C263" s="8">
        <v>262</v>
      </c>
      <c r="D263" s="8">
        <f t="shared" ca="1" si="25"/>
        <v>93</v>
      </c>
      <c r="E263" s="8">
        <f t="shared" ca="1" si="26"/>
        <v>183.20000000000002</v>
      </c>
      <c r="F263" s="9" t="str">
        <f t="shared" ca="1" si="27"/>
        <v>nepřijat</v>
      </c>
    </row>
    <row r="264" spans="1:6">
      <c r="A264" s="8">
        <f t="shared" ca="1" si="28"/>
        <v>0.87592794443822908</v>
      </c>
      <c r="B264" s="8">
        <f t="shared" ca="1" si="28"/>
        <v>0.53831543215737987</v>
      </c>
      <c r="C264" s="8">
        <v>263</v>
      </c>
      <c r="D264" s="8">
        <f t="shared" ca="1" si="25"/>
        <v>90.800000000000011</v>
      </c>
      <c r="E264" s="8">
        <f t="shared" ca="1" si="26"/>
        <v>174</v>
      </c>
      <c r="F264" s="9" t="str">
        <f t="shared" ca="1" si="27"/>
        <v>nepřijat</v>
      </c>
    </row>
    <row r="265" spans="1:6">
      <c r="A265" s="8">
        <f t="shared" ca="1" si="28"/>
        <v>0.6495702438472033</v>
      </c>
      <c r="B265" s="8">
        <f t="shared" ca="1" si="28"/>
        <v>0.71199769248624312</v>
      </c>
      <c r="C265" s="8">
        <v>264</v>
      </c>
      <c r="D265" s="8">
        <f t="shared" ca="1" si="25"/>
        <v>82.800000000000011</v>
      </c>
      <c r="E265" s="8">
        <f t="shared" ca="1" si="26"/>
        <v>180</v>
      </c>
      <c r="F265" s="9" t="str">
        <f t="shared" ca="1" si="27"/>
        <v>nepřijat</v>
      </c>
    </row>
    <row r="266" spans="1:6">
      <c r="A266" s="8">
        <f t="shared" ca="1" si="28"/>
        <v>0.58226085350890788</v>
      </c>
      <c r="B266" s="8">
        <f t="shared" ca="1" si="28"/>
        <v>0.96366705497711846</v>
      </c>
      <c r="C266" s="8">
        <v>265</v>
      </c>
      <c r="D266" s="8">
        <f t="shared" ca="1" si="25"/>
        <v>80.400000000000006</v>
      </c>
      <c r="E266" s="8">
        <f t="shared" ca="1" si="26"/>
        <v>188.8</v>
      </c>
      <c r="F266" s="9" t="str">
        <f t="shared" ca="1" si="27"/>
        <v>nepřijat</v>
      </c>
    </row>
    <row r="267" spans="1:6">
      <c r="A267" s="8">
        <f t="shared" ca="1" si="28"/>
        <v>3.7658910295224834E-2</v>
      </c>
      <c r="B267" s="8">
        <f t="shared" ca="1" si="28"/>
        <v>0.21612682834485286</v>
      </c>
      <c r="C267" s="8">
        <v>266</v>
      </c>
      <c r="D267" s="8">
        <f t="shared" ca="1" si="25"/>
        <v>61.400000000000006</v>
      </c>
      <c r="E267" s="8">
        <f t="shared" ca="1" si="26"/>
        <v>162.60000000000002</v>
      </c>
      <c r="F267" s="9" t="str">
        <f t="shared" ca="1" si="27"/>
        <v>nepřijat</v>
      </c>
    </row>
    <row r="268" spans="1:6">
      <c r="A268" s="8">
        <f t="shared" ca="1" si="28"/>
        <v>0.54398764733678928</v>
      </c>
      <c r="B268" s="8">
        <f t="shared" ca="1" si="28"/>
        <v>0.73847649080851252</v>
      </c>
      <c r="C268" s="8">
        <v>267</v>
      </c>
      <c r="D268" s="8">
        <f t="shared" ca="1" si="25"/>
        <v>79.2</v>
      </c>
      <c r="E268" s="8">
        <f t="shared" ca="1" si="26"/>
        <v>181</v>
      </c>
      <c r="F268" s="9" t="str">
        <f t="shared" ca="1" si="27"/>
        <v>nepřijat</v>
      </c>
    </row>
    <row r="269" spans="1:6">
      <c r="A269" s="8">
        <f t="shared" ca="1" si="28"/>
        <v>0.51091447607987683</v>
      </c>
      <c r="B269" s="8">
        <f t="shared" ca="1" si="28"/>
        <v>0.19523206889161848</v>
      </c>
      <c r="C269" s="8">
        <v>268</v>
      </c>
      <c r="D269" s="8">
        <f t="shared" ca="1" si="25"/>
        <v>78</v>
      </c>
      <c r="E269" s="8">
        <f t="shared" ca="1" si="26"/>
        <v>162</v>
      </c>
      <c r="F269" s="9" t="str">
        <f t="shared" ca="1" si="27"/>
        <v>přijat</v>
      </c>
    </row>
    <row r="270" spans="1:6">
      <c r="A270" s="8">
        <f t="shared" ca="1" si="28"/>
        <v>0.75600168184401906</v>
      </c>
      <c r="B270" s="8">
        <f t="shared" ca="1" si="28"/>
        <v>0.29169388413187658</v>
      </c>
      <c r="C270" s="8">
        <v>269</v>
      </c>
      <c r="D270" s="8">
        <f t="shared" ca="1" si="25"/>
        <v>86.600000000000009</v>
      </c>
      <c r="E270" s="8">
        <f t="shared" ca="1" si="26"/>
        <v>165.4</v>
      </c>
      <c r="F270" s="9" t="str">
        <f t="shared" ca="1" si="27"/>
        <v>nepřijat</v>
      </c>
    </row>
    <row r="271" spans="1:6">
      <c r="A271" s="8">
        <f t="shared" ca="1" si="28"/>
        <v>5.307706292904224E-2</v>
      </c>
      <c r="B271" s="8">
        <f t="shared" ca="1" si="28"/>
        <v>0.63800664983403343</v>
      </c>
      <c r="C271" s="8">
        <v>270</v>
      </c>
      <c r="D271" s="8">
        <f t="shared" ca="1" si="25"/>
        <v>62</v>
      </c>
      <c r="E271" s="8">
        <f t="shared" ca="1" si="26"/>
        <v>177.4</v>
      </c>
      <c r="F271" s="9" t="str">
        <f t="shared" ca="1" si="27"/>
        <v>nepřijat</v>
      </c>
    </row>
    <row r="272" spans="1:6">
      <c r="A272" s="8">
        <f t="shared" ca="1" si="28"/>
        <v>0.64974463621105605</v>
      </c>
      <c r="B272" s="8">
        <f t="shared" ca="1" si="28"/>
        <v>3.7947323047678005E-2</v>
      </c>
      <c r="C272" s="8">
        <v>271</v>
      </c>
      <c r="D272" s="8">
        <f t="shared" ca="1" si="25"/>
        <v>82.800000000000011</v>
      </c>
      <c r="E272" s="8">
        <f t="shared" ca="1" si="26"/>
        <v>156.4</v>
      </c>
      <c r="F272" s="9" t="str">
        <f t="shared" ca="1" si="27"/>
        <v>zhubnout</v>
      </c>
    </row>
    <row r="273" spans="1:6">
      <c r="A273" s="8">
        <f t="shared" ca="1" si="28"/>
        <v>0.99031943020494217</v>
      </c>
      <c r="B273" s="8">
        <f t="shared" ca="1" si="28"/>
        <v>0.88188263236685893</v>
      </c>
      <c r="C273" s="8">
        <v>272</v>
      </c>
      <c r="D273" s="8">
        <f t="shared" ca="1" si="25"/>
        <v>94.800000000000011</v>
      </c>
      <c r="E273" s="8">
        <f t="shared" ca="1" si="26"/>
        <v>186</v>
      </c>
      <c r="F273" s="9" t="str">
        <f t="shared" ca="1" si="27"/>
        <v>nepřijat</v>
      </c>
    </row>
    <row r="274" spans="1:6">
      <c r="A274" s="8">
        <f t="shared" ca="1" si="28"/>
        <v>0.83487603025588486</v>
      </c>
      <c r="B274" s="8">
        <f t="shared" ca="1" si="28"/>
        <v>0.58315776350785975</v>
      </c>
      <c r="C274" s="8">
        <v>273</v>
      </c>
      <c r="D274" s="8">
        <f t="shared" ca="1" si="25"/>
        <v>89.4</v>
      </c>
      <c r="E274" s="8">
        <f t="shared" ca="1" si="26"/>
        <v>175.60000000000002</v>
      </c>
      <c r="F274" s="9" t="str">
        <f t="shared" ca="1" si="27"/>
        <v>nepřijat</v>
      </c>
    </row>
    <row r="275" spans="1:6">
      <c r="A275" s="8">
        <f t="shared" ca="1" si="28"/>
        <v>0.93737245632563482</v>
      </c>
      <c r="B275" s="8">
        <f t="shared" ca="1" si="28"/>
        <v>0.24494276440071483</v>
      </c>
      <c r="C275" s="8">
        <v>274</v>
      </c>
      <c r="D275" s="8">
        <f t="shared" ca="1" si="25"/>
        <v>93</v>
      </c>
      <c r="E275" s="8">
        <f t="shared" ca="1" si="26"/>
        <v>163.60000000000002</v>
      </c>
      <c r="F275" s="9" t="str">
        <f t="shared" ca="1" si="27"/>
        <v>nepřijat</v>
      </c>
    </row>
    <row r="276" spans="1:6">
      <c r="A276" s="8">
        <f t="shared" ca="1" si="28"/>
        <v>0.54896370600580358</v>
      </c>
      <c r="B276" s="8">
        <f t="shared" ca="1" si="28"/>
        <v>4.2809715060320164E-2</v>
      </c>
      <c r="C276" s="8">
        <v>275</v>
      </c>
      <c r="D276" s="8">
        <f t="shared" ca="1" si="25"/>
        <v>79.400000000000006</v>
      </c>
      <c r="E276" s="8">
        <f t="shared" ca="1" si="26"/>
        <v>156.60000000000002</v>
      </c>
      <c r="F276" s="9" t="str">
        <f t="shared" ca="1" si="27"/>
        <v>zhubnout</v>
      </c>
    </row>
    <row r="277" spans="1:6">
      <c r="A277" s="8">
        <f t="shared" ca="1" si="28"/>
        <v>0.21803438000728104</v>
      </c>
      <c r="B277" s="8">
        <f t="shared" ca="1" si="28"/>
        <v>0.47971731410993068</v>
      </c>
      <c r="C277" s="8">
        <v>276</v>
      </c>
      <c r="D277" s="8">
        <f t="shared" ca="1" si="25"/>
        <v>67.8</v>
      </c>
      <c r="E277" s="8">
        <f t="shared" ca="1" si="26"/>
        <v>171.8</v>
      </c>
      <c r="F277" s="9" t="str">
        <f t="shared" ca="1" si="27"/>
        <v>přibrat</v>
      </c>
    </row>
    <row r="278" spans="1:6">
      <c r="A278" s="8">
        <f t="shared" ca="1" si="28"/>
        <v>1.0778645917593588E-2</v>
      </c>
      <c r="B278" s="8">
        <f t="shared" ca="1" si="28"/>
        <v>0.65662469334111673</v>
      </c>
      <c r="C278" s="8">
        <v>277</v>
      </c>
      <c r="D278" s="8">
        <f t="shared" ca="1" si="25"/>
        <v>60.400000000000006</v>
      </c>
      <c r="E278" s="8">
        <f t="shared" ca="1" si="26"/>
        <v>178</v>
      </c>
      <c r="F278" s="9" t="str">
        <f t="shared" ca="1" si="27"/>
        <v>nepřijat</v>
      </c>
    </row>
    <row r="279" spans="1:6">
      <c r="A279" s="8">
        <f t="shared" ca="1" si="28"/>
        <v>0.9209984825588271</v>
      </c>
      <c r="B279" s="8">
        <f t="shared" ca="1" si="28"/>
        <v>0.70876229687681958</v>
      </c>
      <c r="C279" s="8">
        <v>278</v>
      </c>
      <c r="D279" s="8">
        <f t="shared" ca="1" si="25"/>
        <v>92.4</v>
      </c>
      <c r="E279" s="8">
        <f t="shared" ca="1" si="26"/>
        <v>180</v>
      </c>
      <c r="F279" s="9" t="str">
        <f t="shared" ca="1" si="27"/>
        <v>nepřijat</v>
      </c>
    </row>
    <row r="280" spans="1:6">
      <c r="A280" s="8">
        <f t="shared" ca="1" si="28"/>
        <v>8.4113840766014913E-2</v>
      </c>
      <c r="B280" s="8">
        <f t="shared" ca="1" si="28"/>
        <v>0.61141792944882656</v>
      </c>
      <c r="C280" s="8">
        <v>279</v>
      </c>
      <c r="D280" s="8">
        <f t="shared" ca="1" si="25"/>
        <v>63</v>
      </c>
      <c r="E280" s="8">
        <f t="shared" ca="1" si="26"/>
        <v>176.4</v>
      </c>
      <c r="F280" s="9" t="str">
        <f t="shared" ca="1" si="27"/>
        <v>nepřijat</v>
      </c>
    </row>
    <row r="281" spans="1:6">
      <c r="A281" s="8">
        <f t="shared" ca="1" si="28"/>
        <v>0.40551614153293802</v>
      </c>
      <c r="B281" s="8">
        <f t="shared" ca="1" si="28"/>
        <v>0.63490951317437494</v>
      </c>
      <c r="C281" s="8">
        <v>280</v>
      </c>
      <c r="D281" s="8">
        <f t="shared" ca="1" si="25"/>
        <v>74.2</v>
      </c>
      <c r="E281" s="8">
        <f t="shared" ca="1" si="26"/>
        <v>177.4</v>
      </c>
      <c r="F281" s="9" t="str">
        <f t="shared" ca="1" si="27"/>
        <v>nepřijat</v>
      </c>
    </row>
    <row r="282" spans="1:6">
      <c r="A282" s="8">
        <f t="shared" ref="A282:B301" ca="1" si="29">RAND()</f>
        <v>0.62984662448968831</v>
      </c>
      <c r="B282" s="8">
        <f t="shared" ca="1" si="29"/>
        <v>0.4087086342012286</v>
      </c>
      <c r="C282" s="8">
        <v>281</v>
      </c>
      <c r="D282" s="8">
        <f t="shared" ca="1" si="25"/>
        <v>82.2</v>
      </c>
      <c r="E282" s="8">
        <f t="shared" ca="1" si="26"/>
        <v>169.4</v>
      </c>
      <c r="F282" s="9" t="str">
        <f t="shared" ca="1" si="27"/>
        <v>zhubnout</v>
      </c>
    </row>
    <row r="283" spans="1:6">
      <c r="A283" s="8">
        <f t="shared" ca="1" si="29"/>
        <v>0.94215314261644023</v>
      </c>
      <c r="B283" s="8">
        <f t="shared" ca="1" si="29"/>
        <v>0.40244177882027543</v>
      </c>
      <c r="C283" s="8">
        <v>282</v>
      </c>
      <c r="D283" s="8">
        <f t="shared" ca="1" si="25"/>
        <v>93</v>
      </c>
      <c r="E283" s="8">
        <f t="shared" ca="1" si="26"/>
        <v>169.20000000000002</v>
      </c>
      <c r="F283" s="9" t="str">
        <f t="shared" ca="1" si="27"/>
        <v>nepřijat</v>
      </c>
    </row>
    <row r="284" spans="1:6">
      <c r="A284" s="8">
        <f t="shared" ca="1" si="29"/>
        <v>0.2821663706098283</v>
      </c>
      <c r="B284" s="8">
        <f t="shared" ca="1" si="29"/>
        <v>0.28483867129418206</v>
      </c>
      <c r="C284" s="8">
        <v>283</v>
      </c>
      <c r="D284" s="8">
        <f t="shared" ca="1" si="25"/>
        <v>70</v>
      </c>
      <c r="E284" s="8">
        <f t="shared" ca="1" si="26"/>
        <v>165</v>
      </c>
      <c r="F284" s="9" t="str">
        <f t="shared" ca="1" si="27"/>
        <v>přijat</v>
      </c>
    </row>
    <row r="285" spans="1:6">
      <c r="A285" s="8">
        <f t="shared" ca="1" si="29"/>
        <v>0.6940326850358004</v>
      </c>
      <c r="B285" s="8">
        <f t="shared" ca="1" si="29"/>
        <v>0.15767111381662802</v>
      </c>
      <c r="C285" s="8">
        <v>284</v>
      </c>
      <c r="D285" s="8">
        <f t="shared" ca="1" si="25"/>
        <v>84.4</v>
      </c>
      <c r="E285" s="8">
        <f t="shared" ca="1" si="26"/>
        <v>160.60000000000002</v>
      </c>
      <c r="F285" s="9" t="str">
        <f t="shared" ca="1" si="27"/>
        <v>nepřijat</v>
      </c>
    </row>
    <row r="286" spans="1:6">
      <c r="A286" s="8">
        <f t="shared" ca="1" si="29"/>
        <v>0.45937282090264298</v>
      </c>
      <c r="B286" s="8">
        <f t="shared" ca="1" si="29"/>
        <v>2.7200975533740124E-2</v>
      </c>
      <c r="C286" s="8">
        <v>285</v>
      </c>
      <c r="D286" s="8">
        <f t="shared" ca="1" si="25"/>
        <v>76.2</v>
      </c>
      <c r="E286" s="8">
        <f t="shared" ca="1" si="26"/>
        <v>156</v>
      </c>
      <c r="F286" s="9" t="str">
        <f t="shared" ca="1" si="27"/>
        <v>přijat</v>
      </c>
    </row>
    <row r="287" spans="1:6">
      <c r="A287" s="8">
        <f t="shared" ca="1" si="29"/>
        <v>0.35037592133913331</v>
      </c>
      <c r="B287" s="8">
        <f t="shared" ca="1" si="29"/>
        <v>0.90462926166604907</v>
      </c>
      <c r="C287" s="8">
        <v>286</v>
      </c>
      <c r="D287" s="8">
        <f t="shared" ca="1" si="25"/>
        <v>72.400000000000006</v>
      </c>
      <c r="E287" s="8">
        <f t="shared" ca="1" si="26"/>
        <v>186.8</v>
      </c>
      <c r="F287" s="9" t="str">
        <f t="shared" ca="1" si="27"/>
        <v>nepřijat</v>
      </c>
    </row>
    <row r="288" spans="1:6">
      <c r="A288" s="8">
        <f t="shared" ca="1" si="29"/>
        <v>0.62585832145128706</v>
      </c>
      <c r="B288" s="8">
        <f t="shared" ca="1" si="29"/>
        <v>0.24247291452394915</v>
      </c>
      <c r="C288" s="8">
        <v>287</v>
      </c>
      <c r="D288" s="8">
        <f t="shared" ca="1" si="25"/>
        <v>82</v>
      </c>
      <c r="E288" s="8">
        <f t="shared" ca="1" si="26"/>
        <v>163.60000000000002</v>
      </c>
      <c r="F288" s="9" t="str">
        <f t="shared" ca="1" si="27"/>
        <v>zhubnout</v>
      </c>
    </row>
    <row r="289" spans="1:6">
      <c r="A289" s="8">
        <f t="shared" ca="1" si="29"/>
        <v>0.59309447203091203</v>
      </c>
      <c r="B289" s="8">
        <f t="shared" ca="1" si="29"/>
        <v>0.10094743552266672</v>
      </c>
      <c r="C289" s="8">
        <v>288</v>
      </c>
      <c r="D289" s="8">
        <f t="shared" ca="1" si="25"/>
        <v>80.800000000000011</v>
      </c>
      <c r="E289" s="8">
        <f t="shared" ca="1" si="26"/>
        <v>158.60000000000002</v>
      </c>
      <c r="F289" s="9" t="str">
        <f t="shared" ca="1" si="27"/>
        <v>zhubnout</v>
      </c>
    </row>
    <row r="290" spans="1:6">
      <c r="A290" s="8">
        <f t="shared" ca="1" si="29"/>
        <v>0.81920850144697943</v>
      </c>
      <c r="B290" s="8">
        <f t="shared" ca="1" si="29"/>
        <v>0.13814171014214227</v>
      </c>
      <c r="C290" s="8">
        <v>289</v>
      </c>
      <c r="D290" s="8">
        <f t="shared" ca="1" si="25"/>
        <v>88.800000000000011</v>
      </c>
      <c r="E290" s="8">
        <f t="shared" ca="1" si="26"/>
        <v>160</v>
      </c>
      <c r="F290" s="9" t="str">
        <f t="shared" ca="1" si="27"/>
        <v>nepřijat</v>
      </c>
    </row>
    <row r="291" spans="1:6">
      <c r="A291" s="8">
        <f t="shared" ca="1" si="29"/>
        <v>0.3867109788802493</v>
      </c>
      <c r="B291" s="8">
        <f t="shared" ca="1" si="29"/>
        <v>0.56056202921866072</v>
      </c>
      <c r="C291" s="8">
        <v>290</v>
      </c>
      <c r="D291" s="8">
        <f t="shared" ca="1" si="25"/>
        <v>73.600000000000009</v>
      </c>
      <c r="E291" s="8">
        <f t="shared" ca="1" si="26"/>
        <v>174.8</v>
      </c>
      <c r="F291" s="9" t="str">
        <f t="shared" ca="1" si="27"/>
        <v>přijat</v>
      </c>
    </row>
    <row r="292" spans="1:6">
      <c r="A292" s="8">
        <f t="shared" ca="1" si="29"/>
        <v>0.646967966645693</v>
      </c>
      <c r="B292" s="8">
        <f t="shared" ca="1" si="29"/>
        <v>0.70950780695299442</v>
      </c>
      <c r="C292" s="8">
        <v>291</v>
      </c>
      <c r="D292" s="8">
        <f t="shared" ca="1" si="25"/>
        <v>82.800000000000011</v>
      </c>
      <c r="E292" s="8">
        <f t="shared" ca="1" si="26"/>
        <v>180</v>
      </c>
      <c r="F292" s="9" t="str">
        <f t="shared" ca="1" si="27"/>
        <v>nepřijat</v>
      </c>
    </row>
    <row r="293" spans="1:6">
      <c r="A293" s="8">
        <f t="shared" ca="1" si="29"/>
        <v>0.90582634530937345</v>
      </c>
      <c r="B293" s="8">
        <f t="shared" ca="1" si="29"/>
        <v>0.71401416281282826</v>
      </c>
      <c r="C293" s="8">
        <v>292</v>
      </c>
      <c r="D293" s="8">
        <f t="shared" ca="1" si="25"/>
        <v>91.800000000000011</v>
      </c>
      <c r="E293" s="8">
        <f t="shared" ca="1" si="26"/>
        <v>180</v>
      </c>
      <c r="F293" s="9" t="str">
        <f t="shared" ca="1" si="27"/>
        <v>nepřijat</v>
      </c>
    </row>
    <row r="294" spans="1:6">
      <c r="A294" s="8">
        <f t="shared" ca="1" si="29"/>
        <v>4.4097576894929102E-2</v>
      </c>
      <c r="B294" s="8">
        <f t="shared" ca="1" si="29"/>
        <v>0.56571633327058379</v>
      </c>
      <c r="C294" s="8">
        <v>293</v>
      </c>
      <c r="D294" s="8">
        <f t="shared" ca="1" si="25"/>
        <v>61.6</v>
      </c>
      <c r="E294" s="8">
        <f t="shared" ca="1" si="26"/>
        <v>175</v>
      </c>
      <c r="F294" s="9" t="str">
        <f t="shared" ca="1" si="27"/>
        <v>nepřijat</v>
      </c>
    </row>
    <row r="295" spans="1:6">
      <c r="A295" s="8">
        <f t="shared" ca="1" si="29"/>
        <v>0.15703622214036694</v>
      </c>
      <c r="B295" s="8">
        <f t="shared" ca="1" si="29"/>
        <v>0.42827558037669577</v>
      </c>
      <c r="C295" s="8">
        <v>294</v>
      </c>
      <c r="D295" s="8">
        <f t="shared" ca="1" si="25"/>
        <v>65.600000000000009</v>
      </c>
      <c r="E295" s="8">
        <f t="shared" ca="1" si="26"/>
        <v>170</v>
      </c>
      <c r="F295" s="9" t="str">
        <f t="shared" ca="1" si="27"/>
        <v>přibrat</v>
      </c>
    </row>
    <row r="296" spans="1:6">
      <c r="A296" s="8">
        <f t="shared" ca="1" si="29"/>
        <v>0.49860283514053105</v>
      </c>
      <c r="B296" s="8">
        <f t="shared" ca="1" si="29"/>
        <v>0.42433721043779937</v>
      </c>
      <c r="C296" s="8">
        <v>295</v>
      </c>
      <c r="D296" s="8">
        <f t="shared" ca="1" si="25"/>
        <v>77.600000000000009</v>
      </c>
      <c r="E296" s="8">
        <f t="shared" ca="1" si="26"/>
        <v>170</v>
      </c>
      <c r="F296" s="9" t="str">
        <f t="shared" ca="1" si="27"/>
        <v>přijat</v>
      </c>
    </row>
    <row r="297" spans="1:6">
      <c r="A297" s="8">
        <f t="shared" ca="1" si="29"/>
        <v>0.73881037951567086</v>
      </c>
      <c r="B297" s="8">
        <f t="shared" ca="1" si="29"/>
        <v>0.6708563800338857</v>
      </c>
      <c r="C297" s="8">
        <v>296</v>
      </c>
      <c r="D297" s="8">
        <f t="shared" ca="1" si="25"/>
        <v>86</v>
      </c>
      <c r="E297" s="8">
        <f t="shared" ca="1" si="26"/>
        <v>178.60000000000002</v>
      </c>
      <c r="F297" s="9" t="str">
        <f t="shared" ca="1" si="27"/>
        <v>nepřijat</v>
      </c>
    </row>
    <row r="298" spans="1:6">
      <c r="A298" s="8">
        <f t="shared" ca="1" si="29"/>
        <v>0.54519459529159353</v>
      </c>
      <c r="B298" s="8">
        <f t="shared" ca="1" si="29"/>
        <v>0.44037175098996373</v>
      </c>
      <c r="C298" s="8">
        <v>297</v>
      </c>
      <c r="D298" s="8">
        <f t="shared" ca="1" si="25"/>
        <v>79.2</v>
      </c>
      <c r="E298" s="8">
        <f t="shared" ca="1" si="26"/>
        <v>170.60000000000002</v>
      </c>
      <c r="F298" s="9" t="str">
        <f t="shared" ca="1" si="27"/>
        <v>zhubnout</v>
      </c>
    </row>
    <row r="299" spans="1:6">
      <c r="A299" s="8">
        <f t="shared" ca="1" si="29"/>
        <v>0.60720092304333384</v>
      </c>
      <c r="B299" s="8">
        <f t="shared" ca="1" si="29"/>
        <v>0.71129419101538627</v>
      </c>
      <c r="C299" s="8">
        <v>298</v>
      </c>
      <c r="D299" s="8">
        <f t="shared" ca="1" si="25"/>
        <v>81.400000000000006</v>
      </c>
      <c r="E299" s="8">
        <f t="shared" ca="1" si="26"/>
        <v>180</v>
      </c>
      <c r="F299" s="9" t="str">
        <f t="shared" ca="1" si="27"/>
        <v>nepřijat</v>
      </c>
    </row>
    <row r="300" spans="1:6">
      <c r="A300" s="8">
        <f t="shared" ca="1" si="29"/>
        <v>0.16387891815705691</v>
      </c>
      <c r="B300" s="8">
        <f t="shared" ca="1" si="29"/>
        <v>0.39837088486585115</v>
      </c>
      <c r="C300" s="8">
        <v>299</v>
      </c>
      <c r="D300" s="8">
        <f t="shared" ca="1" si="25"/>
        <v>65.8</v>
      </c>
      <c r="E300" s="8">
        <f t="shared" ca="1" si="26"/>
        <v>169</v>
      </c>
      <c r="F300" s="9" t="str">
        <f t="shared" ca="1" si="27"/>
        <v>přibrat</v>
      </c>
    </row>
    <row r="301" spans="1:6">
      <c r="A301" s="8">
        <f t="shared" ca="1" si="29"/>
        <v>0.19950627137716437</v>
      </c>
      <c r="B301" s="8">
        <f t="shared" ca="1" si="29"/>
        <v>0.77974731301910483</v>
      </c>
      <c r="C301" s="8">
        <v>300</v>
      </c>
      <c r="D301" s="8">
        <f t="shared" ca="1" si="25"/>
        <v>67</v>
      </c>
      <c r="E301" s="8">
        <f t="shared" ca="1" si="26"/>
        <v>182.4</v>
      </c>
      <c r="F301" s="9" t="str">
        <f t="shared" ca="1" si="27"/>
        <v>nepřijat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27"/>
  <sheetViews>
    <sheetView tabSelected="1" workbookViewId="0">
      <selection activeCell="N5" sqref="N5"/>
    </sheetView>
  </sheetViews>
  <sheetFormatPr baseColWidth="10" defaultColWidth="9.1640625" defaultRowHeight="13"/>
  <cols>
    <col min="1" max="1" width="3.1640625" style="13" customWidth="1"/>
    <col min="2" max="2" width="2.6640625" style="13" customWidth="1"/>
    <col min="3" max="3" width="4.5" style="13" customWidth="1"/>
    <col min="4" max="4" width="21.5" style="14" customWidth="1"/>
    <col min="5" max="5" width="43.83203125" style="13" customWidth="1"/>
    <col min="6" max="6" width="11.33203125" style="13" customWidth="1"/>
    <col min="7" max="7" width="15.5" style="13" customWidth="1"/>
    <col min="8" max="8" width="17.6640625" style="13" customWidth="1"/>
    <col min="9" max="9" width="15.6640625" style="13" customWidth="1"/>
    <col min="10" max="10" width="14.5" style="13" customWidth="1"/>
    <col min="11" max="16384" width="9.1640625" style="13"/>
  </cols>
  <sheetData>
    <row r="1" spans="2:10" ht="14" thickBot="1"/>
    <row r="2" spans="2:10" ht="30.75" customHeight="1">
      <c r="C2" s="35" t="s">
        <v>63</v>
      </c>
      <c r="D2" s="34">
        <v>22.07</v>
      </c>
      <c r="G2" s="62" t="s">
        <v>62</v>
      </c>
      <c r="H2" s="62"/>
      <c r="I2" s="31">
        <f>COUNTIF(F10:F227,"&lt;2000")</f>
        <v>28</v>
      </c>
    </row>
    <row r="3" spans="2:10" ht="30.75" customHeight="1" thickBot="1">
      <c r="C3" s="33" t="s">
        <v>61</v>
      </c>
      <c r="D3" s="32">
        <v>25.59</v>
      </c>
      <c r="G3" s="62" t="s">
        <v>60</v>
      </c>
      <c r="H3" s="62"/>
      <c r="I3" s="31">
        <f>COUNTIFS(J10:J227,"&lt;=20",J10:J227,"&gt;=15")</f>
        <v>49</v>
      </c>
    </row>
    <row r="4" spans="2:10" ht="55.5" customHeight="1"/>
    <row r="5" spans="2:10" ht="77.25" customHeight="1"/>
    <row r="6" spans="2:10" ht="18.75" customHeight="1"/>
    <row r="7" spans="2:10" customFormat="1" ht="18.75" customHeight="1" thickBot="1"/>
    <row r="8" spans="2:10" s="29" customFormat="1" ht="24" customHeight="1">
      <c r="D8" s="14"/>
      <c r="F8" s="30"/>
      <c r="G8" s="63" t="s">
        <v>59</v>
      </c>
      <c r="H8" s="64"/>
      <c r="I8" s="64"/>
      <c r="J8" s="65"/>
    </row>
    <row r="9" spans="2:10" ht="23.25" customHeight="1" thickBot="1">
      <c r="F9" s="28" t="s">
        <v>58</v>
      </c>
      <c r="G9" s="27" t="s">
        <v>57</v>
      </c>
      <c r="H9" s="26" t="s">
        <v>56</v>
      </c>
      <c r="I9" s="26" t="s">
        <v>55</v>
      </c>
      <c r="J9" s="25" t="s">
        <v>54</v>
      </c>
    </row>
    <row r="10" spans="2:10">
      <c r="B10"/>
      <c r="C10"/>
      <c r="D10" s="18" t="s">
        <v>52</v>
      </c>
      <c r="E10" s="17" t="s">
        <v>53</v>
      </c>
      <c r="F10" s="16">
        <v>2002</v>
      </c>
      <c r="G10" s="15">
        <v>340</v>
      </c>
      <c r="H10" s="60">
        <f>IF(F10&gt;2000,G10*1.2,G10*1.33)</f>
        <v>408</v>
      </c>
      <c r="I10" s="61">
        <f>H10/$D$2</f>
        <v>18.486633439057545</v>
      </c>
      <c r="J10" s="59">
        <f>H10/$D$3</f>
        <v>15.943728018757326</v>
      </c>
    </row>
    <row r="11" spans="2:10">
      <c r="B11"/>
      <c r="C11"/>
      <c r="D11" s="18" t="s">
        <v>52</v>
      </c>
      <c r="E11" s="17" t="s">
        <v>51</v>
      </c>
      <c r="F11" s="16">
        <v>2002</v>
      </c>
      <c r="G11" s="15">
        <v>340</v>
      </c>
      <c r="H11" s="60">
        <f t="shared" ref="H11:H74" si="0">IF(F11&gt;2000,G11*1.2,G11*1.33)</f>
        <v>408</v>
      </c>
      <c r="I11" s="61">
        <f t="shared" ref="I11:I74" si="1">H11/$D$2</f>
        <v>18.486633439057545</v>
      </c>
      <c r="J11" s="59">
        <f t="shared" ref="J11:J74" si="2">H11/$D$3</f>
        <v>15.943728018757326</v>
      </c>
    </row>
    <row r="12" spans="2:10">
      <c r="B12"/>
      <c r="C12"/>
      <c r="D12" s="18" t="s">
        <v>45</v>
      </c>
      <c r="E12" s="17" t="s">
        <v>50</v>
      </c>
      <c r="F12" s="16">
        <v>2002</v>
      </c>
      <c r="G12" s="15">
        <v>280</v>
      </c>
      <c r="H12" s="60">
        <f t="shared" si="0"/>
        <v>336</v>
      </c>
      <c r="I12" s="61">
        <f t="shared" si="1"/>
        <v>15.224286361576802</v>
      </c>
      <c r="J12" s="59">
        <f t="shared" si="2"/>
        <v>13.130128956623681</v>
      </c>
    </row>
    <row r="13" spans="2:10">
      <c r="B13"/>
      <c r="C13"/>
      <c r="D13" s="18" t="s">
        <v>45</v>
      </c>
      <c r="E13" s="17" t="s">
        <v>50</v>
      </c>
      <c r="F13" s="16">
        <v>2004</v>
      </c>
      <c r="G13" s="15">
        <v>280</v>
      </c>
      <c r="H13" s="60">
        <f t="shared" si="0"/>
        <v>336</v>
      </c>
      <c r="I13" s="61">
        <f t="shared" si="1"/>
        <v>15.224286361576802</v>
      </c>
      <c r="J13" s="59">
        <f t="shared" si="2"/>
        <v>13.130128956623681</v>
      </c>
    </row>
    <row r="14" spans="2:10">
      <c r="B14"/>
      <c r="C14"/>
      <c r="D14" s="18" t="s">
        <v>45</v>
      </c>
      <c r="E14" s="17" t="s">
        <v>50</v>
      </c>
      <c r="F14" s="16">
        <v>2005</v>
      </c>
      <c r="G14" s="15">
        <v>280</v>
      </c>
      <c r="H14" s="60">
        <f t="shared" si="0"/>
        <v>336</v>
      </c>
      <c r="I14" s="61">
        <f t="shared" si="1"/>
        <v>15.224286361576802</v>
      </c>
      <c r="J14" s="59">
        <f t="shared" si="2"/>
        <v>13.130128956623681</v>
      </c>
    </row>
    <row r="15" spans="2:10">
      <c r="B15"/>
      <c r="C15"/>
      <c r="D15" s="18" t="s">
        <v>45</v>
      </c>
      <c r="E15" s="17" t="s">
        <v>49</v>
      </c>
      <c r="F15" s="21">
        <v>2003</v>
      </c>
      <c r="G15" s="15">
        <v>255</v>
      </c>
      <c r="H15" s="60">
        <f t="shared" si="0"/>
        <v>306</v>
      </c>
      <c r="I15" s="61">
        <f t="shared" si="1"/>
        <v>13.864975079293158</v>
      </c>
      <c r="J15" s="59">
        <f t="shared" si="2"/>
        <v>11.957796014067995</v>
      </c>
    </row>
    <row r="16" spans="2:10">
      <c r="B16"/>
      <c r="C16"/>
      <c r="D16" s="18" t="s">
        <v>45</v>
      </c>
      <c r="E16" s="17" t="s">
        <v>49</v>
      </c>
      <c r="F16" s="16">
        <v>1999</v>
      </c>
      <c r="G16" s="15">
        <v>255</v>
      </c>
      <c r="H16" s="60">
        <f t="shared" si="0"/>
        <v>339.15000000000003</v>
      </c>
      <c r="I16" s="61">
        <f t="shared" si="1"/>
        <v>15.367014046216585</v>
      </c>
      <c r="J16" s="59">
        <f t="shared" si="2"/>
        <v>13.253223915592029</v>
      </c>
    </row>
    <row r="17" spans="2:10">
      <c r="B17"/>
      <c r="C17"/>
      <c r="D17" s="18" t="s">
        <v>45</v>
      </c>
      <c r="E17" s="17" t="s">
        <v>49</v>
      </c>
      <c r="F17" s="21">
        <v>2005</v>
      </c>
      <c r="G17" s="15">
        <v>255</v>
      </c>
      <c r="H17" s="60">
        <f t="shared" si="0"/>
        <v>306</v>
      </c>
      <c r="I17" s="61">
        <f t="shared" si="1"/>
        <v>13.864975079293158</v>
      </c>
      <c r="J17" s="59">
        <f t="shared" si="2"/>
        <v>11.957796014067995</v>
      </c>
    </row>
    <row r="18" spans="2:10">
      <c r="B18"/>
      <c r="C18"/>
      <c r="D18" s="18" t="s">
        <v>45</v>
      </c>
      <c r="E18" s="17" t="s">
        <v>48</v>
      </c>
      <c r="F18" s="16">
        <v>2004</v>
      </c>
      <c r="G18" s="15">
        <v>245</v>
      </c>
      <c r="H18" s="60">
        <f t="shared" si="0"/>
        <v>294</v>
      </c>
      <c r="I18" s="61">
        <f t="shared" si="1"/>
        <v>13.321250566379701</v>
      </c>
      <c r="J18" s="59">
        <f t="shared" si="2"/>
        <v>11.488862837045721</v>
      </c>
    </row>
    <row r="19" spans="2:10">
      <c r="B19"/>
      <c r="C19"/>
      <c r="D19" s="18" t="s">
        <v>45</v>
      </c>
      <c r="E19" s="17" t="s">
        <v>48</v>
      </c>
      <c r="F19" s="16">
        <v>2005</v>
      </c>
      <c r="G19" s="15">
        <v>245</v>
      </c>
      <c r="H19" s="60">
        <f t="shared" si="0"/>
        <v>294</v>
      </c>
      <c r="I19" s="61">
        <f t="shared" si="1"/>
        <v>13.321250566379701</v>
      </c>
      <c r="J19" s="59">
        <f t="shared" si="2"/>
        <v>11.488862837045721</v>
      </c>
    </row>
    <row r="20" spans="2:10">
      <c r="B20"/>
      <c r="C20"/>
      <c r="D20" s="18" t="s">
        <v>45</v>
      </c>
      <c r="E20" s="17" t="s">
        <v>47</v>
      </c>
      <c r="F20" s="16">
        <v>2004</v>
      </c>
      <c r="G20" s="15">
        <v>310</v>
      </c>
      <c r="H20" s="60">
        <f t="shared" si="0"/>
        <v>372</v>
      </c>
      <c r="I20" s="61">
        <f t="shared" si="1"/>
        <v>16.855459900317172</v>
      </c>
      <c r="J20" s="59">
        <f t="shared" si="2"/>
        <v>14.536928487690504</v>
      </c>
    </row>
    <row r="21" spans="2:10">
      <c r="B21"/>
      <c r="C21"/>
      <c r="D21" s="18" t="s">
        <v>45</v>
      </c>
      <c r="E21" s="17" t="s">
        <v>47</v>
      </c>
      <c r="F21" s="16">
        <v>2005</v>
      </c>
      <c r="G21" s="15">
        <v>310</v>
      </c>
      <c r="H21" s="60">
        <f t="shared" si="0"/>
        <v>372</v>
      </c>
      <c r="I21" s="61">
        <f t="shared" si="1"/>
        <v>16.855459900317172</v>
      </c>
      <c r="J21" s="59">
        <f t="shared" si="2"/>
        <v>14.536928487690504</v>
      </c>
    </row>
    <row r="22" spans="2:10">
      <c r="B22"/>
      <c r="C22"/>
      <c r="D22" s="18" t="s">
        <v>45</v>
      </c>
      <c r="E22" s="20" t="s">
        <v>46</v>
      </c>
      <c r="F22" s="16">
        <v>2004</v>
      </c>
      <c r="G22" s="15">
        <v>210</v>
      </c>
      <c r="H22" s="60">
        <f t="shared" si="0"/>
        <v>252</v>
      </c>
      <c r="I22" s="61">
        <f t="shared" si="1"/>
        <v>11.418214771182601</v>
      </c>
      <c r="J22" s="59">
        <f t="shared" si="2"/>
        <v>9.847596717467761</v>
      </c>
    </row>
    <row r="23" spans="2:10">
      <c r="B23"/>
      <c r="C23"/>
      <c r="D23" s="18" t="s">
        <v>45</v>
      </c>
      <c r="E23" s="20" t="s">
        <v>44</v>
      </c>
      <c r="F23" s="19">
        <v>2006</v>
      </c>
      <c r="G23" s="15">
        <v>210</v>
      </c>
      <c r="H23" s="60">
        <f t="shared" si="0"/>
        <v>252</v>
      </c>
      <c r="I23" s="61">
        <f t="shared" si="1"/>
        <v>11.418214771182601</v>
      </c>
      <c r="J23" s="59">
        <f t="shared" si="2"/>
        <v>9.847596717467761</v>
      </c>
    </row>
    <row r="24" spans="2:10">
      <c r="B24"/>
      <c r="C24"/>
      <c r="D24" s="18" t="s">
        <v>41</v>
      </c>
      <c r="E24" s="17" t="s">
        <v>43</v>
      </c>
      <c r="F24" s="16">
        <v>2003</v>
      </c>
      <c r="G24" s="15">
        <v>310</v>
      </c>
      <c r="H24" s="60">
        <f t="shared" si="0"/>
        <v>372</v>
      </c>
      <c r="I24" s="61">
        <f t="shared" si="1"/>
        <v>16.855459900317172</v>
      </c>
      <c r="J24" s="59">
        <f t="shared" si="2"/>
        <v>14.536928487690504</v>
      </c>
    </row>
    <row r="25" spans="2:10">
      <c r="B25"/>
      <c r="C25"/>
      <c r="D25" s="18" t="s">
        <v>41</v>
      </c>
      <c r="E25" s="17" t="s">
        <v>43</v>
      </c>
      <c r="F25" s="16">
        <v>2004</v>
      </c>
      <c r="G25" s="15">
        <v>310</v>
      </c>
      <c r="H25" s="60">
        <f t="shared" si="0"/>
        <v>372</v>
      </c>
      <c r="I25" s="61">
        <f t="shared" si="1"/>
        <v>16.855459900317172</v>
      </c>
      <c r="J25" s="59">
        <f t="shared" si="2"/>
        <v>14.536928487690504</v>
      </c>
    </row>
    <row r="26" spans="2:10">
      <c r="B26"/>
      <c r="C26"/>
      <c r="D26" s="18" t="s">
        <v>41</v>
      </c>
      <c r="E26" s="17" t="s">
        <v>42</v>
      </c>
      <c r="F26" s="16">
        <v>2003</v>
      </c>
      <c r="G26" s="15">
        <v>365</v>
      </c>
      <c r="H26" s="60">
        <f t="shared" si="0"/>
        <v>438</v>
      </c>
      <c r="I26" s="61">
        <f t="shared" si="1"/>
        <v>19.845944721341187</v>
      </c>
      <c r="J26" s="59">
        <f t="shared" si="2"/>
        <v>17.116060961313014</v>
      </c>
    </row>
    <row r="27" spans="2:10">
      <c r="B27"/>
      <c r="C27"/>
      <c r="D27" s="18" t="s">
        <v>41</v>
      </c>
      <c r="E27" s="17" t="s">
        <v>42</v>
      </c>
      <c r="F27" s="16">
        <v>2004</v>
      </c>
      <c r="G27" s="15">
        <v>365</v>
      </c>
      <c r="H27" s="60">
        <f t="shared" si="0"/>
        <v>438</v>
      </c>
      <c r="I27" s="61">
        <f t="shared" si="1"/>
        <v>19.845944721341187</v>
      </c>
      <c r="J27" s="59">
        <f t="shared" si="2"/>
        <v>17.116060961313014</v>
      </c>
    </row>
    <row r="28" spans="2:10">
      <c r="B28"/>
      <c r="C28"/>
      <c r="D28" s="18" t="s">
        <v>41</v>
      </c>
      <c r="E28" s="17" t="s">
        <v>40</v>
      </c>
      <c r="F28" s="16">
        <v>2001</v>
      </c>
      <c r="G28" s="15">
        <v>365</v>
      </c>
      <c r="H28" s="60">
        <f t="shared" si="0"/>
        <v>438</v>
      </c>
      <c r="I28" s="61">
        <f t="shared" si="1"/>
        <v>19.845944721341187</v>
      </c>
      <c r="J28" s="59">
        <f t="shared" si="2"/>
        <v>17.116060961313014</v>
      </c>
    </row>
    <row r="29" spans="2:10">
      <c r="B29"/>
      <c r="C29"/>
      <c r="D29" s="18" t="s">
        <v>41</v>
      </c>
      <c r="E29" s="17" t="s">
        <v>40</v>
      </c>
      <c r="F29" s="16">
        <v>2002</v>
      </c>
      <c r="G29" s="15">
        <v>365</v>
      </c>
      <c r="H29" s="60">
        <f t="shared" si="0"/>
        <v>438</v>
      </c>
      <c r="I29" s="61">
        <f t="shared" si="1"/>
        <v>19.845944721341187</v>
      </c>
      <c r="J29" s="59">
        <f t="shared" si="2"/>
        <v>17.116060961313014</v>
      </c>
    </row>
    <row r="30" spans="2:10">
      <c r="B30"/>
      <c r="C30"/>
      <c r="D30" s="18" t="s">
        <v>41</v>
      </c>
      <c r="E30" s="17" t="s">
        <v>40</v>
      </c>
      <c r="F30" s="16">
        <v>2003</v>
      </c>
      <c r="G30" s="15">
        <v>365</v>
      </c>
      <c r="H30" s="60">
        <f t="shared" si="0"/>
        <v>438</v>
      </c>
      <c r="I30" s="61">
        <f t="shared" si="1"/>
        <v>19.845944721341187</v>
      </c>
      <c r="J30" s="59">
        <f t="shared" si="2"/>
        <v>17.116060961313014</v>
      </c>
    </row>
    <row r="31" spans="2:10">
      <c r="B31"/>
      <c r="C31"/>
      <c r="D31" s="18" t="s">
        <v>37</v>
      </c>
      <c r="E31" s="17" t="s">
        <v>39</v>
      </c>
      <c r="F31" s="16">
        <v>1999</v>
      </c>
      <c r="G31" s="15">
        <v>765</v>
      </c>
      <c r="H31" s="60">
        <f t="shared" si="0"/>
        <v>1017.45</v>
      </c>
      <c r="I31" s="61">
        <f t="shared" si="1"/>
        <v>46.101042138649753</v>
      </c>
      <c r="J31" s="59">
        <f t="shared" si="2"/>
        <v>39.759671746776085</v>
      </c>
    </row>
    <row r="32" spans="2:10">
      <c r="B32"/>
      <c r="C32"/>
      <c r="D32" s="18" t="s">
        <v>37</v>
      </c>
      <c r="E32" s="17" t="s">
        <v>39</v>
      </c>
      <c r="F32" s="16">
        <v>2000</v>
      </c>
      <c r="G32" s="15">
        <v>765</v>
      </c>
      <c r="H32" s="60">
        <f t="shared" si="0"/>
        <v>1017.45</v>
      </c>
      <c r="I32" s="61">
        <f t="shared" si="1"/>
        <v>46.101042138649753</v>
      </c>
      <c r="J32" s="59">
        <f t="shared" si="2"/>
        <v>39.759671746776085</v>
      </c>
    </row>
    <row r="33" spans="2:10">
      <c r="B33"/>
      <c r="C33"/>
      <c r="D33" s="18" t="s">
        <v>37</v>
      </c>
      <c r="E33" s="17" t="s">
        <v>38</v>
      </c>
      <c r="F33" s="16">
        <v>2000</v>
      </c>
      <c r="G33" s="15">
        <v>1650</v>
      </c>
      <c r="H33" s="60">
        <f t="shared" si="0"/>
        <v>2194.5</v>
      </c>
      <c r="I33" s="61">
        <f t="shared" si="1"/>
        <v>99.433620299048485</v>
      </c>
      <c r="J33" s="59">
        <f t="shared" si="2"/>
        <v>85.756154747948415</v>
      </c>
    </row>
    <row r="34" spans="2:10">
      <c r="B34"/>
      <c r="C34"/>
      <c r="D34" s="18" t="s">
        <v>37</v>
      </c>
      <c r="E34" s="17" t="s">
        <v>38</v>
      </c>
      <c r="F34" s="16">
        <v>1999</v>
      </c>
      <c r="G34" s="15">
        <v>1650</v>
      </c>
      <c r="H34" s="60">
        <f t="shared" si="0"/>
        <v>2194.5</v>
      </c>
      <c r="I34" s="61">
        <f t="shared" si="1"/>
        <v>99.433620299048485</v>
      </c>
      <c r="J34" s="59">
        <f t="shared" si="2"/>
        <v>85.756154747948415</v>
      </c>
    </row>
    <row r="35" spans="2:10">
      <c r="B35"/>
      <c r="C35"/>
      <c r="D35" s="18" t="s">
        <v>37</v>
      </c>
      <c r="E35" s="17" t="s">
        <v>36</v>
      </c>
      <c r="F35" s="16">
        <v>2002</v>
      </c>
      <c r="G35" s="15">
        <v>1120</v>
      </c>
      <c r="H35" s="60">
        <f t="shared" si="0"/>
        <v>1344</v>
      </c>
      <c r="I35" s="61">
        <f t="shared" si="1"/>
        <v>60.897145446307206</v>
      </c>
      <c r="J35" s="59">
        <f t="shared" si="2"/>
        <v>52.520515826494723</v>
      </c>
    </row>
    <row r="36" spans="2:10">
      <c r="B36"/>
      <c r="C36"/>
      <c r="D36" s="18" t="s">
        <v>30</v>
      </c>
      <c r="E36" s="17" t="s">
        <v>35</v>
      </c>
      <c r="F36" s="16">
        <v>2004</v>
      </c>
      <c r="G36" s="15">
        <v>170</v>
      </c>
      <c r="H36" s="60">
        <f t="shared" si="0"/>
        <v>204</v>
      </c>
      <c r="I36" s="61">
        <f t="shared" si="1"/>
        <v>9.2433167195287727</v>
      </c>
      <c r="J36" s="59">
        <f t="shared" si="2"/>
        <v>7.9718640093786632</v>
      </c>
    </row>
    <row r="37" spans="2:10">
      <c r="B37"/>
      <c r="C37"/>
      <c r="D37" s="18" t="s">
        <v>30</v>
      </c>
      <c r="E37" s="17" t="s">
        <v>34</v>
      </c>
      <c r="F37" s="16">
        <v>2004</v>
      </c>
      <c r="G37" s="15">
        <v>170</v>
      </c>
      <c r="H37" s="60">
        <f t="shared" si="0"/>
        <v>204</v>
      </c>
      <c r="I37" s="61">
        <f t="shared" si="1"/>
        <v>9.2433167195287727</v>
      </c>
      <c r="J37" s="59">
        <f t="shared" si="2"/>
        <v>7.9718640093786632</v>
      </c>
    </row>
    <row r="38" spans="2:10">
      <c r="B38"/>
      <c r="C38"/>
      <c r="D38" s="18" t="s">
        <v>30</v>
      </c>
      <c r="E38" s="17" t="s">
        <v>33</v>
      </c>
      <c r="F38" s="16">
        <v>2004</v>
      </c>
      <c r="G38" s="15">
        <v>170</v>
      </c>
      <c r="H38" s="60">
        <f t="shared" si="0"/>
        <v>204</v>
      </c>
      <c r="I38" s="61">
        <f t="shared" si="1"/>
        <v>9.2433167195287727</v>
      </c>
      <c r="J38" s="59">
        <f t="shared" si="2"/>
        <v>7.9718640093786632</v>
      </c>
    </row>
    <row r="39" spans="2:10">
      <c r="B39"/>
      <c r="C39"/>
      <c r="D39" s="18" t="s">
        <v>30</v>
      </c>
      <c r="E39" s="17" t="s">
        <v>32</v>
      </c>
      <c r="F39" s="16">
        <v>2004</v>
      </c>
      <c r="G39" s="15">
        <v>170</v>
      </c>
      <c r="H39" s="60">
        <f t="shared" si="0"/>
        <v>204</v>
      </c>
      <c r="I39" s="61">
        <f t="shared" si="1"/>
        <v>9.2433167195287727</v>
      </c>
      <c r="J39" s="59">
        <f t="shared" si="2"/>
        <v>7.9718640093786632</v>
      </c>
    </row>
    <row r="40" spans="2:10">
      <c r="B40"/>
      <c r="C40"/>
      <c r="D40" s="18" t="s">
        <v>30</v>
      </c>
      <c r="E40" s="17" t="s">
        <v>31</v>
      </c>
      <c r="F40" s="16">
        <v>2002</v>
      </c>
      <c r="G40" s="15">
        <v>240</v>
      </c>
      <c r="H40" s="60">
        <f t="shared" si="0"/>
        <v>288</v>
      </c>
      <c r="I40" s="61">
        <f t="shared" si="1"/>
        <v>13.049388309922973</v>
      </c>
      <c r="J40" s="59">
        <f t="shared" si="2"/>
        <v>11.254396248534585</v>
      </c>
    </row>
    <row r="41" spans="2:10">
      <c r="B41"/>
      <c r="C41"/>
      <c r="D41" s="18" t="s">
        <v>30</v>
      </c>
      <c r="E41" s="17" t="s">
        <v>31</v>
      </c>
      <c r="F41" s="16">
        <v>2004</v>
      </c>
      <c r="G41" s="15">
        <v>240</v>
      </c>
      <c r="H41" s="60">
        <f t="shared" si="0"/>
        <v>288</v>
      </c>
      <c r="I41" s="61">
        <f t="shared" si="1"/>
        <v>13.049388309922973</v>
      </c>
      <c r="J41" s="59">
        <f t="shared" si="2"/>
        <v>11.254396248534585</v>
      </c>
    </row>
    <row r="42" spans="2:10">
      <c r="B42"/>
      <c r="C42"/>
      <c r="D42" s="18" t="s">
        <v>30</v>
      </c>
      <c r="E42" s="17" t="s">
        <v>29</v>
      </c>
      <c r="F42" s="16">
        <v>2003</v>
      </c>
      <c r="G42" s="15">
        <v>240</v>
      </c>
      <c r="H42" s="60">
        <f t="shared" si="0"/>
        <v>288</v>
      </c>
      <c r="I42" s="61">
        <f t="shared" si="1"/>
        <v>13.049388309922973</v>
      </c>
      <c r="J42" s="59">
        <f t="shared" si="2"/>
        <v>11.254396248534585</v>
      </c>
    </row>
    <row r="43" spans="2:10">
      <c r="B43"/>
      <c r="C43"/>
      <c r="D43" s="18" t="s">
        <v>30</v>
      </c>
      <c r="E43" s="17" t="s">
        <v>29</v>
      </c>
      <c r="F43" s="16">
        <v>2004</v>
      </c>
      <c r="G43" s="15">
        <v>240</v>
      </c>
      <c r="H43" s="60">
        <f t="shared" si="0"/>
        <v>288</v>
      </c>
      <c r="I43" s="61">
        <f t="shared" si="1"/>
        <v>13.049388309922973</v>
      </c>
      <c r="J43" s="59">
        <f t="shared" si="2"/>
        <v>11.254396248534585</v>
      </c>
    </row>
    <row r="44" spans="2:10">
      <c r="B44"/>
      <c r="C44"/>
      <c r="D44" s="18" t="s">
        <v>25</v>
      </c>
      <c r="E44" s="17" t="s">
        <v>28</v>
      </c>
      <c r="F44" s="16">
        <v>2004</v>
      </c>
      <c r="G44" s="15">
        <v>485</v>
      </c>
      <c r="H44" s="60">
        <f t="shared" si="0"/>
        <v>582</v>
      </c>
      <c r="I44" s="61">
        <f t="shared" si="1"/>
        <v>26.370638876302674</v>
      </c>
      <c r="J44" s="59">
        <f t="shared" si="2"/>
        <v>22.743259085580306</v>
      </c>
    </row>
    <row r="45" spans="2:10">
      <c r="B45"/>
      <c r="C45"/>
      <c r="D45" s="18" t="s">
        <v>25</v>
      </c>
      <c r="E45" s="17" t="s">
        <v>27</v>
      </c>
      <c r="F45" s="16">
        <v>2000</v>
      </c>
      <c r="G45" s="15">
        <v>595</v>
      </c>
      <c r="H45" s="60">
        <f t="shared" si="0"/>
        <v>791.35</v>
      </c>
      <c r="I45" s="61">
        <f t="shared" si="1"/>
        <v>35.856366107838696</v>
      </c>
      <c r="J45" s="59">
        <f t="shared" si="2"/>
        <v>30.924189136381401</v>
      </c>
    </row>
    <row r="46" spans="2:10">
      <c r="B46"/>
      <c r="C46"/>
      <c r="D46" s="18" t="s">
        <v>25</v>
      </c>
      <c r="E46" s="17" t="s">
        <v>27</v>
      </c>
      <c r="F46" s="16">
        <v>2002</v>
      </c>
      <c r="G46" s="15">
        <v>595</v>
      </c>
      <c r="H46" s="60">
        <f t="shared" si="0"/>
        <v>714</v>
      </c>
      <c r="I46" s="61">
        <f t="shared" si="1"/>
        <v>32.351608518350702</v>
      </c>
      <c r="J46" s="59">
        <f t="shared" si="2"/>
        <v>27.901524032825321</v>
      </c>
    </row>
    <row r="47" spans="2:10">
      <c r="B47"/>
      <c r="C47"/>
      <c r="D47" s="18" t="s">
        <v>25</v>
      </c>
      <c r="E47" s="17" t="s">
        <v>26</v>
      </c>
      <c r="F47" s="16">
        <v>2003</v>
      </c>
      <c r="G47" s="15">
        <v>595</v>
      </c>
      <c r="H47" s="60">
        <f t="shared" si="0"/>
        <v>714</v>
      </c>
      <c r="I47" s="61">
        <f t="shared" si="1"/>
        <v>32.351608518350702</v>
      </c>
      <c r="J47" s="59">
        <f t="shared" si="2"/>
        <v>27.901524032825321</v>
      </c>
    </row>
    <row r="48" spans="2:10">
      <c r="B48"/>
      <c r="C48"/>
      <c r="D48" s="18" t="s">
        <v>25</v>
      </c>
      <c r="E48" s="17" t="s">
        <v>24</v>
      </c>
      <c r="F48" s="16">
        <v>2003</v>
      </c>
      <c r="G48" s="15">
        <v>595</v>
      </c>
      <c r="H48" s="60">
        <f t="shared" si="0"/>
        <v>714</v>
      </c>
      <c r="I48" s="61">
        <f t="shared" si="1"/>
        <v>32.351608518350702</v>
      </c>
      <c r="J48" s="59">
        <f t="shared" si="2"/>
        <v>27.901524032825321</v>
      </c>
    </row>
    <row r="49" spans="2:10">
      <c r="B49"/>
      <c r="C49"/>
      <c r="D49" s="18" t="s">
        <v>21</v>
      </c>
      <c r="E49" s="17" t="s">
        <v>23</v>
      </c>
      <c r="F49" s="16">
        <v>1985</v>
      </c>
      <c r="G49" s="15">
        <v>560</v>
      </c>
      <c r="H49" s="60">
        <f t="shared" si="0"/>
        <v>744.80000000000007</v>
      </c>
      <c r="I49" s="61">
        <f t="shared" si="1"/>
        <v>33.747168101495248</v>
      </c>
      <c r="J49" s="59">
        <f t="shared" si="2"/>
        <v>29.105119187182495</v>
      </c>
    </row>
    <row r="50" spans="2:10">
      <c r="B50"/>
      <c r="C50"/>
      <c r="D50" s="18" t="s">
        <v>21</v>
      </c>
      <c r="E50" s="17" t="s">
        <v>22</v>
      </c>
      <c r="F50" s="16">
        <v>1994</v>
      </c>
      <c r="G50" s="15">
        <v>420</v>
      </c>
      <c r="H50" s="60">
        <f t="shared" si="0"/>
        <v>558.6</v>
      </c>
      <c r="I50" s="61">
        <f t="shared" si="1"/>
        <v>25.310376076121432</v>
      </c>
      <c r="J50" s="59">
        <f t="shared" si="2"/>
        <v>21.828839390386872</v>
      </c>
    </row>
    <row r="51" spans="2:10">
      <c r="B51"/>
      <c r="C51"/>
      <c r="D51" s="18" t="s">
        <v>21</v>
      </c>
      <c r="E51" s="17" t="s">
        <v>20</v>
      </c>
      <c r="F51" s="16">
        <v>1994</v>
      </c>
      <c r="G51" s="15">
        <v>270</v>
      </c>
      <c r="H51" s="60">
        <f t="shared" si="0"/>
        <v>359.1</v>
      </c>
      <c r="I51" s="61">
        <f t="shared" si="1"/>
        <v>16.270956048935208</v>
      </c>
      <c r="J51" s="59">
        <f t="shared" si="2"/>
        <v>14.03282532239156</v>
      </c>
    </row>
    <row r="52" spans="2:10">
      <c r="B52"/>
      <c r="C52"/>
      <c r="D52" s="18" t="s">
        <v>18</v>
      </c>
      <c r="E52" s="17" t="s">
        <v>19</v>
      </c>
      <c r="F52" s="16">
        <v>2004</v>
      </c>
      <c r="G52" s="15">
        <v>125</v>
      </c>
      <c r="H52" s="60">
        <f t="shared" si="0"/>
        <v>150</v>
      </c>
      <c r="I52" s="61">
        <f t="shared" si="1"/>
        <v>6.7965564114182149</v>
      </c>
      <c r="J52" s="59">
        <f t="shared" si="2"/>
        <v>5.8616647127784294</v>
      </c>
    </row>
    <row r="53" spans="2:10">
      <c r="B53"/>
      <c r="C53"/>
      <c r="D53" s="18" t="s">
        <v>18</v>
      </c>
      <c r="E53" s="17" t="s">
        <v>17</v>
      </c>
      <c r="F53" s="16">
        <v>2004</v>
      </c>
      <c r="G53" s="15">
        <v>125</v>
      </c>
      <c r="H53" s="60">
        <f t="shared" si="0"/>
        <v>150</v>
      </c>
      <c r="I53" s="61">
        <f t="shared" si="1"/>
        <v>6.7965564114182149</v>
      </c>
      <c r="J53" s="59">
        <f t="shared" si="2"/>
        <v>5.8616647127784294</v>
      </c>
    </row>
    <row r="54" spans="2:10">
      <c r="B54"/>
      <c r="C54"/>
      <c r="D54" s="18" t="s">
        <v>52</v>
      </c>
      <c r="E54" s="17" t="s">
        <v>53</v>
      </c>
      <c r="F54" s="16">
        <v>2002</v>
      </c>
      <c r="G54" s="24">
        <v>475</v>
      </c>
      <c r="H54" s="60">
        <f t="shared" si="0"/>
        <v>570</v>
      </c>
      <c r="I54" s="61">
        <f t="shared" si="1"/>
        <v>25.826914363389214</v>
      </c>
      <c r="J54" s="59">
        <f t="shared" si="2"/>
        <v>22.27432590855803</v>
      </c>
    </row>
    <row r="55" spans="2:10">
      <c r="B55"/>
      <c r="C55"/>
      <c r="D55" s="18" t="s">
        <v>52</v>
      </c>
      <c r="E55" s="17" t="s">
        <v>51</v>
      </c>
      <c r="F55" s="16">
        <v>1999</v>
      </c>
      <c r="G55" s="24">
        <v>475</v>
      </c>
      <c r="H55" s="60">
        <f t="shared" si="0"/>
        <v>631.75</v>
      </c>
      <c r="I55" s="61">
        <f t="shared" si="1"/>
        <v>28.624830086089712</v>
      </c>
      <c r="J55" s="59">
        <f t="shared" si="2"/>
        <v>24.687377881985149</v>
      </c>
    </row>
    <row r="56" spans="2:10">
      <c r="B56"/>
      <c r="C56"/>
      <c r="D56" s="18" t="s">
        <v>45</v>
      </c>
      <c r="E56" s="17" t="s">
        <v>50</v>
      </c>
      <c r="F56" s="16">
        <v>2002</v>
      </c>
      <c r="G56" s="15">
        <v>392</v>
      </c>
      <c r="H56" s="60">
        <f t="shared" si="0"/>
        <v>470.4</v>
      </c>
      <c r="I56" s="61">
        <f t="shared" si="1"/>
        <v>21.314000906207522</v>
      </c>
      <c r="J56" s="59">
        <f t="shared" si="2"/>
        <v>18.382180539273154</v>
      </c>
    </row>
    <row r="57" spans="2:10">
      <c r="B57"/>
      <c r="C57"/>
      <c r="D57" s="18" t="s">
        <v>45</v>
      </c>
      <c r="E57" s="17" t="s">
        <v>50</v>
      </c>
      <c r="F57" s="16">
        <v>2004</v>
      </c>
      <c r="G57" s="15">
        <v>392</v>
      </c>
      <c r="H57" s="60">
        <f t="shared" si="0"/>
        <v>470.4</v>
      </c>
      <c r="I57" s="61">
        <f t="shared" si="1"/>
        <v>21.314000906207522</v>
      </c>
      <c r="J57" s="59">
        <f t="shared" si="2"/>
        <v>18.382180539273154</v>
      </c>
    </row>
    <row r="58" spans="2:10">
      <c r="B58"/>
      <c r="C58"/>
      <c r="D58" s="18" t="s">
        <v>45</v>
      </c>
      <c r="E58" s="17" t="s">
        <v>50</v>
      </c>
      <c r="F58" s="16">
        <v>2005</v>
      </c>
      <c r="G58" s="15">
        <v>392</v>
      </c>
      <c r="H58" s="60">
        <f t="shared" si="0"/>
        <v>470.4</v>
      </c>
      <c r="I58" s="61">
        <f t="shared" si="1"/>
        <v>21.314000906207522</v>
      </c>
      <c r="J58" s="59">
        <f t="shared" si="2"/>
        <v>18.382180539273154</v>
      </c>
    </row>
    <row r="59" spans="2:10">
      <c r="B59"/>
      <c r="C59"/>
      <c r="D59" s="18" t="s">
        <v>45</v>
      </c>
      <c r="E59" s="17" t="s">
        <v>49</v>
      </c>
      <c r="F59" s="21">
        <v>2003</v>
      </c>
      <c r="G59" s="15">
        <v>357</v>
      </c>
      <c r="H59" s="60">
        <f t="shared" si="0"/>
        <v>428.4</v>
      </c>
      <c r="I59" s="61">
        <f t="shared" si="1"/>
        <v>19.41096511101042</v>
      </c>
      <c r="J59" s="59">
        <f t="shared" si="2"/>
        <v>16.740914419695194</v>
      </c>
    </row>
    <row r="60" spans="2:10">
      <c r="B60"/>
      <c r="C60"/>
      <c r="D60" s="18" t="s">
        <v>45</v>
      </c>
      <c r="E60" s="17" t="s">
        <v>49</v>
      </c>
      <c r="F60" s="21">
        <v>2004</v>
      </c>
      <c r="G60" s="15">
        <v>357</v>
      </c>
      <c r="H60" s="60">
        <f t="shared" si="0"/>
        <v>428.4</v>
      </c>
      <c r="I60" s="61">
        <f t="shared" si="1"/>
        <v>19.41096511101042</v>
      </c>
      <c r="J60" s="59">
        <f t="shared" si="2"/>
        <v>16.740914419695194</v>
      </c>
    </row>
    <row r="61" spans="2:10">
      <c r="B61"/>
      <c r="C61"/>
      <c r="D61" s="18" t="s">
        <v>45</v>
      </c>
      <c r="E61" s="17" t="s">
        <v>49</v>
      </c>
      <c r="F61" s="21">
        <v>2005</v>
      </c>
      <c r="G61" s="15">
        <v>357</v>
      </c>
      <c r="H61" s="60">
        <f t="shared" si="0"/>
        <v>428.4</v>
      </c>
      <c r="I61" s="61">
        <f t="shared" si="1"/>
        <v>19.41096511101042</v>
      </c>
      <c r="J61" s="59">
        <f t="shared" si="2"/>
        <v>16.740914419695194</v>
      </c>
    </row>
    <row r="62" spans="2:10">
      <c r="B62"/>
      <c r="C62"/>
      <c r="D62" s="18" t="s">
        <v>45</v>
      </c>
      <c r="E62" s="17" t="s">
        <v>48</v>
      </c>
      <c r="F62" s="16">
        <v>2004</v>
      </c>
      <c r="G62" s="15">
        <v>343</v>
      </c>
      <c r="H62" s="60">
        <f t="shared" si="0"/>
        <v>411.59999999999997</v>
      </c>
      <c r="I62" s="61">
        <f t="shared" si="1"/>
        <v>18.649750792931581</v>
      </c>
      <c r="J62" s="59">
        <f t="shared" si="2"/>
        <v>16.084407971864007</v>
      </c>
    </row>
    <row r="63" spans="2:10">
      <c r="B63"/>
      <c r="C63"/>
      <c r="D63" s="18" t="s">
        <v>45</v>
      </c>
      <c r="E63" s="17" t="s">
        <v>48</v>
      </c>
      <c r="F63" s="16">
        <v>2005</v>
      </c>
      <c r="G63" s="15">
        <v>343</v>
      </c>
      <c r="H63" s="60">
        <f t="shared" si="0"/>
        <v>411.59999999999997</v>
      </c>
      <c r="I63" s="61">
        <f t="shared" si="1"/>
        <v>18.649750792931581</v>
      </c>
      <c r="J63" s="59">
        <f t="shared" si="2"/>
        <v>16.084407971864007</v>
      </c>
    </row>
    <row r="64" spans="2:10">
      <c r="B64"/>
      <c r="C64"/>
      <c r="D64" s="18" t="s">
        <v>45</v>
      </c>
      <c r="E64" s="17" t="s">
        <v>47</v>
      </c>
      <c r="F64" s="16">
        <v>1999</v>
      </c>
      <c r="G64" s="15">
        <v>434</v>
      </c>
      <c r="H64" s="60">
        <f t="shared" si="0"/>
        <v>577.22</v>
      </c>
      <c r="I64" s="61">
        <f t="shared" si="1"/>
        <v>26.154055278658813</v>
      </c>
      <c r="J64" s="59">
        <f t="shared" si="2"/>
        <v>22.556467370066432</v>
      </c>
    </row>
    <row r="65" spans="2:10">
      <c r="B65"/>
      <c r="C65"/>
      <c r="D65" s="18" t="s">
        <v>45</v>
      </c>
      <c r="E65" s="17" t="s">
        <v>47</v>
      </c>
      <c r="F65" s="16">
        <v>2005</v>
      </c>
      <c r="G65" s="15">
        <v>434</v>
      </c>
      <c r="H65" s="60">
        <f t="shared" si="0"/>
        <v>520.79999999999995</v>
      </c>
      <c r="I65" s="61">
        <f t="shared" si="1"/>
        <v>23.597643860444041</v>
      </c>
      <c r="J65" s="59">
        <f t="shared" si="2"/>
        <v>20.351699882766702</v>
      </c>
    </row>
    <row r="66" spans="2:10">
      <c r="B66"/>
      <c r="C66"/>
      <c r="D66" s="18" t="s">
        <v>45</v>
      </c>
      <c r="E66" s="20" t="s">
        <v>46</v>
      </c>
      <c r="F66" s="16">
        <v>2004</v>
      </c>
      <c r="G66" s="15">
        <v>294</v>
      </c>
      <c r="H66" s="60">
        <f t="shared" si="0"/>
        <v>352.8</v>
      </c>
      <c r="I66" s="61">
        <f t="shared" si="1"/>
        <v>15.985500679655642</v>
      </c>
      <c r="J66" s="59">
        <f t="shared" si="2"/>
        <v>13.786635404454866</v>
      </c>
    </row>
    <row r="67" spans="2:10">
      <c r="B67"/>
      <c r="C67"/>
      <c r="D67" s="18" t="s">
        <v>45</v>
      </c>
      <c r="E67" s="20" t="s">
        <v>44</v>
      </c>
      <c r="F67" s="19">
        <v>2006</v>
      </c>
      <c r="G67" s="15">
        <v>294</v>
      </c>
      <c r="H67" s="60">
        <f t="shared" si="0"/>
        <v>352.8</v>
      </c>
      <c r="I67" s="61">
        <f t="shared" si="1"/>
        <v>15.985500679655642</v>
      </c>
      <c r="J67" s="59">
        <f t="shared" si="2"/>
        <v>13.786635404454866</v>
      </c>
    </row>
    <row r="68" spans="2:10">
      <c r="B68"/>
      <c r="C68"/>
      <c r="D68" s="18" t="s">
        <v>41</v>
      </c>
      <c r="E68" s="17" t="s">
        <v>43</v>
      </c>
      <c r="F68" s="16">
        <v>2003</v>
      </c>
      <c r="G68" s="15">
        <v>434</v>
      </c>
      <c r="H68" s="60">
        <f t="shared" si="0"/>
        <v>520.79999999999995</v>
      </c>
      <c r="I68" s="61">
        <f t="shared" si="1"/>
        <v>23.597643860444041</v>
      </c>
      <c r="J68" s="59">
        <f t="shared" si="2"/>
        <v>20.351699882766702</v>
      </c>
    </row>
    <row r="69" spans="2:10">
      <c r="B69"/>
      <c r="C69"/>
      <c r="D69" s="18" t="s">
        <v>41</v>
      </c>
      <c r="E69" s="17" t="s">
        <v>43</v>
      </c>
      <c r="F69" s="16">
        <v>2004</v>
      </c>
      <c r="G69" s="15">
        <v>434</v>
      </c>
      <c r="H69" s="60">
        <f t="shared" si="0"/>
        <v>520.79999999999995</v>
      </c>
      <c r="I69" s="61">
        <f t="shared" si="1"/>
        <v>23.597643860444041</v>
      </c>
      <c r="J69" s="59">
        <f t="shared" si="2"/>
        <v>20.351699882766702</v>
      </c>
    </row>
    <row r="70" spans="2:10">
      <c r="B70"/>
      <c r="C70"/>
      <c r="D70" s="18" t="s">
        <v>41</v>
      </c>
      <c r="E70" s="17" t="s">
        <v>42</v>
      </c>
      <c r="F70" s="16">
        <v>2003</v>
      </c>
      <c r="G70" s="15">
        <v>511</v>
      </c>
      <c r="H70" s="60">
        <f t="shared" si="0"/>
        <v>613.19999999999993</v>
      </c>
      <c r="I70" s="61">
        <f t="shared" si="1"/>
        <v>27.784322609877659</v>
      </c>
      <c r="J70" s="59">
        <f t="shared" si="2"/>
        <v>23.962485345838214</v>
      </c>
    </row>
    <row r="71" spans="2:10">
      <c r="B71"/>
      <c r="C71"/>
      <c r="D71" s="18" t="s">
        <v>41</v>
      </c>
      <c r="E71" s="17" t="s">
        <v>42</v>
      </c>
      <c r="F71" s="16">
        <v>2004</v>
      </c>
      <c r="G71" s="15">
        <v>511</v>
      </c>
      <c r="H71" s="60">
        <f t="shared" si="0"/>
        <v>613.19999999999993</v>
      </c>
      <c r="I71" s="61">
        <f t="shared" si="1"/>
        <v>27.784322609877659</v>
      </c>
      <c r="J71" s="59">
        <f t="shared" si="2"/>
        <v>23.962485345838214</v>
      </c>
    </row>
    <row r="72" spans="2:10">
      <c r="B72"/>
      <c r="C72"/>
      <c r="D72" s="18" t="s">
        <v>41</v>
      </c>
      <c r="E72" s="17" t="s">
        <v>40</v>
      </c>
      <c r="F72" s="16">
        <v>2001</v>
      </c>
      <c r="G72" s="15">
        <v>511</v>
      </c>
      <c r="H72" s="60">
        <f t="shared" si="0"/>
        <v>613.19999999999993</v>
      </c>
      <c r="I72" s="61">
        <f t="shared" si="1"/>
        <v>27.784322609877659</v>
      </c>
      <c r="J72" s="59">
        <f t="shared" si="2"/>
        <v>23.962485345838214</v>
      </c>
    </row>
    <row r="73" spans="2:10">
      <c r="B73"/>
      <c r="C73"/>
      <c r="D73" s="18" t="s">
        <v>41</v>
      </c>
      <c r="E73" s="17" t="s">
        <v>40</v>
      </c>
      <c r="F73" s="16">
        <v>2002</v>
      </c>
      <c r="G73" s="15">
        <v>511</v>
      </c>
      <c r="H73" s="60">
        <f t="shared" si="0"/>
        <v>613.19999999999993</v>
      </c>
      <c r="I73" s="61">
        <f t="shared" si="1"/>
        <v>27.784322609877659</v>
      </c>
      <c r="J73" s="59">
        <f t="shared" si="2"/>
        <v>23.962485345838214</v>
      </c>
    </row>
    <row r="74" spans="2:10">
      <c r="B74"/>
      <c r="C74"/>
      <c r="D74" s="18" t="s">
        <v>41</v>
      </c>
      <c r="E74" s="17" t="s">
        <v>40</v>
      </c>
      <c r="F74" s="16">
        <v>2003</v>
      </c>
      <c r="G74" s="15">
        <v>511</v>
      </c>
      <c r="H74" s="60">
        <f t="shared" si="0"/>
        <v>613.19999999999993</v>
      </c>
      <c r="I74" s="61">
        <f t="shared" si="1"/>
        <v>27.784322609877659</v>
      </c>
      <c r="J74" s="59">
        <f t="shared" si="2"/>
        <v>23.962485345838214</v>
      </c>
    </row>
    <row r="75" spans="2:10">
      <c r="B75"/>
      <c r="C75"/>
      <c r="D75" s="18" t="s">
        <v>37</v>
      </c>
      <c r="E75" s="17" t="s">
        <v>39</v>
      </c>
      <c r="F75" s="16">
        <v>1999</v>
      </c>
      <c r="G75" s="15">
        <v>1071</v>
      </c>
      <c r="H75" s="60">
        <f t="shared" ref="H75:H138" si="3">IF(F75&gt;2000,G75*1.2,G75*1.33)</f>
        <v>1424.43</v>
      </c>
      <c r="I75" s="61">
        <f t="shared" ref="I75:I138" si="4">H75/$D$2</f>
        <v>64.541458994109647</v>
      </c>
      <c r="J75" s="59">
        <f t="shared" ref="J75:J138" si="5">H75/$D$3</f>
        <v>55.663540445486518</v>
      </c>
    </row>
    <row r="76" spans="2:10">
      <c r="B76"/>
      <c r="C76"/>
      <c r="D76" s="18" t="s">
        <v>37</v>
      </c>
      <c r="E76" s="17" t="s">
        <v>39</v>
      </c>
      <c r="F76" s="16">
        <v>2000</v>
      </c>
      <c r="G76" s="15">
        <v>1071</v>
      </c>
      <c r="H76" s="60">
        <f t="shared" si="3"/>
        <v>1424.43</v>
      </c>
      <c r="I76" s="61">
        <f t="shared" si="4"/>
        <v>64.541458994109647</v>
      </c>
      <c r="J76" s="59">
        <f t="shared" si="5"/>
        <v>55.663540445486518</v>
      </c>
    </row>
    <row r="77" spans="2:10">
      <c r="B77"/>
      <c r="C77"/>
      <c r="D77" s="18" t="s">
        <v>37</v>
      </c>
      <c r="E77" s="17" t="s">
        <v>38</v>
      </c>
      <c r="F77" s="16">
        <v>2000</v>
      </c>
      <c r="G77" s="15">
        <v>2310</v>
      </c>
      <c r="H77" s="60">
        <f t="shared" si="3"/>
        <v>3072.3</v>
      </c>
      <c r="I77" s="61">
        <f t="shared" si="4"/>
        <v>139.20706841866789</v>
      </c>
      <c r="J77" s="59">
        <f t="shared" si="5"/>
        <v>120.05861664712779</v>
      </c>
    </row>
    <row r="78" spans="2:10">
      <c r="B78"/>
      <c r="C78"/>
      <c r="D78" s="18" t="s">
        <v>37</v>
      </c>
      <c r="E78" s="17" t="s">
        <v>38</v>
      </c>
      <c r="F78" s="16">
        <v>2001</v>
      </c>
      <c r="G78" s="15">
        <v>2310</v>
      </c>
      <c r="H78" s="60">
        <f t="shared" si="3"/>
        <v>2772</v>
      </c>
      <c r="I78" s="61">
        <f t="shared" si="4"/>
        <v>125.60036248300861</v>
      </c>
      <c r="J78" s="59">
        <f t="shared" si="5"/>
        <v>108.32356389214537</v>
      </c>
    </row>
    <row r="79" spans="2:10">
      <c r="B79"/>
      <c r="C79"/>
      <c r="D79" s="18" t="s">
        <v>37</v>
      </c>
      <c r="E79" s="17" t="s">
        <v>36</v>
      </c>
      <c r="F79" s="16">
        <v>2002</v>
      </c>
      <c r="G79" s="15">
        <v>1568</v>
      </c>
      <c r="H79" s="60">
        <f t="shared" si="3"/>
        <v>1881.6</v>
      </c>
      <c r="I79" s="61">
        <f t="shared" si="4"/>
        <v>85.256003624830086</v>
      </c>
      <c r="J79" s="59">
        <f t="shared" si="5"/>
        <v>73.528722157092616</v>
      </c>
    </row>
    <row r="80" spans="2:10">
      <c r="B80"/>
      <c r="C80"/>
      <c r="D80" s="18" t="s">
        <v>30</v>
      </c>
      <c r="E80" s="17" t="s">
        <v>35</v>
      </c>
      <c r="F80" s="16">
        <v>2004</v>
      </c>
      <c r="G80" s="15">
        <v>238</v>
      </c>
      <c r="H80" s="60">
        <f t="shared" si="3"/>
        <v>285.59999999999997</v>
      </c>
      <c r="I80" s="61">
        <f t="shared" si="4"/>
        <v>12.940643407340279</v>
      </c>
      <c r="J80" s="59">
        <f t="shared" si="5"/>
        <v>11.160609613130127</v>
      </c>
    </row>
    <row r="81" spans="2:10">
      <c r="B81"/>
      <c r="C81"/>
      <c r="D81" s="18" t="s">
        <v>30</v>
      </c>
      <c r="E81" s="17" t="s">
        <v>34</v>
      </c>
      <c r="F81" s="16">
        <v>2004</v>
      </c>
      <c r="G81" s="15">
        <v>238</v>
      </c>
      <c r="H81" s="60">
        <f t="shared" si="3"/>
        <v>285.59999999999997</v>
      </c>
      <c r="I81" s="61">
        <f t="shared" si="4"/>
        <v>12.940643407340279</v>
      </c>
      <c r="J81" s="59">
        <f t="shared" si="5"/>
        <v>11.160609613130127</v>
      </c>
    </row>
    <row r="82" spans="2:10">
      <c r="B82"/>
      <c r="C82"/>
      <c r="D82" s="18" t="s">
        <v>30</v>
      </c>
      <c r="E82" s="17" t="s">
        <v>33</v>
      </c>
      <c r="F82" s="16">
        <v>2004</v>
      </c>
      <c r="G82" s="15">
        <v>238</v>
      </c>
      <c r="H82" s="60">
        <f t="shared" si="3"/>
        <v>285.59999999999997</v>
      </c>
      <c r="I82" s="61">
        <f t="shared" si="4"/>
        <v>12.940643407340279</v>
      </c>
      <c r="J82" s="59">
        <f t="shared" si="5"/>
        <v>11.160609613130127</v>
      </c>
    </row>
    <row r="83" spans="2:10">
      <c r="B83"/>
      <c r="C83"/>
      <c r="D83" s="18" t="s">
        <v>30</v>
      </c>
      <c r="E83" s="17" t="s">
        <v>32</v>
      </c>
      <c r="F83" s="16">
        <v>2004</v>
      </c>
      <c r="G83" s="15">
        <v>238</v>
      </c>
      <c r="H83" s="60">
        <f t="shared" si="3"/>
        <v>285.59999999999997</v>
      </c>
      <c r="I83" s="61">
        <f t="shared" si="4"/>
        <v>12.940643407340279</v>
      </c>
      <c r="J83" s="59">
        <f t="shared" si="5"/>
        <v>11.160609613130127</v>
      </c>
    </row>
    <row r="84" spans="2:10">
      <c r="B84"/>
      <c r="C84"/>
      <c r="D84" s="18" t="s">
        <v>30</v>
      </c>
      <c r="E84" s="17" t="s">
        <v>31</v>
      </c>
      <c r="F84" s="16">
        <v>2002</v>
      </c>
      <c r="G84" s="15">
        <v>336</v>
      </c>
      <c r="H84" s="60">
        <f t="shared" si="3"/>
        <v>403.2</v>
      </c>
      <c r="I84" s="61">
        <f t="shared" si="4"/>
        <v>18.26914363389216</v>
      </c>
      <c r="J84" s="59">
        <f t="shared" si="5"/>
        <v>15.756154747948417</v>
      </c>
    </row>
    <row r="85" spans="2:10">
      <c r="B85"/>
      <c r="C85"/>
      <c r="D85" s="18" t="s">
        <v>30</v>
      </c>
      <c r="E85" s="17" t="s">
        <v>31</v>
      </c>
      <c r="F85" s="16">
        <v>2004</v>
      </c>
      <c r="G85" s="15">
        <v>336</v>
      </c>
      <c r="H85" s="60">
        <f t="shared" si="3"/>
        <v>403.2</v>
      </c>
      <c r="I85" s="61">
        <f t="shared" si="4"/>
        <v>18.26914363389216</v>
      </c>
      <c r="J85" s="59">
        <f t="shared" si="5"/>
        <v>15.756154747948417</v>
      </c>
    </row>
    <row r="86" spans="2:10">
      <c r="B86"/>
      <c r="C86"/>
      <c r="D86" s="18" t="s">
        <v>30</v>
      </c>
      <c r="E86" s="17" t="s">
        <v>29</v>
      </c>
      <c r="F86" s="16">
        <v>1999</v>
      </c>
      <c r="G86" s="15">
        <v>336</v>
      </c>
      <c r="H86" s="60">
        <f t="shared" si="3"/>
        <v>446.88</v>
      </c>
      <c r="I86" s="61">
        <f t="shared" si="4"/>
        <v>20.248300860897146</v>
      </c>
      <c r="J86" s="59">
        <f t="shared" si="5"/>
        <v>17.463071512309497</v>
      </c>
    </row>
    <row r="87" spans="2:10">
      <c r="B87"/>
      <c r="C87"/>
      <c r="D87" s="18" t="s">
        <v>30</v>
      </c>
      <c r="E87" s="17" t="s">
        <v>29</v>
      </c>
      <c r="F87" s="16">
        <v>2004</v>
      </c>
      <c r="G87" s="15">
        <v>336</v>
      </c>
      <c r="H87" s="60">
        <f t="shared" si="3"/>
        <v>403.2</v>
      </c>
      <c r="I87" s="61">
        <f t="shared" si="4"/>
        <v>18.26914363389216</v>
      </c>
      <c r="J87" s="59">
        <f t="shared" si="5"/>
        <v>15.756154747948417</v>
      </c>
    </row>
    <row r="88" spans="2:10">
      <c r="B88"/>
      <c r="C88"/>
      <c r="D88" s="18" t="s">
        <v>25</v>
      </c>
      <c r="E88" s="17" t="s">
        <v>28</v>
      </c>
      <c r="F88" s="16">
        <v>2004</v>
      </c>
      <c r="G88" s="15">
        <v>679</v>
      </c>
      <c r="H88" s="60">
        <f t="shared" si="3"/>
        <v>814.8</v>
      </c>
      <c r="I88" s="61">
        <f t="shared" si="4"/>
        <v>36.918894426823741</v>
      </c>
      <c r="J88" s="59">
        <f t="shared" si="5"/>
        <v>31.840562719812425</v>
      </c>
    </row>
    <row r="89" spans="2:10">
      <c r="B89"/>
      <c r="C89"/>
      <c r="D89" s="18" t="s">
        <v>25</v>
      </c>
      <c r="E89" s="17" t="s">
        <v>27</v>
      </c>
      <c r="F89" s="16">
        <v>2000</v>
      </c>
      <c r="G89" s="15">
        <v>833</v>
      </c>
      <c r="H89" s="60">
        <f t="shared" si="3"/>
        <v>1107.8900000000001</v>
      </c>
      <c r="I89" s="61">
        <f t="shared" si="4"/>
        <v>50.198912550974178</v>
      </c>
      <c r="J89" s="59">
        <f t="shared" si="5"/>
        <v>43.293864790933959</v>
      </c>
    </row>
    <row r="90" spans="2:10">
      <c r="B90"/>
      <c r="C90"/>
      <c r="D90" s="18" t="s">
        <v>25</v>
      </c>
      <c r="E90" s="17" t="s">
        <v>27</v>
      </c>
      <c r="F90" s="16">
        <v>2002</v>
      </c>
      <c r="G90" s="15">
        <v>833</v>
      </c>
      <c r="H90" s="60">
        <f t="shared" si="3"/>
        <v>999.59999999999991</v>
      </c>
      <c r="I90" s="61">
        <f t="shared" si="4"/>
        <v>45.292251925690977</v>
      </c>
      <c r="J90" s="59">
        <f t="shared" si="5"/>
        <v>39.062133645955448</v>
      </c>
    </row>
    <row r="91" spans="2:10">
      <c r="B91"/>
      <c r="C91"/>
      <c r="D91" s="18" t="s">
        <v>25</v>
      </c>
      <c r="E91" s="17" t="s">
        <v>26</v>
      </c>
      <c r="F91" s="16">
        <v>2003</v>
      </c>
      <c r="G91" s="15">
        <v>833</v>
      </c>
      <c r="H91" s="60">
        <f t="shared" si="3"/>
        <v>999.59999999999991</v>
      </c>
      <c r="I91" s="61">
        <f t="shared" si="4"/>
        <v>45.292251925690977</v>
      </c>
      <c r="J91" s="59">
        <f t="shared" si="5"/>
        <v>39.062133645955448</v>
      </c>
    </row>
    <row r="92" spans="2:10">
      <c r="B92"/>
      <c r="C92"/>
      <c r="D92" s="18" t="s">
        <v>25</v>
      </c>
      <c r="E92" s="17" t="s">
        <v>24</v>
      </c>
      <c r="F92" s="16">
        <v>2003</v>
      </c>
      <c r="G92" s="15">
        <v>833</v>
      </c>
      <c r="H92" s="60">
        <f t="shared" si="3"/>
        <v>999.59999999999991</v>
      </c>
      <c r="I92" s="61">
        <f t="shared" si="4"/>
        <v>45.292251925690977</v>
      </c>
      <c r="J92" s="59">
        <f t="shared" si="5"/>
        <v>39.062133645955448</v>
      </c>
    </row>
    <row r="93" spans="2:10">
      <c r="B93"/>
      <c r="C93"/>
      <c r="D93" s="18" t="s">
        <v>21</v>
      </c>
      <c r="E93" s="17" t="s">
        <v>23</v>
      </c>
      <c r="F93" s="16">
        <v>1985</v>
      </c>
      <c r="G93" s="15">
        <v>784</v>
      </c>
      <c r="H93" s="60">
        <f t="shared" si="3"/>
        <v>1042.72</v>
      </c>
      <c r="I93" s="61">
        <f t="shared" si="4"/>
        <v>47.246035342093343</v>
      </c>
      <c r="J93" s="59">
        <f t="shared" si="5"/>
        <v>40.747166862055494</v>
      </c>
    </row>
    <row r="94" spans="2:10">
      <c r="B94"/>
      <c r="C94"/>
      <c r="D94" s="18" t="s">
        <v>21</v>
      </c>
      <c r="E94" s="17" t="s">
        <v>22</v>
      </c>
      <c r="F94" s="16">
        <v>1994</v>
      </c>
      <c r="G94" s="15">
        <v>588</v>
      </c>
      <c r="H94" s="60">
        <f t="shared" si="3"/>
        <v>782.04000000000008</v>
      </c>
      <c r="I94" s="61">
        <f t="shared" si="4"/>
        <v>35.434526506570009</v>
      </c>
      <c r="J94" s="59">
        <f t="shared" si="5"/>
        <v>30.56037514654162</v>
      </c>
    </row>
    <row r="95" spans="2:10">
      <c r="B95"/>
      <c r="C95"/>
      <c r="D95" s="18" t="s">
        <v>21</v>
      </c>
      <c r="E95" s="17" t="s">
        <v>20</v>
      </c>
      <c r="F95" s="16">
        <v>2000</v>
      </c>
      <c r="G95" s="15">
        <v>378</v>
      </c>
      <c r="H95" s="60">
        <f t="shared" si="3"/>
        <v>502.74</v>
      </c>
      <c r="I95" s="61">
        <f t="shared" si="4"/>
        <v>22.779338468509287</v>
      </c>
      <c r="J95" s="59">
        <f t="shared" si="5"/>
        <v>19.645955451348183</v>
      </c>
    </row>
    <row r="96" spans="2:10">
      <c r="B96"/>
      <c r="C96"/>
      <c r="D96" s="18" t="s">
        <v>18</v>
      </c>
      <c r="E96" s="17" t="s">
        <v>19</v>
      </c>
      <c r="F96" s="16">
        <v>2004</v>
      </c>
      <c r="G96" s="15">
        <v>175</v>
      </c>
      <c r="H96" s="60">
        <f t="shared" si="3"/>
        <v>210</v>
      </c>
      <c r="I96" s="61">
        <f t="shared" si="4"/>
        <v>9.515178975985501</v>
      </c>
      <c r="J96" s="59">
        <f t="shared" si="5"/>
        <v>8.2063305978898011</v>
      </c>
    </row>
    <row r="97" spans="2:10">
      <c r="B97"/>
      <c r="C97"/>
      <c r="D97" s="18" t="s">
        <v>18</v>
      </c>
      <c r="E97" s="17" t="s">
        <v>17</v>
      </c>
      <c r="F97" s="16">
        <v>2004</v>
      </c>
      <c r="G97" s="15">
        <v>175</v>
      </c>
      <c r="H97" s="60">
        <f t="shared" si="3"/>
        <v>210</v>
      </c>
      <c r="I97" s="61">
        <f t="shared" si="4"/>
        <v>9.515178975985501</v>
      </c>
      <c r="J97" s="59">
        <f t="shared" si="5"/>
        <v>8.2063305978898011</v>
      </c>
    </row>
    <row r="98" spans="2:10">
      <c r="B98"/>
      <c r="C98"/>
      <c r="D98" s="18" t="s">
        <v>52</v>
      </c>
      <c r="E98" s="17" t="s">
        <v>53</v>
      </c>
      <c r="F98" s="16">
        <v>1985</v>
      </c>
      <c r="G98" s="22">
        <v>289</v>
      </c>
      <c r="H98" s="60">
        <f t="shared" si="3"/>
        <v>384.37</v>
      </c>
      <c r="I98" s="61">
        <f t="shared" si="4"/>
        <v>17.415949252378795</v>
      </c>
      <c r="J98" s="59">
        <f t="shared" si="5"/>
        <v>15.020320437670966</v>
      </c>
    </row>
    <row r="99" spans="2:10">
      <c r="B99"/>
      <c r="C99"/>
      <c r="D99" s="18" t="s">
        <v>52</v>
      </c>
      <c r="E99" s="17" t="s">
        <v>51</v>
      </c>
      <c r="F99" s="16">
        <v>1994</v>
      </c>
      <c r="G99" s="22">
        <v>289</v>
      </c>
      <c r="H99" s="60">
        <f t="shared" si="3"/>
        <v>384.37</v>
      </c>
      <c r="I99" s="61">
        <f t="shared" si="4"/>
        <v>17.415949252378795</v>
      </c>
      <c r="J99" s="59">
        <f t="shared" si="5"/>
        <v>15.020320437670966</v>
      </c>
    </row>
    <row r="100" spans="2:10">
      <c r="B100"/>
      <c r="C100"/>
      <c r="D100" s="18" t="s">
        <v>45</v>
      </c>
      <c r="E100" s="17" t="s">
        <v>50</v>
      </c>
      <c r="F100" s="16">
        <v>2002</v>
      </c>
      <c r="G100" s="22">
        <v>238</v>
      </c>
      <c r="H100" s="60">
        <f t="shared" si="3"/>
        <v>285.59999999999997</v>
      </c>
      <c r="I100" s="61">
        <f t="shared" si="4"/>
        <v>12.940643407340279</v>
      </c>
      <c r="J100" s="59">
        <f t="shared" si="5"/>
        <v>11.160609613130127</v>
      </c>
    </row>
    <row r="101" spans="2:10">
      <c r="B101"/>
      <c r="C101"/>
      <c r="D101" s="18" t="s">
        <v>45</v>
      </c>
      <c r="E101" s="17" t="s">
        <v>50</v>
      </c>
      <c r="F101" s="16">
        <v>2004</v>
      </c>
      <c r="G101" s="22">
        <v>238</v>
      </c>
      <c r="H101" s="60">
        <f t="shared" si="3"/>
        <v>285.59999999999997</v>
      </c>
      <c r="I101" s="61">
        <f t="shared" si="4"/>
        <v>12.940643407340279</v>
      </c>
      <c r="J101" s="59">
        <f t="shared" si="5"/>
        <v>11.160609613130127</v>
      </c>
    </row>
    <row r="102" spans="2:10">
      <c r="B102"/>
      <c r="C102"/>
      <c r="D102" s="18" t="s">
        <v>45</v>
      </c>
      <c r="E102" s="17" t="s">
        <v>50</v>
      </c>
      <c r="F102" s="16">
        <v>2005</v>
      </c>
      <c r="G102" s="22">
        <v>238</v>
      </c>
      <c r="H102" s="60">
        <f t="shared" si="3"/>
        <v>285.59999999999997</v>
      </c>
      <c r="I102" s="61">
        <f t="shared" si="4"/>
        <v>12.940643407340279</v>
      </c>
      <c r="J102" s="59">
        <f t="shared" si="5"/>
        <v>11.160609613130127</v>
      </c>
    </row>
    <row r="103" spans="2:10">
      <c r="B103"/>
      <c r="C103"/>
      <c r="D103" s="18" t="s">
        <v>45</v>
      </c>
      <c r="E103" s="17" t="s">
        <v>49</v>
      </c>
      <c r="F103" s="21">
        <v>2003</v>
      </c>
      <c r="G103" s="22">
        <v>217</v>
      </c>
      <c r="H103" s="60">
        <f t="shared" si="3"/>
        <v>260.39999999999998</v>
      </c>
      <c r="I103" s="61">
        <f t="shared" si="4"/>
        <v>11.798821930222021</v>
      </c>
      <c r="J103" s="59">
        <f t="shared" si="5"/>
        <v>10.175849941383351</v>
      </c>
    </row>
    <row r="104" spans="2:10">
      <c r="B104"/>
      <c r="C104"/>
      <c r="D104" s="18" t="s">
        <v>45</v>
      </c>
      <c r="E104" s="17" t="s">
        <v>49</v>
      </c>
      <c r="F104" s="21">
        <v>2004</v>
      </c>
      <c r="G104" s="22">
        <v>217</v>
      </c>
      <c r="H104" s="60">
        <f t="shared" si="3"/>
        <v>260.39999999999998</v>
      </c>
      <c r="I104" s="61">
        <f t="shared" si="4"/>
        <v>11.798821930222021</v>
      </c>
      <c r="J104" s="59">
        <f t="shared" si="5"/>
        <v>10.175849941383351</v>
      </c>
    </row>
    <row r="105" spans="2:10">
      <c r="B105"/>
      <c r="C105"/>
      <c r="D105" s="18" t="s">
        <v>45</v>
      </c>
      <c r="E105" s="17" t="s">
        <v>49</v>
      </c>
      <c r="F105" s="16">
        <v>1994</v>
      </c>
      <c r="G105" s="22">
        <v>217</v>
      </c>
      <c r="H105" s="60">
        <f t="shared" si="3"/>
        <v>288.61</v>
      </c>
      <c r="I105" s="61">
        <f t="shared" si="4"/>
        <v>13.077027639329406</v>
      </c>
      <c r="J105" s="59">
        <f t="shared" si="5"/>
        <v>11.278233685033216</v>
      </c>
    </row>
    <row r="106" spans="2:10">
      <c r="B106"/>
      <c r="C106"/>
      <c r="D106" s="18" t="s">
        <v>45</v>
      </c>
      <c r="E106" s="17" t="s">
        <v>48</v>
      </c>
      <c r="F106" s="16">
        <v>2004</v>
      </c>
      <c r="G106" s="22">
        <v>208</v>
      </c>
      <c r="H106" s="60">
        <f t="shared" si="3"/>
        <v>249.6</v>
      </c>
      <c r="I106" s="61">
        <f t="shared" si="4"/>
        <v>11.309469868599908</v>
      </c>
      <c r="J106" s="59">
        <f t="shared" si="5"/>
        <v>9.7538100820633051</v>
      </c>
    </row>
    <row r="107" spans="2:10">
      <c r="B107"/>
      <c r="C107"/>
      <c r="D107" s="18" t="s">
        <v>45</v>
      </c>
      <c r="E107" s="17" t="s">
        <v>48</v>
      </c>
      <c r="F107" s="16">
        <v>2005</v>
      </c>
      <c r="G107" s="22">
        <v>208</v>
      </c>
      <c r="H107" s="60">
        <f t="shared" si="3"/>
        <v>249.6</v>
      </c>
      <c r="I107" s="61">
        <f t="shared" si="4"/>
        <v>11.309469868599908</v>
      </c>
      <c r="J107" s="59">
        <f t="shared" si="5"/>
        <v>9.7538100820633051</v>
      </c>
    </row>
    <row r="108" spans="2:10">
      <c r="B108"/>
      <c r="C108"/>
      <c r="D108" s="18" t="s">
        <v>45</v>
      </c>
      <c r="E108" s="17" t="s">
        <v>47</v>
      </c>
      <c r="F108" s="16">
        <v>2004</v>
      </c>
      <c r="G108" s="22">
        <v>264</v>
      </c>
      <c r="H108" s="60">
        <f t="shared" si="3"/>
        <v>316.8</v>
      </c>
      <c r="I108" s="61">
        <f t="shared" si="4"/>
        <v>14.35432714091527</v>
      </c>
      <c r="J108" s="59">
        <f t="shared" si="5"/>
        <v>12.379835873388043</v>
      </c>
    </row>
    <row r="109" spans="2:10">
      <c r="B109"/>
      <c r="C109"/>
      <c r="D109" s="18" t="s">
        <v>45</v>
      </c>
      <c r="E109" s="17" t="s">
        <v>47</v>
      </c>
      <c r="F109" s="16">
        <v>2005</v>
      </c>
      <c r="G109" s="22">
        <v>264</v>
      </c>
      <c r="H109" s="60">
        <f t="shared" si="3"/>
        <v>316.8</v>
      </c>
      <c r="I109" s="61">
        <f t="shared" si="4"/>
        <v>14.35432714091527</v>
      </c>
      <c r="J109" s="59">
        <f t="shared" si="5"/>
        <v>12.379835873388043</v>
      </c>
    </row>
    <row r="110" spans="2:10">
      <c r="B110"/>
      <c r="C110"/>
      <c r="D110" s="18" t="s">
        <v>45</v>
      </c>
      <c r="E110" s="20" t="s">
        <v>46</v>
      </c>
      <c r="F110" s="16">
        <v>2004</v>
      </c>
      <c r="G110" s="22">
        <v>179</v>
      </c>
      <c r="H110" s="60">
        <f t="shared" si="3"/>
        <v>214.79999999999998</v>
      </c>
      <c r="I110" s="61">
        <f t="shared" si="4"/>
        <v>9.732668781150883</v>
      </c>
      <c r="J110" s="59">
        <f t="shared" si="5"/>
        <v>8.3939038686987093</v>
      </c>
    </row>
    <row r="111" spans="2:10">
      <c r="B111"/>
      <c r="C111"/>
      <c r="D111" s="18" t="s">
        <v>45</v>
      </c>
      <c r="E111" s="20" t="s">
        <v>44</v>
      </c>
      <c r="F111" s="19">
        <v>2006</v>
      </c>
      <c r="G111" s="22">
        <v>179</v>
      </c>
      <c r="H111" s="60">
        <f t="shared" si="3"/>
        <v>214.79999999999998</v>
      </c>
      <c r="I111" s="61">
        <f t="shared" si="4"/>
        <v>9.732668781150883</v>
      </c>
      <c r="J111" s="59">
        <f t="shared" si="5"/>
        <v>8.3939038686987093</v>
      </c>
    </row>
    <row r="112" spans="2:10">
      <c r="B112"/>
      <c r="C112"/>
      <c r="D112" s="18" t="s">
        <v>41</v>
      </c>
      <c r="E112" s="17" t="s">
        <v>43</v>
      </c>
      <c r="F112" s="16">
        <v>2003</v>
      </c>
      <c r="G112" s="22">
        <v>264</v>
      </c>
      <c r="H112" s="60">
        <f t="shared" si="3"/>
        <v>316.8</v>
      </c>
      <c r="I112" s="61">
        <f t="shared" si="4"/>
        <v>14.35432714091527</v>
      </c>
      <c r="J112" s="59">
        <f t="shared" si="5"/>
        <v>12.379835873388043</v>
      </c>
    </row>
    <row r="113" spans="2:10">
      <c r="B113"/>
      <c r="C113"/>
      <c r="D113" s="18" t="s">
        <v>41</v>
      </c>
      <c r="E113" s="17" t="s">
        <v>43</v>
      </c>
      <c r="F113" s="16">
        <v>2004</v>
      </c>
      <c r="G113" s="22">
        <v>264</v>
      </c>
      <c r="H113" s="60">
        <f t="shared" si="3"/>
        <v>316.8</v>
      </c>
      <c r="I113" s="61">
        <f t="shared" si="4"/>
        <v>14.35432714091527</v>
      </c>
      <c r="J113" s="59">
        <f t="shared" si="5"/>
        <v>12.379835873388043</v>
      </c>
    </row>
    <row r="114" spans="2:10">
      <c r="B114"/>
      <c r="C114"/>
      <c r="D114" s="18" t="s">
        <v>41</v>
      </c>
      <c r="E114" s="17" t="s">
        <v>42</v>
      </c>
      <c r="F114" s="16">
        <v>2003</v>
      </c>
      <c r="G114" s="22">
        <v>351</v>
      </c>
      <c r="H114" s="60">
        <f t="shared" si="3"/>
        <v>421.2</v>
      </c>
      <c r="I114" s="61">
        <f t="shared" si="4"/>
        <v>19.084730403262345</v>
      </c>
      <c r="J114" s="59">
        <f t="shared" si="5"/>
        <v>16.45955451348183</v>
      </c>
    </row>
    <row r="115" spans="2:10">
      <c r="B115"/>
      <c r="C115"/>
      <c r="D115" s="18" t="s">
        <v>41</v>
      </c>
      <c r="E115" s="17" t="s">
        <v>42</v>
      </c>
      <c r="F115" s="16">
        <v>2004</v>
      </c>
      <c r="G115" s="22">
        <v>351</v>
      </c>
      <c r="H115" s="60">
        <f t="shared" si="3"/>
        <v>421.2</v>
      </c>
      <c r="I115" s="61">
        <f t="shared" si="4"/>
        <v>19.084730403262345</v>
      </c>
      <c r="J115" s="59">
        <f t="shared" si="5"/>
        <v>16.45955451348183</v>
      </c>
    </row>
    <row r="116" spans="2:10">
      <c r="B116"/>
      <c r="C116"/>
      <c r="D116" s="18" t="s">
        <v>41</v>
      </c>
      <c r="E116" s="17" t="s">
        <v>40</v>
      </c>
      <c r="F116" s="16">
        <v>2001</v>
      </c>
      <c r="G116" s="22">
        <v>351</v>
      </c>
      <c r="H116" s="60">
        <f t="shared" si="3"/>
        <v>421.2</v>
      </c>
      <c r="I116" s="61">
        <f t="shared" si="4"/>
        <v>19.084730403262345</v>
      </c>
      <c r="J116" s="59">
        <f t="shared" si="5"/>
        <v>16.45955451348183</v>
      </c>
    </row>
    <row r="117" spans="2:10">
      <c r="B117"/>
      <c r="C117"/>
      <c r="D117" s="18" t="s">
        <v>41</v>
      </c>
      <c r="E117" s="17" t="s">
        <v>40</v>
      </c>
      <c r="F117" s="16">
        <v>2002</v>
      </c>
      <c r="G117" s="22">
        <v>351</v>
      </c>
      <c r="H117" s="60">
        <f t="shared" si="3"/>
        <v>421.2</v>
      </c>
      <c r="I117" s="61">
        <f t="shared" si="4"/>
        <v>19.084730403262345</v>
      </c>
      <c r="J117" s="59">
        <f t="shared" si="5"/>
        <v>16.45955451348183</v>
      </c>
    </row>
    <row r="118" spans="2:10">
      <c r="B118"/>
      <c r="C118"/>
      <c r="D118" s="18" t="s">
        <v>41</v>
      </c>
      <c r="E118" s="17" t="s">
        <v>40</v>
      </c>
      <c r="F118" s="16">
        <v>2003</v>
      </c>
      <c r="G118" s="22">
        <v>351</v>
      </c>
      <c r="H118" s="60">
        <f t="shared" si="3"/>
        <v>421.2</v>
      </c>
      <c r="I118" s="61">
        <f t="shared" si="4"/>
        <v>19.084730403262345</v>
      </c>
      <c r="J118" s="59">
        <f t="shared" si="5"/>
        <v>16.45955451348183</v>
      </c>
    </row>
    <row r="119" spans="2:10">
      <c r="B119"/>
      <c r="C119"/>
      <c r="D119" s="18" t="s">
        <v>37</v>
      </c>
      <c r="E119" s="17" t="s">
        <v>39</v>
      </c>
      <c r="F119" s="16">
        <v>1999</v>
      </c>
      <c r="G119" s="22">
        <v>650</v>
      </c>
      <c r="H119" s="60">
        <f t="shared" si="3"/>
        <v>864.5</v>
      </c>
      <c r="I119" s="61">
        <f t="shared" si="4"/>
        <v>39.170820117806976</v>
      </c>
      <c r="J119" s="59">
        <f t="shared" si="5"/>
        <v>33.782727627979682</v>
      </c>
    </row>
    <row r="120" spans="2:10">
      <c r="B120"/>
      <c r="C120"/>
      <c r="D120" s="18" t="s">
        <v>37</v>
      </c>
      <c r="E120" s="17" t="s">
        <v>39</v>
      </c>
      <c r="F120" s="16">
        <v>2000</v>
      </c>
      <c r="G120" s="22">
        <v>650</v>
      </c>
      <c r="H120" s="60">
        <f t="shared" si="3"/>
        <v>864.5</v>
      </c>
      <c r="I120" s="61">
        <f t="shared" si="4"/>
        <v>39.170820117806976</v>
      </c>
      <c r="J120" s="59">
        <f t="shared" si="5"/>
        <v>33.782727627979682</v>
      </c>
    </row>
    <row r="121" spans="2:10">
      <c r="B121"/>
      <c r="C121"/>
      <c r="D121" s="18" t="s">
        <v>37</v>
      </c>
      <c r="E121" s="17" t="s">
        <v>38</v>
      </c>
      <c r="F121" s="16">
        <v>2000</v>
      </c>
      <c r="G121" s="22">
        <v>1403</v>
      </c>
      <c r="H121" s="60">
        <f t="shared" si="3"/>
        <v>1865.99</v>
      </c>
      <c r="I121" s="61">
        <f t="shared" si="4"/>
        <v>84.548708654281825</v>
      </c>
      <c r="J121" s="59">
        <f t="shared" si="5"/>
        <v>72.918718249316143</v>
      </c>
    </row>
    <row r="122" spans="2:10">
      <c r="B122"/>
      <c r="C122"/>
      <c r="D122" s="18" t="s">
        <v>37</v>
      </c>
      <c r="E122" s="17" t="s">
        <v>38</v>
      </c>
      <c r="F122" s="16">
        <v>2001</v>
      </c>
      <c r="G122" s="22">
        <v>1403</v>
      </c>
      <c r="H122" s="60">
        <f t="shared" si="3"/>
        <v>1683.6</v>
      </c>
      <c r="I122" s="61">
        <f t="shared" si="4"/>
        <v>76.284549161758036</v>
      </c>
      <c r="J122" s="59">
        <f t="shared" si="5"/>
        <v>65.791324736225079</v>
      </c>
    </row>
    <row r="123" spans="2:10">
      <c r="B123"/>
      <c r="C123"/>
      <c r="D123" s="18" t="s">
        <v>37</v>
      </c>
      <c r="E123" s="17" t="s">
        <v>36</v>
      </c>
      <c r="F123" s="16">
        <v>2002</v>
      </c>
      <c r="G123" s="22">
        <v>952</v>
      </c>
      <c r="H123" s="60">
        <f t="shared" si="3"/>
        <v>1142.3999999999999</v>
      </c>
      <c r="I123" s="61">
        <f t="shared" si="4"/>
        <v>51.762573629361114</v>
      </c>
      <c r="J123" s="59">
        <f t="shared" si="5"/>
        <v>44.642438452520508</v>
      </c>
    </row>
    <row r="124" spans="2:10">
      <c r="B124"/>
      <c r="C124"/>
      <c r="D124" s="18" t="s">
        <v>30</v>
      </c>
      <c r="E124" s="17" t="s">
        <v>35</v>
      </c>
      <c r="F124" s="16">
        <v>2004</v>
      </c>
      <c r="G124" s="23">
        <v>145</v>
      </c>
      <c r="H124" s="60">
        <f t="shared" si="3"/>
        <v>174</v>
      </c>
      <c r="I124" s="61">
        <f t="shared" si="4"/>
        <v>7.8840054372451291</v>
      </c>
      <c r="J124" s="59">
        <f t="shared" si="5"/>
        <v>6.7995310668229774</v>
      </c>
    </row>
    <row r="125" spans="2:10">
      <c r="B125"/>
      <c r="C125"/>
      <c r="D125" s="18" t="s">
        <v>30</v>
      </c>
      <c r="E125" s="17" t="s">
        <v>34</v>
      </c>
      <c r="F125" s="16">
        <v>2004</v>
      </c>
      <c r="G125" s="23">
        <v>145</v>
      </c>
      <c r="H125" s="60">
        <f t="shared" si="3"/>
        <v>174</v>
      </c>
      <c r="I125" s="61">
        <f t="shared" si="4"/>
        <v>7.8840054372451291</v>
      </c>
      <c r="J125" s="59">
        <f t="shared" si="5"/>
        <v>6.7995310668229774</v>
      </c>
    </row>
    <row r="126" spans="2:10">
      <c r="B126"/>
      <c r="C126"/>
      <c r="D126" s="18" t="s">
        <v>30</v>
      </c>
      <c r="E126" s="17" t="s">
        <v>33</v>
      </c>
      <c r="F126" s="16">
        <v>2004</v>
      </c>
      <c r="G126" s="23">
        <v>145</v>
      </c>
      <c r="H126" s="60">
        <f t="shared" si="3"/>
        <v>174</v>
      </c>
      <c r="I126" s="61">
        <f t="shared" si="4"/>
        <v>7.8840054372451291</v>
      </c>
      <c r="J126" s="59">
        <f t="shared" si="5"/>
        <v>6.7995310668229774</v>
      </c>
    </row>
    <row r="127" spans="2:10">
      <c r="B127"/>
      <c r="C127"/>
      <c r="D127" s="18" t="s">
        <v>30</v>
      </c>
      <c r="E127" s="17" t="s">
        <v>32</v>
      </c>
      <c r="F127" s="16">
        <v>2004</v>
      </c>
      <c r="G127" s="23">
        <v>145</v>
      </c>
      <c r="H127" s="60">
        <f t="shared" si="3"/>
        <v>174</v>
      </c>
      <c r="I127" s="61">
        <f t="shared" si="4"/>
        <v>7.8840054372451291</v>
      </c>
      <c r="J127" s="59">
        <f t="shared" si="5"/>
        <v>6.7995310668229774</v>
      </c>
    </row>
    <row r="128" spans="2:10">
      <c r="B128"/>
      <c r="C128"/>
      <c r="D128" s="18" t="s">
        <v>30</v>
      </c>
      <c r="E128" s="17" t="s">
        <v>31</v>
      </c>
      <c r="F128" s="16">
        <v>2002</v>
      </c>
      <c r="G128" s="23">
        <v>145</v>
      </c>
      <c r="H128" s="60">
        <f t="shared" si="3"/>
        <v>174</v>
      </c>
      <c r="I128" s="61">
        <f t="shared" si="4"/>
        <v>7.8840054372451291</v>
      </c>
      <c r="J128" s="59">
        <f t="shared" si="5"/>
        <v>6.7995310668229774</v>
      </c>
    </row>
    <row r="129" spans="2:10">
      <c r="B129"/>
      <c r="C129"/>
      <c r="D129" s="18" t="s">
        <v>30</v>
      </c>
      <c r="E129" s="17" t="s">
        <v>31</v>
      </c>
      <c r="F129" s="16">
        <v>2004</v>
      </c>
      <c r="G129" s="23">
        <v>145</v>
      </c>
      <c r="H129" s="60">
        <f t="shared" si="3"/>
        <v>174</v>
      </c>
      <c r="I129" s="61">
        <f t="shared" si="4"/>
        <v>7.8840054372451291</v>
      </c>
      <c r="J129" s="59">
        <f t="shared" si="5"/>
        <v>6.7995310668229774</v>
      </c>
    </row>
    <row r="130" spans="2:10">
      <c r="B130"/>
      <c r="C130"/>
      <c r="D130" s="18" t="s">
        <v>30</v>
      </c>
      <c r="E130" s="17" t="s">
        <v>29</v>
      </c>
      <c r="F130" s="16">
        <v>2003</v>
      </c>
      <c r="G130" s="22">
        <v>204</v>
      </c>
      <c r="H130" s="60">
        <f t="shared" si="3"/>
        <v>244.79999999999998</v>
      </c>
      <c r="I130" s="61">
        <f t="shared" si="4"/>
        <v>11.091980063434526</v>
      </c>
      <c r="J130" s="59">
        <f t="shared" si="5"/>
        <v>9.5662368112543952</v>
      </c>
    </row>
    <row r="131" spans="2:10">
      <c r="B131"/>
      <c r="C131"/>
      <c r="D131" s="18" t="s">
        <v>30</v>
      </c>
      <c r="E131" s="17" t="s">
        <v>29</v>
      </c>
      <c r="F131" s="16">
        <v>2004</v>
      </c>
      <c r="G131" s="22">
        <v>204</v>
      </c>
      <c r="H131" s="60">
        <f t="shared" si="3"/>
        <v>244.79999999999998</v>
      </c>
      <c r="I131" s="61">
        <f t="shared" si="4"/>
        <v>11.091980063434526</v>
      </c>
      <c r="J131" s="59">
        <f t="shared" si="5"/>
        <v>9.5662368112543952</v>
      </c>
    </row>
    <row r="132" spans="2:10">
      <c r="B132"/>
      <c r="C132"/>
      <c r="D132" s="18" t="s">
        <v>25</v>
      </c>
      <c r="E132" s="17" t="s">
        <v>28</v>
      </c>
      <c r="F132" s="16">
        <v>2004</v>
      </c>
      <c r="G132" s="22">
        <v>412</v>
      </c>
      <c r="H132" s="60">
        <f t="shared" si="3"/>
        <v>494.4</v>
      </c>
      <c r="I132" s="61">
        <f t="shared" si="4"/>
        <v>22.401449932034435</v>
      </c>
      <c r="J132" s="59">
        <f t="shared" si="5"/>
        <v>19.320046893317702</v>
      </c>
    </row>
    <row r="133" spans="2:10">
      <c r="B133"/>
      <c r="C133"/>
      <c r="D133" s="18" t="s">
        <v>25</v>
      </c>
      <c r="E133" s="17" t="s">
        <v>27</v>
      </c>
      <c r="F133" s="16">
        <v>2000</v>
      </c>
      <c r="G133" s="22">
        <v>506</v>
      </c>
      <c r="H133" s="60">
        <f t="shared" si="3"/>
        <v>672.98</v>
      </c>
      <c r="I133" s="61">
        <f t="shared" si="4"/>
        <v>30.492976891708203</v>
      </c>
      <c r="J133" s="59">
        <f t="shared" si="5"/>
        <v>26.298554122704182</v>
      </c>
    </row>
    <row r="134" spans="2:10">
      <c r="B134"/>
      <c r="C134"/>
      <c r="D134" s="18" t="s">
        <v>25</v>
      </c>
      <c r="E134" s="17" t="s">
        <v>27</v>
      </c>
      <c r="F134" s="16">
        <v>2002</v>
      </c>
      <c r="G134" s="22">
        <v>506</v>
      </c>
      <c r="H134" s="60">
        <f t="shared" si="3"/>
        <v>607.19999999999993</v>
      </c>
      <c r="I134" s="61">
        <f t="shared" si="4"/>
        <v>27.512460353420931</v>
      </c>
      <c r="J134" s="59">
        <f t="shared" si="5"/>
        <v>23.728018757327078</v>
      </c>
    </row>
    <row r="135" spans="2:10">
      <c r="B135"/>
      <c r="C135"/>
      <c r="D135" s="18" t="s">
        <v>25</v>
      </c>
      <c r="E135" s="17" t="s">
        <v>26</v>
      </c>
      <c r="F135" s="16">
        <v>2003</v>
      </c>
      <c r="G135" s="22">
        <v>506</v>
      </c>
      <c r="H135" s="60">
        <f t="shared" si="3"/>
        <v>607.19999999999993</v>
      </c>
      <c r="I135" s="61">
        <f t="shared" si="4"/>
        <v>27.512460353420931</v>
      </c>
      <c r="J135" s="59">
        <f t="shared" si="5"/>
        <v>23.728018757327078</v>
      </c>
    </row>
    <row r="136" spans="2:10" ht="15.75" customHeight="1">
      <c r="B136"/>
      <c r="C136"/>
      <c r="D136" s="18" t="s">
        <v>25</v>
      </c>
      <c r="E136" s="17" t="s">
        <v>24</v>
      </c>
      <c r="F136" s="16">
        <v>2003</v>
      </c>
      <c r="G136" s="22">
        <v>506</v>
      </c>
      <c r="H136" s="60">
        <f t="shared" si="3"/>
        <v>607.19999999999993</v>
      </c>
      <c r="I136" s="61">
        <f t="shared" si="4"/>
        <v>27.512460353420931</v>
      </c>
      <c r="J136" s="59">
        <f t="shared" si="5"/>
        <v>23.728018757327078</v>
      </c>
    </row>
    <row r="137" spans="2:10">
      <c r="B137"/>
      <c r="C137"/>
      <c r="D137" s="18" t="s">
        <v>21</v>
      </c>
      <c r="E137" s="17" t="s">
        <v>23</v>
      </c>
      <c r="F137" s="16">
        <v>1985</v>
      </c>
      <c r="G137" s="22">
        <v>476</v>
      </c>
      <c r="H137" s="60">
        <f t="shared" si="3"/>
        <v>633.08000000000004</v>
      </c>
      <c r="I137" s="61">
        <f t="shared" si="4"/>
        <v>28.685092886270958</v>
      </c>
      <c r="J137" s="59">
        <f t="shared" si="5"/>
        <v>24.739351309105121</v>
      </c>
    </row>
    <row r="138" spans="2:10">
      <c r="B138"/>
      <c r="C138"/>
      <c r="D138" s="18" t="s">
        <v>21</v>
      </c>
      <c r="E138" s="17" t="s">
        <v>22</v>
      </c>
      <c r="F138" s="16">
        <v>1994</v>
      </c>
      <c r="G138" s="22">
        <v>357</v>
      </c>
      <c r="H138" s="60">
        <f t="shared" si="3"/>
        <v>474.81</v>
      </c>
      <c r="I138" s="61">
        <f t="shared" si="4"/>
        <v>21.513819664703217</v>
      </c>
      <c r="J138" s="59">
        <f t="shared" si="5"/>
        <v>18.554513481828838</v>
      </c>
    </row>
    <row r="139" spans="2:10">
      <c r="B139"/>
      <c r="C139"/>
      <c r="D139" s="18" t="s">
        <v>21</v>
      </c>
      <c r="E139" s="17" t="s">
        <v>20</v>
      </c>
      <c r="F139" s="16">
        <v>1994</v>
      </c>
      <c r="G139" s="22">
        <v>230</v>
      </c>
      <c r="H139" s="60">
        <f t="shared" ref="H139:H202" si="6">IF(F139&gt;2000,G139*1.2,G139*1.33)</f>
        <v>305.90000000000003</v>
      </c>
      <c r="I139" s="61">
        <f t="shared" ref="I139:I202" si="7">H139/$D$2</f>
        <v>13.860444041685547</v>
      </c>
      <c r="J139" s="59">
        <f t="shared" ref="J139:J202" si="8">H139/$D$3</f>
        <v>11.95388823759281</v>
      </c>
    </row>
    <row r="140" spans="2:10">
      <c r="B140"/>
      <c r="C140"/>
      <c r="D140" s="18" t="s">
        <v>18</v>
      </c>
      <c r="E140" s="17" t="s">
        <v>19</v>
      </c>
      <c r="F140" s="16">
        <v>2004</v>
      </c>
      <c r="G140" s="22">
        <v>106</v>
      </c>
      <c r="H140" s="60">
        <f t="shared" si="6"/>
        <v>127.19999999999999</v>
      </c>
      <c r="I140" s="61">
        <f t="shared" si="7"/>
        <v>5.7634798368826452</v>
      </c>
      <c r="J140" s="59">
        <f t="shared" si="8"/>
        <v>4.9706916764361075</v>
      </c>
    </row>
    <row r="141" spans="2:10">
      <c r="B141"/>
      <c r="C141"/>
      <c r="D141" s="18" t="s">
        <v>18</v>
      </c>
      <c r="E141" s="17" t="s">
        <v>17</v>
      </c>
      <c r="F141" s="16">
        <v>2004</v>
      </c>
      <c r="G141" s="22">
        <v>106</v>
      </c>
      <c r="H141" s="60">
        <f t="shared" si="6"/>
        <v>127.19999999999999</v>
      </c>
      <c r="I141" s="61">
        <f t="shared" si="7"/>
        <v>5.7634798368826452</v>
      </c>
      <c r="J141" s="59">
        <f t="shared" si="8"/>
        <v>4.9706916764361075</v>
      </c>
    </row>
    <row r="142" spans="2:10">
      <c r="B142"/>
      <c r="C142"/>
      <c r="D142" s="18" t="s">
        <v>52</v>
      </c>
      <c r="E142" s="17" t="s">
        <v>53</v>
      </c>
      <c r="F142" s="16">
        <v>1994</v>
      </c>
      <c r="G142" s="15">
        <v>459</v>
      </c>
      <c r="H142" s="60">
        <f t="shared" si="6"/>
        <v>610.47</v>
      </c>
      <c r="I142" s="61">
        <f t="shared" si="7"/>
        <v>27.660625283189852</v>
      </c>
      <c r="J142" s="59">
        <f t="shared" si="8"/>
        <v>23.855803048065653</v>
      </c>
    </row>
    <row r="143" spans="2:10">
      <c r="B143"/>
      <c r="C143"/>
      <c r="D143" s="18" t="s">
        <v>52</v>
      </c>
      <c r="E143" s="17" t="s">
        <v>51</v>
      </c>
      <c r="F143" s="16">
        <v>1994</v>
      </c>
      <c r="G143" s="15">
        <v>459</v>
      </c>
      <c r="H143" s="60">
        <f t="shared" si="6"/>
        <v>610.47</v>
      </c>
      <c r="I143" s="61">
        <f t="shared" si="7"/>
        <v>27.660625283189852</v>
      </c>
      <c r="J143" s="59">
        <f t="shared" si="8"/>
        <v>23.855803048065653</v>
      </c>
    </row>
    <row r="144" spans="2:10">
      <c r="B144"/>
      <c r="C144"/>
      <c r="D144" s="18" t="s">
        <v>45</v>
      </c>
      <c r="E144" s="17" t="s">
        <v>50</v>
      </c>
      <c r="F144" s="16">
        <v>2002</v>
      </c>
      <c r="G144" s="15">
        <v>378</v>
      </c>
      <c r="H144" s="60">
        <f t="shared" si="6"/>
        <v>453.59999999999997</v>
      </c>
      <c r="I144" s="61">
        <f t="shared" si="7"/>
        <v>20.552786588128679</v>
      </c>
      <c r="J144" s="59">
        <f t="shared" si="8"/>
        <v>17.725674091441967</v>
      </c>
    </row>
    <row r="145" spans="2:10">
      <c r="B145"/>
      <c r="C145"/>
      <c r="D145" s="18" t="s">
        <v>45</v>
      </c>
      <c r="E145" s="17" t="s">
        <v>50</v>
      </c>
      <c r="F145" s="16">
        <v>2004</v>
      </c>
      <c r="G145" s="15">
        <v>378</v>
      </c>
      <c r="H145" s="60">
        <f t="shared" si="6"/>
        <v>453.59999999999997</v>
      </c>
      <c r="I145" s="61">
        <f t="shared" si="7"/>
        <v>20.552786588128679</v>
      </c>
      <c r="J145" s="59">
        <f t="shared" si="8"/>
        <v>17.725674091441967</v>
      </c>
    </row>
    <row r="146" spans="2:10">
      <c r="B146"/>
      <c r="C146"/>
      <c r="D146" s="18" t="s">
        <v>45</v>
      </c>
      <c r="E146" s="17" t="s">
        <v>50</v>
      </c>
      <c r="F146" s="16">
        <v>2005</v>
      </c>
      <c r="G146" s="15">
        <v>378</v>
      </c>
      <c r="H146" s="60">
        <f t="shared" si="6"/>
        <v>453.59999999999997</v>
      </c>
      <c r="I146" s="61">
        <f t="shared" si="7"/>
        <v>20.552786588128679</v>
      </c>
      <c r="J146" s="59">
        <f t="shared" si="8"/>
        <v>17.725674091441967</v>
      </c>
    </row>
    <row r="147" spans="2:10">
      <c r="B147"/>
      <c r="C147"/>
      <c r="D147" s="18" t="s">
        <v>45</v>
      </c>
      <c r="E147" s="17" t="s">
        <v>49</v>
      </c>
      <c r="F147" s="21">
        <v>2003</v>
      </c>
      <c r="G147" s="15">
        <v>344</v>
      </c>
      <c r="H147" s="60">
        <f t="shared" si="6"/>
        <v>412.8</v>
      </c>
      <c r="I147" s="61">
        <f t="shared" si="7"/>
        <v>18.704123244222927</v>
      </c>
      <c r="J147" s="59">
        <f t="shared" si="8"/>
        <v>16.131301289566238</v>
      </c>
    </row>
    <row r="148" spans="2:10">
      <c r="B148"/>
      <c r="C148"/>
      <c r="D148" s="18" t="s">
        <v>45</v>
      </c>
      <c r="E148" s="17" t="s">
        <v>49</v>
      </c>
      <c r="F148" s="21">
        <v>2004</v>
      </c>
      <c r="G148" s="15">
        <v>344</v>
      </c>
      <c r="H148" s="60">
        <f t="shared" si="6"/>
        <v>412.8</v>
      </c>
      <c r="I148" s="61">
        <f t="shared" si="7"/>
        <v>18.704123244222927</v>
      </c>
      <c r="J148" s="59">
        <f t="shared" si="8"/>
        <v>16.131301289566238</v>
      </c>
    </row>
    <row r="149" spans="2:10">
      <c r="B149"/>
      <c r="C149"/>
      <c r="D149" s="18" t="s">
        <v>45</v>
      </c>
      <c r="E149" s="17" t="s">
        <v>49</v>
      </c>
      <c r="F149" s="21">
        <v>2005</v>
      </c>
      <c r="G149" s="15">
        <v>344</v>
      </c>
      <c r="H149" s="60">
        <f t="shared" si="6"/>
        <v>412.8</v>
      </c>
      <c r="I149" s="61">
        <f t="shared" si="7"/>
        <v>18.704123244222927</v>
      </c>
      <c r="J149" s="59">
        <f t="shared" si="8"/>
        <v>16.131301289566238</v>
      </c>
    </row>
    <row r="150" spans="2:10">
      <c r="B150"/>
      <c r="C150"/>
      <c r="D150" s="18" t="s">
        <v>45</v>
      </c>
      <c r="E150" s="17" t="s">
        <v>48</v>
      </c>
      <c r="F150" s="16">
        <v>2004</v>
      </c>
      <c r="G150" s="15">
        <v>331</v>
      </c>
      <c r="H150" s="60">
        <f t="shared" si="6"/>
        <v>397.2</v>
      </c>
      <c r="I150" s="61">
        <f t="shared" si="7"/>
        <v>17.997281377435431</v>
      </c>
      <c r="J150" s="59">
        <f t="shared" si="8"/>
        <v>15.52168815943728</v>
      </c>
    </row>
    <row r="151" spans="2:10">
      <c r="B151"/>
      <c r="C151"/>
      <c r="D151" s="18" t="s">
        <v>45</v>
      </c>
      <c r="E151" s="17" t="s">
        <v>48</v>
      </c>
      <c r="F151" s="16">
        <v>2005</v>
      </c>
      <c r="G151" s="15">
        <v>331</v>
      </c>
      <c r="H151" s="60">
        <f t="shared" si="6"/>
        <v>397.2</v>
      </c>
      <c r="I151" s="61">
        <f t="shared" si="7"/>
        <v>17.997281377435431</v>
      </c>
      <c r="J151" s="59">
        <f t="shared" si="8"/>
        <v>15.52168815943728</v>
      </c>
    </row>
    <row r="152" spans="2:10">
      <c r="B152"/>
      <c r="C152"/>
      <c r="D152" s="18" t="s">
        <v>45</v>
      </c>
      <c r="E152" s="17" t="s">
        <v>47</v>
      </c>
      <c r="F152" s="16">
        <v>2004</v>
      </c>
      <c r="G152" s="15">
        <v>419</v>
      </c>
      <c r="H152" s="60">
        <f t="shared" si="6"/>
        <v>502.79999999999995</v>
      </c>
      <c r="I152" s="61">
        <f t="shared" si="7"/>
        <v>22.782057091073852</v>
      </c>
      <c r="J152" s="59">
        <f t="shared" si="8"/>
        <v>19.648300117233294</v>
      </c>
    </row>
    <row r="153" spans="2:10">
      <c r="B153"/>
      <c r="C153"/>
      <c r="D153" s="18" t="s">
        <v>45</v>
      </c>
      <c r="E153" s="17" t="s">
        <v>47</v>
      </c>
      <c r="F153" s="16">
        <v>2005</v>
      </c>
      <c r="G153" s="15">
        <v>419</v>
      </c>
      <c r="H153" s="60">
        <f t="shared" si="6"/>
        <v>502.79999999999995</v>
      </c>
      <c r="I153" s="61">
        <f t="shared" si="7"/>
        <v>22.782057091073852</v>
      </c>
      <c r="J153" s="59">
        <f t="shared" si="8"/>
        <v>19.648300117233294</v>
      </c>
    </row>
    <row r="154" spans="2:10">
      <c r="B154"/>
      <c r="C154"/>
      <c r="D154" s="18" t="s">
        <v>45</v>
      </c>
      <c r="E154" s="20" t="s">
        <v>46</v>
      </c>
      <c r="F154" s="16">
        <v>2004</v>
      </c>
      <c r="G154" s="15">
        <v>284</v>
      </c>
      <c r="H154" s="60">
        <f t="shared" si="6"/>
        <v>340.8</v>
      </c>
      <c r="I154" s="61">
        <f t="shared" si="7"/>
        <v>15.441776166742184</v>
      </c>
      <c r="J154" s="59">
        <f t="shared" si="8"/>
        <v>13.317702227432591</v>
      </c>
    </row>
    <row r="155" spans="2:10">
      <c r="B155"/>
      <c r="C155"/>
      <c r="D155" s="18" t="s">
        <v>45</v>
      </c>
      <c r="E155" s="20" t="s">
        <v>44</v>
      </c>
      <c r="F155" s="19">
        <v>2006</v>
      </c>
      <c r="G155" s="15">
        <v>284</v>
      </c>
      <c r="H155" s="60">
        <f t="shared" si="6"/>
        <v>340.8</v>
      </c>
      <c r="I155" s="61">
        <f t="shared" si="7"/>
        <v>15.441776166742184</v>
      </c>
      <c r="J155" s="59">
        <f t="shared" si="8"/>
        <v>13.317702227432591</v>
      </c>
    </row>
    <row r="156" spans="2:10">
      <c r="B156"/>
      <c r="C156"/>
      <c r="D156" s="18" t="s">
        <v>41</v>
      </c>
      <c r="E156" s="17" t="s">
        <v>43</v>
      </c>
      <c r="F156" s="16">
        <v>2003</v>
      </c>
      <c r="G156" s="15">
        <v>419</v>
      </c>
      <c r="H156" s="60">
        <f t="shared" si="6"/>
        <v>502.79999999999995</v>
      </c>
      <c r="I156" s="61">
        <f t="shared" si="7"/>
        <v>22.782057091073852</v>
      </c>
      <c r="J156" s="59">
        <f t="shared" si="8"/>
        <v>19.648300117233294</v>
      </c>
    </row>
    <row r="157" spans="2:10">
      <c r="B157"/>
      <c r="C157"/>
      <c r="D157" s="18" t="s">
        <v>41</v>
      </c>
      <c r="E157" s="17" t="s">
        <v>43</v>
      </c>
      <c r="F157" s="16">
        <v>2004</v>
      </c>
      <c r="G157" s="15">
        <v>419</v>
      </c>
      <c r="H157" s="60">
        <f t="shared" si="6"/>
        <v>502.79999999999995</v>
      </c>
      <c r="I157" s="61">
        <f t="shared" si="7"/>
        <v>22.782057091073852</v>
      </c>
      <c r="J157" s="59">
        <f t="shared" si="8"/>
        <v>19.648300117233294</v>
      </c>
    </row>
    <row r="158" spans="2:10">
      <c r="B158"/>
      <c r="C158"/>
      <c r="D158" s="18" t="s">
        <v>41</v>
      </c>
      <c r="E158" s="17" t="s">
        <v>42</v>
      </c>
      <c r="F158" s="16">
        <v>2003</v>
      </c>
      <c r="G158" s="15">
        <v>493</v>
      </c>
      <c r="H158" s="60">
        <f t="shared" si="6"/>
        <v>591.6</v>
      </c>
      <c r="I158" s="61">
        <f t="shared" si="7"/>
        <v>26.805618486633438</v>
      </c>
      <c r="J158" s="59">
        <f t="shared" si="8"/>
        <v>23.118405627198126</v>
      </c>
    </row>
    <row r="159" spans="2:10">
      <c r="B159"/>
      <c r="C159"/>
      <c r="D159" s="18" t="s">
        <v>41</v>
      </c>
      <c r="E159" s="17" t="s">
        <v>42</v>
      </c>
      <c r="F159" s="16">
        <v>2004</v>
      </c>
      <c r="G159" s="15">
        <v>493</v>
      </c>
      <c r="H159" s="60">
        <f t="shared" si="6"/>
        <v>591.6</v>
      </c>
      <c r="I159" s="61">
        <f t="shared" si="7"/>
        <v>26.805618486633438</v>
      </c>
      <c r="J159" s="59">
        <f t="shared" si="8"/>
        <v>23.118405627198126</v>
      </c>
    </row>
    <row r="160" spans="2:10">
      <c r="B160"/>
      <c r="C160"/>
      <c r="D160" s="18" t="s">
        <v>41</v>
      </c>
      <c r="E160" s="17" t="s">
        <v>40</v>
      </c>
      <c r="F160" s="16">
        <v>2001</v>
      </c>
      <c r="G160" s="15">
        <v>493</v>
      </c>
      <c r="H160" s="60">
        <f t="shared" si="6"/>
        <v>591.6</v>
      </c>
      <c r="I160" s="61">
        <f t="shared" si="7"/>
        <v>26.805618486633438</v>
      </c>
      <c r="J160" s="59">
        <f t="shared" si="8"/>
        <v>23.118405627198126</v>
      </c>
    </row>
    <row r="161" spans="2:10">
      <c r="B161"/>
      <c r="C161"/>
      <c r="D161" s="18" t="s">
        <v>41</v>
      </c>
      <c r="E161" s="17" t="s">
        <v>40</v>
      </c>
      <c r="F161" s="16">
        <v>2002</v>
      </c>
      <c r="G161" s="15">
        <v>493</v>
      </c>
      <c r="H161" s="60">
        <f t="shared" si="6"/>
        <v>591.6</v>
      </c>
      <c r="I161" s="61">
        <f t="shared" si="7"/>
        <v>26.805618486633438</v>
      </c>
      <c r="J161" s="59">
        <f t="shared" si="8"/>
        <v>23.118405627198126</v>
      </c>
    </row>
    <row r="162" spans="2:10">
      <c r="B162"/>
      <c r="C162"/>
      <c r="D162" s="18" t="s">
        <v>41</v>
      </c>
      <c r="E162" s="17" t="s">
        <v>40</v>
      </c>
      <c r="F162" s="16">
        <v>2003</v>
      </c>
      <c r="G162" s="15">
        <v>493</v>
      </c>
      <c r="H162" s="60">
        <f t="shared" si="6"/>
        <v>591.6</v>
      </c>
      <c r="I162" s="61">
        <f t="shared" si="7"/>
        <v>26.805618486633438</v>
      </c>
      <c r="J162" s="59">
        <f t="shared" si="8"/>
        <v>23.118405627198126</v>
      </c>
    </row>
    <row r="163" spans="2:10">
      <c r="B163"/>
      <c r="C163"/>
      <c r="D163" s="18" t="s">
        <v>37</v>
      </c>
      <c r="E163" s="17" t="s">
        <v>39</v>
      </c>
      <c r="F163" s="16">
        <v>1999</v>
      </c>
      <c r="G163" s="15">
        <v>1033</v>
      </c>
      <c r="H163" s="60">
        <f t="shared" si="6"/>
        <v>1373.89</v>
      </c>
      <c r="I163" s="61">
        <f t="shared" si="7"/>
        <v>62.25147258722248</v>
      </c>
      <c r="J163" s="59">
        <f t="shared" si="8"/>
        <v>53.688550214927709</v>
      </c>
    </row>
    <row r="164" spans="2:10">
      <c r="B164"/>
      <c r="C164"/>
      <c r="D164" s="18" t="s">
        <v>37</v>
      </c>
      <c r="E164" s="17" t="s">
        <v>39</v>
      </c>
      <c r="F164" s="16">
        <v>2000</v>
      </c>
      <c r="G164" s="15">
        <v>1033</v>
      </c>
      <c r="H164" s="60">
        <f t="shared" si="6"/>
        <v>1373.89</v>
      </c>
      <c r="I164" s="61">
        <f t="shared" si="7"/>
        <v>62.25147258722248</v>
      </c>
      <c r="J164" s="59">
        <f t="shared" si="8"/>
        <v>53.688550214927709</v>
      </c>
    </row>
    <row r="165" spans="2:10">
      <c r="B165"/>
      <c r="C165"/>
      <c r="D165" s="18" t="s">
        <v>37</v>
      </c>
      <c r="E165" s="17" t="s">
        <v>38</v>
      </c>
      <c r="F165" s="16">
        <v>2000</v>
      </c>
      <c r="G165" s="15">
        <v>2228</v>
      </c>
      <c r="H165" s="60">
        <f t="shared" si="6"/>
        <v>2963.2400000000002</v>
      </c>
      <c r="I165" s="61">
        <f t="shared" si="7"/>
        <v>134.26551880380609</v>
      </c>
      <c r="J165" s="59">
        <f t="shared" si="8"/>
        <v>115.79679562329036</v>
      </c>
    </row>
    <row r="166" spans="2:10">
      <c r="B166"/>
      <c r="C166"/>
      <c r="D166" s="18" t="s">
        <v>37</v>
      </c>
      <c r="E166" s="17" t="s">
        <v>38</v>
      </c>
      <c r="F166" s="16">
        <v>2001</v>
      </c>
      <c r="G166" s="15">
        <v>2228</v>
      </c>
      <c r="H166" s="60">
        <f t="shared" si="6"/>
        <v>2673.6</v>
      </c>
      <c r="I166" s="61">
        <f t="shared" si="7"/>
        <v>121.14182147711826</v>
      </c>
      <c r="J166" s="59">
        <f t="shared" si="8"/>
        <v>104.47831184056271</v>
      </c>
    </row>
    <row r="167" spans="2:10">
      <c r="B167"/>
      <c r="C167"/>
      <c r="D167" s="18" t="s">
        <v>37</v>
      </c>
      <c r="E167" s="17" t="s">
        <v>36</v>
      </c>
      <c r="F167" s="16">
        <v>2002</v>
      </c>
      <c r="G167" s="15">
        <v>1512</v>
      </c>
      <c r="H167" s="60">
        <f t="shared" si="6"/>
        <v>1814.3999999999999</v>
      </c>
      <c r="I167" s="61">
        <f t="shared" si="7"/>
        <v>82.211146352514717</v>
      </c>
      <c r="J167" s="59">
        <f t="shared" si="8"/>
        <v>70.902696365767866</v>
      </c>
    </row>
    <row r="168" spans="2:10">
      <c r="B168"/>
      <c r="C168"/>
      <c r="D168" s="18" t="s">
        <v>30</v>
      </c>
      <c r="E168" s="17" t="s">
        <v>35</v>
      </c>
      <c r="F168" s="16">
        <v>2004</v>
      </c>
      <c r="G168" s="15">
        <v>230</v>
      </c>
      <c r="H168" s="60">
        <f t="shared" si="6"/>
        <v>276</v>
      </c>
      <c r="I168" s="61">
        <f t="shared" si="7"/>
        <v>12.505663797009515</v>
      </c>
      <c r="J168" s="59">
        <f t="shared" si="8"/>
        <v>10.785463071512309</v>
      </c>
    </row>
    <row r="169" spans="2:10">
      <c r="B169"/>
      <c r="C169"/>
      <c r="D169" s="18" t="s">
        <v>30</v>
      </c>
      <c r="E169" s="17" t="s">
        <v>34</v>
      </c>
      <c r="F169" s="16">
        <v>2004</v>
      </c>
      <c r="G169" s="15">
        <v>230</v>
      </c>
      <c r="H169" s="60">
        <f t="shared" si="6"/>
        <v>276</v>
      </c>
      <c r="I169" s="61">
        <f t="shared" si="7"/>
        <v>12.505663797009515</v>
      </c>
      <c r="J169" s="59">
        <f t="shared" si="8"/>
        <v>10.785463071512309</v>
      </c>
    </row>
    <row r="170" spans="2:10">
      <c r="B170"/>
      <c r="C170"/>
      <c r="D170" s="18" t="s">
        <v>30</v>
      </c>
      <c r="E170" s="17" t="s">
        <v>33</v>
      </c>
      <c r="F170" s="16">
        <v>2004</v>
      </c>
      <c r="G170" s="15">
        <v>230</v>
      </c>
      <c r="H170" s="60">
        <f t="shared" si="6"/>
        <v>276</v>
      </c>
      <c r="I170" s="61">
        <f t="shared" si="7"/>
        <v>12.505663797009515</v>
      </c>
      <c r="J170" s="59">
        <f t="shared" si="8"/>
        <v>10.785463071512309</v>
      </c>
    </row>
    <row r="171" spans="2:10">
      <c r="B171"/>
      <c r="C171"/>
      <c r="D171" s="18" t="s">
        <v>30</v>
      </c>
      <c r="E171" s="17" t="s">
        <v>32</v>
      </c>
      <c r="F171" s="16">
        <v>2004</v>
      </c>
      <c r="G171" s="15">
        <v>230</v>
      </c>
      <c r="H171" s="60">
        <f t="shared" si="6"/>
        <v>276</v>
      </c>
      <c r="I171" s="61">
        <f t="shared" si="7"/>
        <v>12.505663797009515</v>
      </c>
      <c r="J171" s="59">
        <f t="shared" si="8"/>
        <v>10.785463071512309</v>
      </c>
    </row>
    <row r="172" spans="2:10">
      <c r="B172"/>
      <c r="C172"/>
      <c r="D172" s="18" t="s">
        <v>30</v>
      </c>
      <c r="E172" s="17" t="s">
        <v>31</v>
      </c>
      <c r="F172" s="16">
        <v>2002</v>
      </c>
      <c r="G172" s="15">
        <v>230</v>
      </c>
      <c r="H172" s="60">
        <f t="shared" si="6"/>
        <v>276</v>
      </c>
      <c r="I172" s="61">
        <f t="shared" si="7"/>
        <v>12.505663797009515</v>
      </c>
      <c r="J172" s="59">
        <f t="shared" si="8"/>
        <v>10.785463071512309</v>
      </c>
    </row>
    <row r="173" spans="2:10">
      <c r="B173"/>
      <c r="C173"/>
      <c r="D173" s="18" t="s">
        <v>30</v>
      </c>
      <c r="E173" s="17" t="s">
        <v>31</v>
      </c>
      <c r="F173" s="16">
        <v>2004</v>
      </c>
      <c r="G173" s="15">
        <v>230</v>
      </c>
      <c r="H173" s="60">
        <f t="shared" si="6"/>
        <v>276</v>
      </c>
      <c r="I173" s="61">
        <f t="shared" si="7"/>
        <v>12.505663797009515</v>
      </c>
      <c r="J173" s="59">
        <f t="shared" si="8"/>
        <v>10.785463071512309</v>
      </c>
    </row>
    <row r="174" spans="2:10">
      <c r="B174"/>
      <c r="C174"/>
      <c r="D174" s="18" t="s">
        <v>30</v>
      </c>
      <c r="E174" s="17" t="s">
        <v>29</v>
      </c>
      <c r="F174" s="16">
        <v>2003</v>
      </c>
      <c r="G174" s="15">
        <v>324</v>
      </c>
      <c r="H174" s="60">
        <f t="shared" si="6"/>
        <v>388.8</v>
      </c>
      <c r="I174" s="61">
        <f t="shared" si="7"/>
        <v>17.616674218396014</v>
      </c>
      <c r="J174" s="59">
        <f t="shared" si="8"/>
        <v>15.193434935521688</v>
      </c>
    </row>
    <row r="175" spans="2:10">
      <c r="B175"/>
      <c r="C175"/>
      <c r="D175" s="18" t="s">
        <v>30</v>
      </c>
      <c r="E175" s="17" t="s">
        <v>29</v>
      </c>
      <c r="F175" s="16">
        <v>2004</v>
      </c>
      <c r="G175" s="15">
        <v>324</v>
      </c>
      <c r="H175" s="60">
        <f t="shared" si="6"/>
        <v>388.8</v>
      </c>
      <c r="I175" s="61">
        <f t="shared" si="7"/>
        <v>17.616674218396014</v>
      </c>
      <c r="J175" s="59">
        <f t="shared" si="8"/>
        <v>15.193434935521688</v>
      </c>
    </row>
    <row r="176" spans="2:10">
      <c r="B176"/>
      <c r="C176"/>
      <c r="D176" s="18" t="s">
        <v>25</v>
      </c>
      <c r="E176" s="17" t="s">
        <v>28</v>
      </c>
      <c r="F176" s="16">
        <v>2004</v>
      </c>
      <c r="G176" s="15">
        <v>655</v>
      </c>
      <c r="H176" s="60">
        <f t="shared" si="6"/>
        <v>786</v>
      </c>
      <c r="I176" s="61">
        <f t="shared" si="7"/>
        <v>35.613955595831442</v>
      </c>
      <c r="J176" s="59">
        <f t="shared" si="8"/>
        <v>30.715123094958969</v>
      </c>
    </row>
    <row r="177" spans="2:10">
      <c r="B177"/>
      <c r="C177"/>
      <c r="D177" s="18" t="s">
        <v>25</v>
      </c>
      <c r="E177" s="17" t="s">
        <v>27</v>
      </c>
      <c r="F177" s="16">
        <v>2000</v>
      </c>
      <c r="G177" s="15">
        <v>803</v>
      </c>
      <c r="H177" s="60">
        <f t="shared" si="6"/>
        <v>1067.99</v>
      </c>
      <c r="I177" s="61">
        <f t="shared" si="7"/>
        <v>48.391028545536926</v>
      </c>
      <c r="J177" s="59">
        <f t="shared" si="8"/>
        <v>41.734661977334895</v>
      </c>
    </row>
    <row r="178" spans="2:10">
      <c r="B178"/>
      <c r="C178"/>
      <c r="D178" s="18" t="s">
        <v>25</v>
      </c>
      <c r="E178" s="17" t="s">
        <v>27</v>
      </c>
      <c r="F178" s="16">
        <v>2002</v>
      </c>
      <c r="G178" s="15">
        <v>803</v>
      </c>
      <c r="H178" s="60">
        <f t="shared" si="6"/>
        <v>963.59999999999991</v>
      </c>
      <c r="I178" s="61">
        <f t="shared" si="7"/>
        <v>43.661078386950607</v>
      </c>
      <c r="J178" s="59">
        <f t="shared" si="8"/>
        <v>37.655334114888625</v>
      </c>
    </row>
    <row r="179" spans="2:10">
      <c r="B179"/>
      <c r="C179"/>
      <c r="D179" s="18" t="s">
        <v>25</v>
      </c>
      <c r="E179" s="17" t="s">
        <v>26</v>
      </c>
      <c r="F179" s="16">
        <v>2003</v>
      </c>
      <c r="G179" s="15">
        <v>803</v>
      </c>
      <c r="H179" s="60">
        <f t="shared" si="6"/>
        <v>963.59999999999991</v>
      </c>
      <c r="I179" s="61">
        <f t="shared" si="7"/>
        <v>43.661078386950607</v>
      </c>
      <c r="J179" s="59">
        <f t="shared" si="8"/>
        <v>37.655334114888625</v>
      </c>
    </row>
    <row r="180" spans="2:10">
      <c r="B180"/>
      <c r="C180"/>
      <c r="D180" s="18" t="s">
        <v>25</v>
      </c>
      <c r="E180" s="17" t="s">
        <v>24</v>
      </c>
      <c r="F180" s="16">
        <v>2003</v>
      </c>
      <c r="G180" s="15">
        <v>803</v>
      </c>
      <c r="H180" s="60">
        <f t="shared" si="6"/>
        <v>963.59999999999991</v>
      </c>
      <c r="I180" s="61">
        <f t="shared" si="7"/>
        <v>43.661078386950607</v>
      </c>
      <c r="J180" s="59">
        <f t="shared" si="8"/>
        <v>37.655334114888625</v>
      </c>
    </row>
    <row r="181" spans="2:10">
      <c r="B181"/>
      <c r="C181"/>
      <c r="D181" s="18" t="s">
        <v>21</v>
      </c>
      <c r="E181" s="17" t="s">
        <v>23</v>
      </c>
      <c r="F181" s="16">
        <v>1985</v>
      </c>
      <c r="G181" s="15">
        <v>756</v>
      </c>
      <c r="H181" s="60">
        <f t="shared" si="6"/>
        <v>1005.48</v>
      </c>
      <c r="I181" s="61">
        <f t="shared" si="7"/>
        <v>45.558676937018575</v>
      </c>
      <c r="J181" s="59">
        <f t="shared" si="8"/>
        <v>39.291910902696365</v>
      </c>
    </row>
    <row r="182" spans="2:10">
      <c r="B182"/>
      <c r="C182"/>
      <c r="D182" s="18" t="s">
        <v>21</v>
      </c>
      <c r="E182" s="17" t="s">
        <v>22</v>
      </c>
      <c r="F182" s="16">
        <v>2003</v>
      </c>
      <c r="G182" s="15">
        <v>567</v>
      </c>
      <c r="H182" s="60">
        <f t="shared" si="6"/>
        <v>680.4</v>
      </c>
      <c r="I182" s="61">
        <f t="shared" si="7"/>
        <v>30.829179882193021</v>
      </c>
      <c r="J182" s="59">
        <f t="shared" si="8"/>
        <v>26.588511137162953</v>
      </c>
    </row>
    <row r="183" spans="2:10">
      <c r="B183"/>
      <c r="C183"/>
      <c r="D183" s="18" t="s">
        <v>21</v>
      </c>
      <c r="E183" s="17" t="s">
        <v>20</v>
      </c>
      <c r="F183" s="16">
        <v>1994</v>
      </c>
      <c r="G183" s="15">
        <v>365</v>
      </c>
      <c r="H183" s="60">
        <f t="shared" si="6"/>
        <v>485.45000000000005</v>
      </c>
      <c r="I183" s="61">
        <f t="shared" si="7"/>
        <v>21.995922066153152</v>
      </c>
      <c r="J183" s="59">
        <f t="shared" si="8"/>
        <v>18.97030089878859</v>
      </c>
    </row>
    <row r="184" spans="2:10">
      <c r="B184"/>
      <c r="C184"/>
      <c r="D184" s="18" t="s">
        <v>18</v>
      </c>
      <c r="E184" s="17" t="s">
        <v>19</v>
      </c>
      <c r="F184" s="16">
        <v>2004</v>
      </c>
      <c r="G184" s="15">
        <v>169</v>
      </c>
      <c r="H184" s="60">
        <f t="shared" si="6"/>
        <v>202.79999999999998</v>
      </c>
      <c r="I184" s="61">
        <f t="shared" si="7"/>
        <v>9.1889442682374263</v>
      </c>
      <c r="J184" s="59">
        <f t="shared" si="8"/>
        <v>7.9249706916764353</v>
      </c>
    </row>
    <row r="185" spans="2:10">
      <c r="B185"/>
      <c r="C185"/>
      <c r="D185" s="18" t="s">
        <v>18</v>
      </c>
      <c r="E185" s="17" t="s">
        <v>17</v>
      </c>
      <c r="F185" s="16">
        <v>2004</v>
      </c>
      <c r="G185" s="15">
        <v>169</v>
      </c>
      <c r="H185" s="60">
        <f t="shared" si="6"/>
        <v>202.79999999999998</v>
      </c>
      <c r="I185" s="61">
        <f t="shared" si="7"/>
        <v>9.1889442682374263</v>
      </c>
      <c r="J185" s="59">
        <f t="shared" si="8"/>
        <v>7.9249706916764353</v>
      </c>
    </row>
    <row r="186" spans="2:10">
      <c r="B186"/>
      <c r="C186"/>
      <c r="D186" s="18" t="s">
        <v>45</v>
      </c>
      <c r="E186" s="17" t="s">
        <v>50</v>
      </c>
      <c r="F186" s="16">
        <v>2002</v>
      </c>
      <c r="G186" s="15">
        <v>200</v>
      </c>
      <c r="H186" s="60">
        <f t="shared" si="6"/>
        <v>240</v>
      </c>
      <c r="I186" s="61">
        <f t="shared" si="7"/>
        <v>10.874490258269143</v>
      </c>
      <c r="J186" s="59">
        <f t="shared" si="8"/>
        <v>9.378663540445487</v>
      </c>
    </row>
    <row r="187" spans="2:10">
      <c r="B187"/>
      <c r="C187"/>
      <c r="D187" s="18" t="s">
        <v>45</v>
      </c>
      <c r="E187" s="17" t="s">
        <v>50</v>
      </c>
      <c r="F187" s="16">
        <v>2004</v>
      </c>
      <c r="G187" s="15">
        <v>200</v>
      </c>
      <c r="H187" s="60">
        <f t="shared" si="6"/>
        <v>240</v>
      </c>
      <c r="I187" s="61">
        <f t="shared" si="7"/>
        <v>10.874490258269143</v>
      </c>
      <c r="J187" s="59">
        <f t="shared" si="8"/>
        <v>9.378663540445487</v>
      </c>
    </row>
    <row r="188" spans="2:10">
      <c r="B188"/>
      <c r="C188"/>
      <c r="D188" s="18" t="s">
        <v>45</v>
      </c>
      <c r="E188" s="17" t="s">
        <v>50</v>
      </c>
      <c r="F188" s="16">
        <v>2005</v>
      </c>
      <c r="G188" s="15">
        <v>200</v>
      </c>
      <c r="H188" s="60">
        <f t="shared" si="6"/>
        <v>240</v>
      </c>
      <c r="I188" s="61">
        <f t="shared" si="7"/>
        <v>10.874490258269143</v>
      </c>
      <c r="J188" s="59">
        <f t="shared" si="8"/>
        <v>9.378663540445487</v>
      </c>
    </row>
    <row r="189" spans="2:10">
      <c r="B189"/>
      <c r="C189"/>
      <c r="D189" s="18" t="s">
        <v>45</v>
      </c>
      <c r="E189" s="17" t="s">
        <v>49</v>
      </c>
      <c r="F189" s="21">
        <v>2003</v>
      </c>
      <c r="G189" s="15">
        <v>180</v>
      </c>
      <c r="H189" s="60">
        <f t="shared" si="6"/>
        <v>216</v>
      </c>
      <c r="I189" s="61">
        <f t="shared" si="7"/>
        <v>9.7870412324422293</v>
      </c>
      <c r="J189" s="59">
        <f t="shared" si="8"/>
        <v>8.4407971864009372</v>
      </c>
    </row>
    <row r="190" spans="2:10">
      <c r="B190"/>
      <c r="C190"/>
      <c r="D190" s="18" t="s">
        <v>45</v>
      </c>
      <c r="E190" s="17" t="s">
        <v>49</v>
      </c>
      <c r="F190" s="21">
        <v>2004</v>
      </c>
      <c r="G190" s="15">
        <v>180</v>
      </c>
      <c r="H190" s="60">
        <f t="shared" si="6"/>
        <v>216</v>
      </c>
      <c r="I190" s="61">
        <f t="shared" si="7"/>
        <v>9.7870412324422293</v>
      </c>
      <c r="J190" s="59">
        <f t="shared" si="8"/>
        <v>8.4407971864009372</v>
      </c>
    </row>
    <row r="191" spans="2:10">
      <c r="B191"/>
      <c r="C191"/>
      <c r="D191" s="18" t="s">
        <v>45</v>
      </c>
      <c r="E191" s="17" t="s">
        <v>49</v>
      </c>
      <c r="F191" s="21">
        <v>2005</v>
      </c>
      <c r="G191" s="15">
        <v>180</v>
      </c>
      <c r="H191" s="60">
        <f t="shared" si="6"/>
        <v>216</v>
      </c>
      <c r="I191" s="61">
        <f t="shared" si="7"/>
        <v>9.7870412324422293</v>
      </c>
      <c r="J191" s="59">
        <f t="shared" si="8"/>
        <v>8.4407971864009372</v>
      </c>
    </row>
    <row r="192" spans="2:10">
      <c r="B192"/>
      <c r="C192"/>
      <c r="D192" s="18" t="s">
        <v>45</v>
      </c>
      <c r="E192" s="17" t="s">
        <v>48</v>
      </c>
      <c r="F192" s="16">
        <v>2004</v>
      </c>
      <c r="G192" s="15">
        <v>175</v>
      </c>
      <c r="H192" s="60">
        <f t="shared" si="6"/>
        <v>210</v>
      </c>
      <c r="I192" s="61">
        <f t="shared" si="7"/>
        <v>9.515178975985501</v>
      </c>
      <c r="J192" s="59">
        <f t="shared" si="8"/>
        <v>8.2063305978898011</v>
      </c>
    </row>
    <row r="193" spans="2:10">
      <c r="B193"/>
      <c r="C193"/>
      <c r="D193" s="18" t="s">
        <v>45</v>
      </c>
      <c r="E193" s="17" t="s">
        <v>48</v>
      </c>
      <c r="F193" s="16">
        <v>2005</v>
      </c>
      <c r="G193" s="15">
        <v>175</v>
      </c>
      <c r="H193" s="60">
        <f t="shared" si="6"/>
        <v>210</v>
      </c>
      <c r="I193" s="61">
        <f t="shared" si="7"/>
        <v>9.515178975985501</v>
      </c>
      <c r="J193" s="59">
        <f t="shared" si="8"/>
        <v>8.2063305978898011</v>
      </c>
    </row>
    <row r="194" spans="2:10">
      <c r="B194"/>
      <c r="C194"/>
      <c r="D194" s="18" t="s">
        <v>45</v>
      </c>
      <c r="E194" s="17" t="s">
        <v>47</v>
      </c>
      <c r="F194" s="16">
        <v>2004</v>
      </c>
      <c r="G194" s="15">
        <v>220</v>
      </c>
      <c r="H194" s="60">
        <f t="shared" si="6"/>
        <v>264</v>
      </c>
      <c r="I194" s="61">
        <f t="shared" si="7"/>
        <v>11.961939284096058</v>
      </c>
      <c r="J194" s="59">
        <f t="shared" si="8"/>
        <v>10.316529894490035</v>
      </c>
    </row>
    <row r="195" spans="2:10">
      <c r="B195"/>
      <c r="C195"/>
      <c r="D195" s="18" t="s">
        <v>45</v>
      </c>
      <c r="E195" s="17" t="s">
        <v>47</v>
      </c>
      <c r="F195" s="16">
        <v>2005</v>
      </c>
      <c r="G195" s="15">
        <v>220</v>
      </c>
      <c r="H195" s="60">
        <f t="shared" si="6"/>
        <v>264</v>
      </c>
      <c r="I195" s="61">
        <f t="shared" si="7"/>
        <v>11.961939284096058</v>
      </c>
      <c r="J195" s="59">
        <f t="shared" si="8"/>
        <v>10.316529894490035</v>
      </c>
    </row>
    <row r="196" spans="2:10">
      <c r="B196"/>
      <c r="C196"/>
      <c r="D196" s="18" t="s">
        <v>45</v>
      </c>
      <c r="E196" s="20" t="s">
        <v>46</v>
      </c>
      <c r="F196" s="16">
        <v>2004</v>
      </c>
      <c r="G196" s="15">
        <v>150</v>
      </c>
      <c r="H196" s="60">
        <f t="shared" si="6"/>
        <v>180</v>
      </c>
      <c r="I196" s="61">
        <f t="shared" si="7"/>
        <v>8.1558676937018575</v>
      </c>
      <c r="J196" s="59">
        <f t="shared" si="8"/>
        <v>7.0339976553341153</v>
      </c>
    </row>
    <row r="197" spans="2:10">
      <c r="B197"/>
      <c r="C197"/>
      <c r="D197" s="18" t="s">
        <v>45</v>
      </c>
      <c r="E197" s="20" t="s">
        <v>44</v>
      </c>
      <c r="F197" s="19">
        <v>2006</v>
      </c>
      <c r="G197" s="15">
        <v>150</v>
      </c>
      <c r="H197" s="60">
        <f t="shared" si="6"/>
        <v>180</v>
      </c>
      <c r="I197" s="61">
        <f t="shared" si="7"/>
        <v>8.1558676937018575</v>
      </c>
      <c r="J197" s="59">
        <f t="shared" si="8"/>
        <v>7.0339976553341153</v>
      </c>
    </row>
    <row r="198" spans="2:10">
      <c r="B198"/>
      <c r="C198"/>
      <c r="D198" s="18" t="s">
        <v>41</v>
      </c>
      <c r="E198" s="17" t="s">
        <v>43</v>
      </c>
      <c r="F198" s="16">
        <v>2003</v>
      </c>
      <c r="G198" s="15">
        <v>220</v>
      </c>
      <c r="H198" s="60">
        <f t="shared" si="6"/>
        <v>264</v>
      </c>
      <c r="I198" s="61">
        <f t="shared" si="7"/>
        <v>11.961939284096058</v>
      </c>
      <c r="J198" s="59">
        <f t="shared" si="8"/>
        <v>10.316529894490035</v>
      </c>
    </row>
    <row r="199" spans="2:10">
      <c r="B199"/>
      <c r="C199"/>
      <c r="D199" s="18" t="s">
        <v>41</v>
      </c>
      <c r="E199" s="17" t="s">
        <v>43</v>
      </c>
      <c r="F199" s="16">
        <v>2004</v>
      </c>
      <c r="G199" s="15">
        <v>220</v>
      </c>
      <c r="H199" s="60">
        <f t="shared" si="6"/>
        <v>264</v>
      </c>
      <c r="I199" s="61">
        <f t="shared" si="7"/>
        <v>11.961939284096058</v>
      </c>
      <c r="J199" s="59">
        <f t="shared" si="8"/>
        <v>10.316529894490035</v>
      </c>
    </row>
    <row r="200" spans="2:10">
      <c r="B200"/>
      <c r="C200"/>
      <c r="D200" s="18" t="s">
        <v>41</v>
      </c>
      <c r="E200" s="17" t="s">
        <v>42</v>
      </c>
      <c r="F200" s="16">
        <v>2003</v>
      </c>
      <c r="G200" s="15">
        <v>260</v>
      </c>
      <c r="H200" s="60">
        <f t="shared" si="6"/>
        <v>312</v>
      </c>
      <c r="I200" s="61">
        <f t="shared" si="7"/>
        <v>14.136837335749886</v>
      </c>
      <c r="J200" s="59">
        <f t="shared" si="8"/>
        <v>12.192262602579133</v>
      </c>
    </row>
    <row r="201" spans="2:10">
      <c r="B201"/>
      <c r="C201"/>
      <c r="D201" s="18" t="s">
        <v>41</v>
      </c>
      <c r="E201" s="17" t="s">
        <v>42</v>
      </c>
      <c r="F201" s="16">
        <v>2004</v>
      </c>
      <c r="G201" s="15">
        <v>260</v>
      </c>
      <c r="H201" s="60">
        <f t="shared" si="6"/>
        <v>312</v>
      </c>
      <c r="I201" s="61">
        <f t="shared" si="7"/>
        <v>14.136837335749886</v>
      </c>
      <c r="J201" s="59">
        <f t="shared" si="8"/>
        <v>12.192262602579133</v>
      </c>
    </row>
    <row r="202" spans="2:10">
      <c r="B202"/>
      <c r="C202"/>
      <c r="D202" s="18" t="s">
        <v>41</v>
      </c>
      <c r="E202" s="17" t="s">
        <v>40</v>
      </c>
      <c r="F202" s="16">
        <v>2001</v>
      </c>
      <c r="G202" s="15">
        <v>260</v>
      </c>
      <c r="H202" s="60">
        <f t="shared" si="6"/>
        <v>312</v>
      </c>
      <c r="I202" s="61">
        <f t="shared" si="7"/>
        <v>14.136837335749886</v>
      </c>
      <c r="J202" s="59">
        <f t="shared" si="8"/>
        <v>12.192262602579133</v>
      </c>
    </row>
    <row r="203" spans="2:10">
      <c r="B203"/>
      <c r="C203"/>
      <c r="D203" s="18" t="s">
        <v>41</v>
      </c>
      <c r="E203" s="17" t="s">
        <v>40</v>
      </c>
      <c r="F203" s="16">
        <v>2002</v>
      </c>
      <c r="G203" s="15">
        <v>260</v>
      </c>
      <c r="H203" s="60">
        <f t="shared" ref="H203:H227" si="9">IF(F203&gt;2000,G203*1.2,G203*1.33)</f>
        <v>312</v>
      </c>
      <c r="I203" s="61">
        <f t="shared" ref="I203:I226" si="10">H203/$D$2</f>
        <v>14.136837335749886</v>
      </c>
      <c r="J203" s="59">
        <f t="shared" ref="J203:J227" si="11">H203/$D$3</f>
        <v>12.192262602579133</v>
      </c>
    </row>
    <row r="204" spans="2:10">
      <c r="B204"/>
      <c r="C204"/>
      <c r="D204" s="18" t="s">
        <v>41</v>
      </c>
      <c r="E204" s="17" t="s">
        <v>40</v>
      </c>
      <c r="F204" s="16">
        <v>2003</v>
      </c>
      <c r="G204" s="15">
        <v>260</v>
      </c>
      <c r="H204" s="60">
        <f t="shared" si="9"/>
        <v>312</v>
      </c>
      <c r="I204" s="61">
        <f t="shared" si="10"/>
        <v>14.136837335749886</v>
      </c>
      <c r="J204" s="59">
        <f t="shared" si="11"/>
        <v>12.192262602579133</v>
      </c>
    </row>
    <row r="205" spans="2:10">
      <c r="B205"/>
      <c r="C205"/>
      <c r="D205" s="18" t="s">
        <v>37</v>
      </c>
      <c r="E205" s="17" t="s">
        <v>39</v>
      </c>
      <c r="F205" s="16">
        <v>1999</v>
      </c>
      <c r="G205" s="15">
        <v>545</v>
      </c>
      <c r="H205" s="60">
        <f t="shared" si="9"/>
        <v>724.85</v>
      </c>
      <c r="I205" s="61">
        <f t="shared" si="10"/>
        <v>32.843226098776618</v>
      </c>
      <c r="J205" s="59">
        <f t="shared" si="11"/>
        <v>28.325517780382963</v>
      </c>
    </row>
    <row r="206" spans="2:10">
      <c r="B206"/>
      <c r="C206"/>
      <c r="D206" s="18" t="s">
        <v>37</v>
      </c>
      <c r="E206" s="17" t="s">
        <v>39</v>
      </c>
      <c r="F206" s="16">
        <v>2000</v>
      </c>
      <c r="G206" s="15">
        <v>545</v>
      </c>
      <c r="H206" s="60">
        <f t="shared" si="9"/>
        <v>724.85</v>
      </c>
      <c r="I206" s="61">
        <f t="shared" si="10"/>
        <v>32.843226098776618</v>
      </c>
      <c r="J206" s="59">
        <f t="shared" si="11"/>
        <v>28.325517780382963</v>
      </c>
    </row>
    <row r="207" spans="2:10">
      <c r="B207"/>
      <c r="C207"/>
      <c r="D207" s="18" t="s">
        <v>37</v>
      </c>
      <c r="E207" s="17" t="s">
        <v>38</v>
      </c>
      <c r="F207" s="16">
        <v>2000</v>
      </c>
      <c r="G207" s="15">
        <v>1150</v>
      </c>
      <c r="H207" s="60">
        <f t="shared" si="9"/>
        <v>1529.5</v>
      </c>
      <c r="I207" s="61">
        <f t="shared" si="10"/>
        <v>69.302220208427727</v>
      </c>
      <c r="J207" s="59">
        <f t="shared" si="11"/>
        <v>59.769441187964048</v>
      </c>
    </row>
    <row r="208" spans="2:10">
      <c r="B208"/>
      <c r="C208"/>
      <c r="D208" s="18" t="s">
        <v>37</v>
      </c>
      <c r="E208" s="17" t="s">
        <v>38</v>
      </c>
      <c r="F208" s="16">
        <v>2001</v>
      </c>
      <c r="G208" s="15">
        <v>1150</v>
      </c>
      <c r="H208" s="60">
        <f t="shared" si="9"/>
        <v>1380</v>
      </c>
      <c r="I208" s="61">
        <f t="shared" si="10"/>
        <v>62.528318985047576</v>
      </c>
      <c r="J208" s="59">
        <f t="shared" si="11"/>
        <v>53.927315357561547</v>
      </c>
    </row>
    <row r="209" spans="2:10">
      <c r="B209"/>
      <c r="C209"/>
      <c r="D209" s="18" t="s">
        <v>37</v>
      </c>
      <c r="E209" s="17" t="s">
        <v>36</v>
      </c>
      <c r="F209" s="16">
        <v>2002</v>
      </c>
      <c r="G209" s="15">
        <v>795</v>
      </c>
      <c r="H209" s="60">
        <f t="shared" si="9"/>
        <v>954</v>
      </c>
      <c r="I209" s="61">
        <f t="shared" si="10"/>
        <v>43.226098776619843</v>
      </c>
      <c r="J209" s="59">
        <f t="shared" si="11"/>
        <v>37.280187573270808</v>
      </c>
    </row>
    <row r="210" spans="2:10">
      <c r="B210"/>
      <c r="C210"/>
      <c r="D210" s="18" t="s">
        <v>30</v>
      </c>
      <c r="E210" s="17" t="s">
        <v>35</v>
      </c>
      <c r="F210" s="16">
        <v>2004</v>
      </c>
      <c r="G210" s="15">
        <v>120</v>
      </c>
      <c r="H210" s="60">
        <f t="shared" si="9"/>
        <v>144</v>
      </c>
      <c r="I210" s="61">
        <f t="shared" si="10"/>
        <v>6.5246941549614865</v>
      </c>
      <c r="J210" s="59">
        <f t="shared" si="11"/>
        <v>5.6271981242672924</v>
      </c>
    </row>
    <row r="211" spans="2:10">
      <c r="B211"/>
      <c r="C211"/>
      <c r="D211" s="18" t="s">
        <v>30</v>
      </c>
      <c r="E211" s="17" t="s">
        <v>34</v>
      </c>
      <c r="F211" s="16">
        <v>2004</v>
      </c>
      <c r="G211" s="15">
        <v>120</v>
      </c>
      <c r="H211" s="60">
        <f t="shared" si="9"/>
        <v>144</v>
      </c>
      <c r="I211" s="61">
        <f t="shared" si="10"/>
        <v>6.5246941549614865</v>
      </c>
      <c r="J211" s="59">
        <f t="shared" si="11"/>
        <v>5.6271981242672924</v>
      </c>
    </row>
    <row r="212" spans="2:10">
      <c r="B212"/>
      <c r="C212"/>
      <c r="D212" s="18" t="s">
        <v>30</v>
      </c>
      <c r="E212" s="17" t="s">
        <v>33</v>
      </c>
      <c r="F212" s="16">
        <v>2004</v>
      </c>
      <c r="G212" s="15">
        <v>120</v>
      </c>
      <c r="H212" s="60">
        <f t="shared" si="9"/>
        <v>144</v>
      </c>
      <c r="I212" s="61">
        <f t="shared" si="10"/>
        <v>6.5246941549614865</v>
      </c>
      <c r="J212" s="59">
        <f t="shared" si="11"/>
        <v>5.6271981242672924</v>
      </c>
    </row>
    <row r="213" spans="2:10">
      <c r="B213"/>
      <c r="C213"/>
      <c r="D213" s="18" t="s">
        <v>30</v>
      </c>
      <c r="E213" s="17" t="s">
        <v>32</v>
      </c>
      <c r="F213" s="16">
        <v>2004</v>
      </c>
      <c r="G213" s="15">
        <v>120</v>
      </c>
      <c r="H213" s="60">
        <f t="shared" si="9"/>
        <v>144</v>
      </c>
      <c r="I213" s="61">
        <f t="shared" si="10"/>
        <v>6.5246941549614865</v>
      </c>
      <c r="J213" s="59">
        <f t="shared" si="11"/>
        <v>5.6271981242672924</v>
      </c>
    </row>
    <row r="214" spans="2:10">
      <c r="B214"/>
      <c r="C214"/>
      <c r="D214" s="18" t="s">
        <v>30</v>
      </c>
      <c r="E214" s="17" t="s">
        <v>31</v>
      </c>
      <c r="F214" s="16">
        <v>2002</v>
      </c>
      <c r="G214" s="15">
        <v>120</v>
      </c>
      <c r="H214" s="60">
        <f t="shared" si="9"/>
        <v>144</v>
      </c>
      <c r="I214" s="61">
        <f t="shared" si="10"/>
        <v>6.5246941549614865</v>
      </c>
      <c r="J214" s="59">
        <f t="shared" si="11"/>
        <v>5.6271981242672924</v>
      </c>
    </row>
    <row r="215" spans="2:10">
      <c r="B215"/>
      <c r="C215"/>
      <c r="D215" s="18" t="s">
        <v>30</v>
      </c>
      <c r="E215" s="17" t="s">
        <v>31</v>
      </c>
      <c r="F215" s="16">
        <v>2004</v>
      </c>
      <c r="G215" s="15">
        <v>120</v>
      </c>
      <c r="H215" s="60">
        <f t="shared" si="9"/>
        <v>144</v>
      </c>
      <c r="I215" s="61">
        <f t="shared" si="10"/>
        <v>6.5246941549614865</v>
      </c>
      <c r="J215" s="59">
        <f t="shared" si="11"/>
        <v>5.6271981242672924</v>
      </c>
    </row>
    <row r="216" spans="2:10">
      <c r="B216"/>
      <c r="C216"/>
      <c r="D216" s="18" t="s">
        <v>30</v>
      </c>
      <c r="E216" s="17" t="s">
        <v>29</v>
      </c>
      <c r="F216" s="16">
        <v>2003</v>
      </c>
      <c r="G216" s="15">
        <v>170</v>
      </c>
      <c r="H216" s="60">
        <f t="shared" si="9"/>
        <v>204</v>
      </c>
      <c r="I216" s="61">
        <f t="shared" si="10"/>
        <v>9.2433167195287727</v>
      </c>
      <c r="J216" s="59">
        <f t="shared" si="11"/>
        <v>7.9718640093786632</v>
      </c>
    </row>
    <row r="217" spans="2:10">
      <c r="B217"/>
      <c r="C217"/>
      <c r="D217" s="18" t="s">
        <v>30</v>
      </c>
      <c r="E217" s="17" t="s">
        <v>29</v>
      </c>
      <c r="F217" s="16">
        <v>2004</v>
      </c>
      <c r="G217" s="15">
        <v>170</v>
      </c>
      <c r="H217" s="60">
        <f t="shared" si="9"/>
        <v>204</v>
      </c>
      <c r="I217" s="61">
        <f t="shared" si="10"/>
        <v>9.2433167195287727</v>
      </c>
      <c r="J217" s="59">
        <f t="shared" si="11"/>
        <v>7.9718640093786632</v>
      </c>
    </row>
    <row r="218" spans="2:10">
      <c r="B218"/>
      <c r="C218"/>
      <c r="D218" s="18" t="s">
        <v>25</v>
      </c>
      <c r="E218" s="17" t="s">
        <v>28</v>
      </c>
      <c r="F218" s="16">
        <v>2004</v>
      </c>
      <c r="G218" s="15">
        <v>345</v>
      </c>
      <c r="H218" s="60">
        <f t="shared" si="9"/>
        <v>414</v>
      </c>
      <c r="I218" s="61">
        <f t="shared" si="10"/>
        <v>18.758495695514274</v>
      </c>
      <c r="J218" s="59">
        <f t="shared" si="11"/>
        <v>16.178194607268463</v>
      </c>
    </row>
    <row r="219" spans="2:10">
      <c r="B219"/>
      <c r="C219"/>
      <c r="D219" s="18" t="s">
        <v>25</v>
      </c>
      <c r="E219" s="17" t="s">
        <v>27</v>
      </c>
      <c r="F219" s="16">
        <v>2000</v>
      </c>
      <c r="G219" s="15">
        <v>425</v>
      </c>
      <c r="H219" s="60">
        <f t="shared" si="9"/>
        <v>565.25</v>
      </c>
      <c r="I219" s="61">
        <f t="shared" si="10"/>
        <v>25.611690077027639</v>
      </c>
      <c r="J219" s="59">
        <f t="shared" si="11"/>
        <v>22.088706525986712</v>
      </c>
    </row>
    <row r="220" spans="2:10">
      <c r="B220"/>
      <c r="C220"/>
      <c r="D220" s="18" t="s">
        <v>25</v>
      </c>
      <c r="E220" s="17" t="s">
        <v>27</v>
      </c>
      <c r="F220" s="16">
        <v>2002</v>
      </c>
      <c r="G220" s="15">
        <v>425</v>
      </c>
      <c r="H220" s="60">
        <f t="shared" si="9"/>
        <v>510</v>
      </c>
      <c r="I220" s="61">
        <f t="shared" si="10"/>
        <v>23.108291798821931</v>
      </c>
      <c r="J220" s="59">
        <f t="shared" si="11"/>
        <v>19.929660023446658</v>
      </c>
    </row>
    <row r="221" spans="2:10">
      <c r="B221"/>
      <c r="C221"/>
      <c r="D221" s="18" t="s">
        <v>25</v>
      </c>
      <c r="E221" s="17" t="s">
        <v>26</v>
      </c>
      <c r="F221" s="16">
        <v>2003</v>
      </c>
      <c r="G221" s="15">
        <v>425</v>
      </c>
      <c r="H221" s="60">
        <f t="shared" si="9"/>
        <v>510</v>
      </c>
      <c r="I221" s="61">
        <f t="shared" si="10"/>
        <v>23.108291798821931</v>
      </c>
      <c r="J221" s="59">
        <f t="shared" si="11"/>
        <v>19.929660023446658</v>
      </c>
    </row>
    <row r="222" spans="2:10">
      <c r="B222"/>
      <c r="C222"/>
      <c r="D222" s="18" t="s">
        <v>25</v>
      </c>
      <c r="E222" s="17" t="s">
        <v>24</v>
      </c>
      <c r="F222" s="16">
        <v>2003</v>
      </c>
      <c r="G222" s="15">
        <v>425</v>
      </c>
      <c r="H222" s="60">
        <f t="shared" si="9"/>
        <v>510</v>
      </c>
      <c r="I222" s="61">
        <f t="shared" si="10"/>
        <v>23.108291798821931</v>
      </c>
      <c r="J222" s="59">
        <f t="shared" si="11"/>
        <v>19.929660023446658</v>
      </c>
    </row>
    <row r="223" spans="2:10">
      <c r="B223"/>
      <c r="C223"/>
      <c r="D223" s="18" t="s">
        <v>21</v>
      </c>
      <c r="E223" s="17" t="s">
        <v>23</v>
      </c>
      <c r="F223" s="16">
        <v>1985</v>
      </c>
      <c r="G223" s="15">
        <v>400</v>
      </c>
      <c r="H223" s="60">
        <f t="shared" si="9"/>
        <v>532</v>
      </c>
      <c r="I223" s="61">
        <f t="shared" si="10"/>
        <v>24.1051200724966</v>
      </c>
      <c r="J223" s="59">
        <f t="shared" si="11"/>
        <v>20.789370847987495</v>
      </c>
    </row>
    <row r="224" spans="2:10">
      <c r="B224"/>
      <c r="C224"/>
      <c r="D224" s="18" t="s">
        <v>21</v>
      </c>
      <c r="E224" s="17" t="s">
        <v>22</v>
      </c>
      <c r="F224" s="16">
        <v>1994</v>
      </c>
      <c r="G224" s="15">
        <v>300</v>
      </c>
      <c r="H224" s="60">
        <f t="shared" si="9"/>
        <v>399</v>
      </c>
      <c r="I224" s="61">
        <f t="shared" si="10"/>
        <v>18.078840054372453</v>
      </c>
      <c r="J224" s="59">
        <f t="shared" si="11"/>
        <v>15.592028135990621</v>
      </c>
    </row>
    <row r="225" spans="2:10">
      <c r="B225"/>
      <c r="C225"/>
      <c r="D225" s="18" t="s">
        <v>21</v>
      </c>
      <c r="E225" s="17" t="s">
        <v>20</v>
      </c>
      <c r="F225" s="16">
        <v>1985</v>
      </c>
      <c r="G225" s="15">
        <v>190</v>
      </c>
      <c r="H225" s="60">
        <f t="shared" si="9"/>
        <v>252.70000000000002</v>
      </c>
      <c r="I225" s="61">
        <f t="shared" si="10"/>
        <v>11.449932034435886</v>
      </c>
      <c r="J225" s="59">
        <f t="shared" si="11"/>
        <v>9.8749511527940612</v>
      </c>
    </row>
    <row r="226" spans="2:10">
      <c r="B226"/>
      <c r="C226"/>
      <c r="D226" s="18" t="s">
        <v>18</v>
      </c>
      <c r="E226" s="17" t="s">
        <v>19</v>
      </c>
      <c r="F226" s="16">
        <v>2004</v>
      </c>
      <c r="G226" s="15">
        <v>90</v>
      </c>
      <c r="H226" s="60">
        <f t="shared" si="9"/>
        <v>108</v>
      </c>
      <c r="I226" s="61">
        <f t="shared" si="10"/>
        <v>4.8935206162211147</v>
      </c>
      <c r="J226" s="59">
        <f t="shared" si="11"/>
        <v>4.2203985932004686</v>
      </c>
    </row>
    <row r="227" spans="2:10">
      <c r="B227"/>
      <c r="C227"/>
      <c r="D227" s="18" t="s">
        <v>18</v>
      </c>
      <c r="E227" s="17" t="s">
        <v>17</v>
      </c>
      <c r="F227" s="16">
        <v>2004</v>
      </c>
      <c r="G227" s="15">
        <v>90</v>
      </c>
      <c r="H227" s="60">
        <f t="shared" si="9"/>
        <v>108</v>
      </c>
      <c r="I227" s="61">
        <f>H227/$D$2</f>
        <v>4.8935206162211147</v>
      </c>
      <c r="J227" s="59">
        <f t="shared" si="11"/>
        <v>4.2203985932004686</v>
      </c>
    </row>
  </sheetData>
  <mergeCells count="3">
    <mergeCell ref="G3:H3"/>
    <mergeCell ref="G2:H2"/>
    <mergeCell ref="G8:J8"/>
  </mergeCells>
  <conditionalFormatting sqref="J10:J227">
    <cfRule type="cellIs" dxfId="0" priority="1" operator="greaterThanOrEqual">
      <formula>15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ryby</vt:lpstr>
      <vt:lpstr>letušky</vt:lpstr>
      <vt:lpstr>náhrdelníky</vt:lpstr>
      <vt:lpstr>ponorkáři</vt:lpstr>
      <vt:lpstr>ceník vín</vt:lpstr>
    </vt:vector>
  </TitlesOfParts>
  <Company>PedF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Leipert</dc:creator>
  <cp:lastModifiedBy>Hlas Karel, Mgr.</cp:lastModifiedBy>
  <dcterms:created xsi:type="dcterms:W3CDTF">2007-05-31T15:32:37Z</dcterms:created>
  <dcterms:modified xsi:type="dcterms:W3CDTF">2026-10-02T13:58:18Z</dcterms:modified>
</cp:coreProperties>
</file>