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defaultThemeVersion="166925"/>
  <mc:AlternateContent xmlns:mc="http://schemas.openxmlformats.org/markup-compatibility/2006">
    <mc:Choice Requires="x15">
      <x15ac:absPath xmlns:x15ac="http://schemas.microsoft.com/office/spreadsheetml/2010/11/ac" url="C:\Users\Miroslav\OneDrive - Gymnázium, České Budějovice, Česká 64\Cvičebnice Office\Excel\21_Datove typ zeměpis\"/>
    </mc:Choice>
  </mc:AlternateContent>
  <xr:revisionPtr revIDLastSave="8" documentId="13_ncr:1_{5C6283AD-0049-4C07-8B69-79513D1D706D}" xr6:coauthVersionLast="44" xr6:coauthVersionMax="45" xr10:uidLastSave="{503C3F69-5B81-4E6E-8EF2-55985F9C8039}"/>
  <bookViews>
    <workbookView xWindow="-110" yWindow="-110" windowWidth="22780" windowHeight="14660" xr2:uid="{135385E9-7D3C-437C-A5F3-695459CC8FC1}"/>
  </bookViews>
  <sheets>
    <sheet name="Lis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F2" i="1" l="1"/>
  <c r="F3" i="1"/>
  <c r="F4" i="1"/>
  <c r="F5" i="1"/>
  <c r="F6" i="1"/>
  <c r="F7" i="1"/>
  <c r="F8" i="1"/>
  <c r="F9" i="1"/>
  <c r="F10" i="1"/>
  <c r="E2" i="1"/>
  <c r="E3" i="1"/>
  <c r="E4" i="1"/>
  <c r="E5" i="1"/>
  <c r="E6" i="1"/>
  <c r="E7" i="1"/>
  <c r="E8" i="1"/>
  <c r="E9" i="1"/>
  <c r="E10" i="1"/>
  <c r="D2" i="1"/>
  <c r="D3" i="1"/>
  <c r="D4" i="1"/>
  <c r="D5" i="1"/>
  <c r="D6" i="1"/>
  <c r="D7" i="1"/>
  <c r="D8" i="1"/>
  <c r="D9" i="1"/>
  <c r="D10" i="1"/>
  <c r="C2" i="1"/>
  <c r="C3" i="1"/>
  <c r="C4" i="1"/>
  <c r="C5" i="1"/>
  <c r="C6" i="1"/>
  <c r="C7" i="1"/>
  <c r="C8" i="1"/>
  <c r="C9" i="1"/>
  <c r="C10" i="1"/>
  <c r="B2" i="1"/>
  <c r="B3" i="1"/>
  <c r="B4" i="1"/>
  <c r="B5" i="1"/>
  <c r="B6" i="1"/>
  <c r="B7" i="1"/>
  <c r="B8" i="1"/>
  <c r="B9" i="1"/>
  <c r="B10" i="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9">
    <bk>
      <extLst>
        <ext uri="{3e2802c4-a4d2-4d8b-9148-e3be6c30e623}">
          <xlrd:rvb i="7"/>
        </ext>
      </extLst>
    </bk>
    <bk>
      <extLst>
        <ext uri="{3e2802c4-a4d2-4d8b-9148-e3be6c30e623}">
          <xlrd:rvb i="14"/>
        </ext>
      </extLst>
    </bk>
    <bk>
      <extLst>
        <ext uri="{3e2802c4-a4d2-4d8b-9148-e3be6c30e623}">
          <xlrd:rvb i="21"/>
        </ext>
      </extLst>
    </bk>
    <bk>
      <extLst>
        <ext uri="{3e2802c4-a4d2-4d8b-9148-e3be6c30e623}">
          <xlrd:rvb i="28"/>
        </ext>
      </extLst>
    </bk>
    <bk>
      <extLst>
        <ext uri="{3e2802c4-a4d2-4d8b-9148-e3be6c30e623}">
          <xlrd:rvb i="35"/>
        </ext>
      </extLst>
    </bk>
    <bk>
      <extLst>
        <ext uri="{3e2802c4-a4d2-4d8b-9148-e3be6c30e623}">
          <xlrd:rvb i="41"/>
        </ext>
      </extLst>
    </bk>
    <bk>
      <extLst>
        <ext uri="{3e2802c4-a4d2-4d8b-9148-e3be6c30e623}">
          <xlrd:rvb i="47"/>
        </ext>
      </extLst>
    </bk>
    <bk>
      <extLst>
        <ext uri="{3e2802c4-a4d2-4d8b-9148-e3be6c30e623}">
          <xlrd:rvb i="53"/>
        </ext>
      </extLst>
    </bk>
    <bk>
      <extLst>
        <ext uri="{3e2802c4-a4d2-4d8b-9148-e3be6c30e623}">
          <xlrd:rvb i="60"/>
        </ext>
      </extLst>
    </bk>
  </futureMetadata>
  <valueMetadata count="9">
    <bk>
      <rc t="1" v="0"/>
    </bk>
    <bk>
      <rc t="1" v="1"/>
    </bk>
    <bk>
      <rc t="1" v="2"/>
    </bk>
    <bk>
      <rc t="1" v="3"/>
    </bk>
    <bk>
      <rc t="1" v="4"/>
    </bk>
    <bk>
      <rc t="1" v="5"/>
    </bk>
    <bk>
      <rc t="1" v="6"/>
    </bk>
    <bk>
      <rc t="1" v="7"/>
    </bk>
    <bk>
      <rc t="1" v="8"/>
    </bk>
  </valueMetadata>
</metadata>
</file>

<file path=xl/sharedStrings.xml><?xml version="1.0" encoding="utf-8"?>
<sst xmlns="http://schemas.openxmlformats.org/spreadsheetml/2006/main" count="6" uniqueCount="6">
  <si>
    <t>Město</t>
  </si>
  <si>
    <t>Rozloha</t>
  </si>
  <si>
    <t>Zeměpisná šířka</t>
  </si>
  <si>
    <t>Zeměpisná délka</t>
  </si>
  <si>
    <t>Počet obyvatel</t>
  </si>
  <si>
    <t>Vedení města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</si>
</sst>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0"/>
  </numFmts>
  <fonts count="1" x14ac:knownFonts="1">
    <font>
      <sz val="11"/>
      <color theme="1"/>
      <name val="Calibri"/>
      <family val="2"/>
      <charset val="238"/>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
    <xf numFmtId="0" fontId="0" fillId="0" borderId="0" xfId="0"/>
    <xf numFmtId="4" fontId="0" fillId="0" borderId="0" xfId="0" applyNumberFormat="1"/>
    <xf numFmtId="164" fontId="0" fillId="0" borderId="0" xfId="0" applyNumberFormat="1"/>
    <xf numFmtId="3" fontId="0" fillId="0" borderId="0" xfId="0" applyNumberFormat="1"/>
  </cellXfs>
  <cellStyles count="1">
    <cellStyle name="Normální"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17/06/relationships/richStyles" Target="richData/richStyles.xml"/><Relationship Id="rId3" Type="http://schemas.openxmlformats.org/officeDocument/2006/relationships/styles" Target="styles.xml"/><Relationship Id="rId7" Type="http://schemas.microsoft.com/office/2017/06/relationships/rdRichValueStructure" Target="richData/rdrichvaluestructure.xml"/><Relationship Id="rId12" Type="http://schemas.openxmlformats.org/officeDocument/2006/relationships/calcChain" Target="calcChain.xml"/><Relationship Id="rId2" Type="http://schemas.openxmlformats.org/officeDocument/2006/relationships/theme" Target="theme/theme1.xml"/><Relationship Id="rId1" Type="http://schemas.openxmlformats.org/officeDocument/2006/relationships/worksheet" Target="worksheets/sheet1.xml"/><Relationship Id="rId6" Type="http://schemas.microsoft.com/office/2017/06/relationships/rdRichValue" Target="richData/rdrichvalue.xml"/><Relationship Id="rId11" Type="http://schemas.microsoft.com/office/2017/06/relationships/rdRichValueTypes" Target="richData/rdRichValueTypes.xml"/><Relationship Id="rId5" Type="http://schemas.openxmlformats.org/officeDocument/2006/relationships/sheetMetadata" Target="metadata.xml"/><Relationship Id="rId10" Type="http://schemas.microsoft.com/office/2017/06/relationships/rdSupportingPropertyBag" Target="richData/rdsupportingpropertybag.xml"/><Relationship Id="rId4" Type="http://schemas.openxmlformats.org/officeDocument/2006/relationships/sharedStrings" Target="sharedStrings.xml"/><Relationship Id="rId9" Type="http://schemas.microsoft.com/office/2017/06/relationships/rdSupportingPropertyBagStructure" Target="richData/rdsupportingpropertybagstructure.xml"/></Relationships>
</file>

<file path=xl/richData/rdRichValueTypes.xml><?xml version="1.0" encoding="utf-8"?>
<rvTypesInfo xmlns="http://schemas.microsoft.com/office/spreadsheetml/2017/richdata2">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Flags>
  </global>
  <types>
    <type name="_imageurl">
      <keyFlags>
        <key name="Attribution Size">
          <flag name="ShowInAutoComplete" value="0"/>
        </key>
      </keyFlags>
    </type>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Flags>
    </type>
  </types>
</rvTypesInfo>
</file>

<file path=xl/richData/rdrichvalue.xml><?xml version="1.0" encoding="utf-8"?>
<rvData xmlns="http://schemas.microsoft.com/office/spreadsheetml/2017/richdata" count="61">
  <rv s="0">
    <v>https://www.bing.com/search?q=brno&amp;form=skydnc</v>
    <v>Bing</v>
  </rv>
  <rv s="0">
    <v>https://upload.wikimedia.org/wikipedia/commons/thumb/c/c7/Bing_logo_%282016%29.svg/500px-Bing_logo_%282016%29.svg.png</v>
    <v>Bing</v>
  </rv>
  <rv s="0">
    <v>http://creativecommons.org/licenses/by/2.5</v>
    <v>CC BY 2.5</v>
  </rv>
  <rv s="0">
    <v>http://ja.wikipedia.org/wiki/ブルノ</v>
    <v>Wikipedia</v>
  </rv>
  <rv s="1">
    <v>2</v>
    <v>3</v>
  </rv>
  <rv s="2">
    <v>https://www.bing.com/th?id=AMMS_c24085e7e91f6724b8b9d20e0bb4ee77&amp;qlt=95</v>
    <v>4</v>
    <v>https://www.bing.com/images/search?form=xlimg&amp;q=brno</v>
    <v>Image of Brno</v>
  </rv>
  <rv s="3">
    <v>en-US</v>
    <v>0684e051-8a55-001d-685c-252ba33f70c7</v>
    <v>536870912</v>
    <v>536870913</v>
    <v>1</v>
    <v>8</v>
    <v>9</v>
    <v>Brno</v>
    <v>12</v>
    <v>13</v>
    <v>Map</v>
    <v>14</v>
    <v>South Moravian Region</v>
    <v>230.19</v>
    <v>Czech Republic</v>
    <v>0</v>
    <v>1</v>
    <v>Brno is a city in the South Moravian Region of Czechia. Located at the confluence of the Svitava and Svratka rivers, Brno has about 400,000 inhabitants, making it the second-largest city in the Czech Republic after the capital, Prague. Its metropolitan area has around 600,000 inhabitants.</v>
    <v>5</v>
    <v>49.2</v>
    <v>Markéta Vaňková (Mayor)</v>
    <v>16.617000000000001</v>
    <v>Brno</v>
    <v>406878</v>
    <v>Central European Summer Time, Central European Time</v>
    <v>Brno</v>
    <v>mdp/vdpid/7021953185128382465</v>
  </rv>
  <rv s="4">
    <v>6</v>
  </rv>
  <rv s="0">
    <v>https://www.bing.com/search?q=ceske+budejovice&amp;form=skydnc</v>
    <v>Bing</v>
  </rv>
  <rv s="0">
    <v>https://creativecommons.org/licenses/by-sa/3.0</v>
    <v>CC BY-SA 3.0</v>
  </rv>
  <rv s="0">
    <v>http://es.wikipedia.org/wiki/České_Budějovice</v>
    <v>Wikipedia</v>
  </rv>
  <rv s="1">
    <v>9</v>
    <v>10</v>
  </rv>
  <rv s="2">
    <v>https://www.bing.com/th?id=AMMS_9f9c0bc1e898fdb0e2b165de95b7edf3&amp;qlt=95</v>
    <v>11</v>
    <v>https://www.bing.com/images/search?form=xlimg&amp;q=ceske+budejovice</v>
    <v>Image of České Budějovice</v>
  </rv>
  <rv s="3">
    <v>en-US</v>
    <v>ca0be9a4-0059-8f8d-ab9c-51ef7a64233c</v>
    <v>536870912</v>
    <v>536870913</v>
    <v>1</v>
    <v>20</v>
    <v>9</v>
    <v>České Budějovice</v>
    <v>12</v>
    <v>13</v>
    <v>Map</v>
    <v>14</v>
    <v>South Bohemian Region</v>
    <v>55.56</v>
    <v>Czech Republic</v>
    <v>8</v>
    <v>1</v>
    <v>České Budějovice is a statutory city in the Czech Republic. It is the largest city in the South Bohemian Region as well as its political and commercial capital, the seat of the Roman Catholic Diocese of České Budějovice, the University of South Bohemia, and the Academy of Sciences. It is located in the center of a valley of the Vltava River, at the confluence with the Malše. It is famous for Budweiser.</v>
    <v>12</v>
    <v>48.974719999999998</v>
    <v>Jiří Svoboda (Mayor)</v>
    <v>14.47472</v>
    <v>České Budějovice</v>
    <v>94014</v>
    <v>Central European Summer Time, Central European Time</v>
    <v>České Budějovice</v>
    <v>mdp/vdpid/7021969947630764033</v>
  </rv>
  <rv s="4">
    <v>13</v>
  </rv>
  <rv s="0">
    <v>https://www.bing.com/search?q=jihlava&amp;form=skydnc</v>
    <v>Bing</v>
  </rv>
  <rv s="0">
    <v>https://creativecommons.org/licenses/by-sa/4.0</v>
    <v>CC BY-SA 4.0</v>
  </rv>
  <rv s="0">
    <v>http://en.wikipedia.org/wiki/Jihlava</v>
    <v>Wikipedia</v>
  </rv>
  <rv s="1">
    <v>16</v>
    <v>17</v>
  </rv>
  <rv s="2">
    <v>https://www.bing.com/th?id=AMMS_42e19bf250ef82308984ff1b09c79d82&amp;qlt=95</v>
    <v>18</v>
    <v>https://www.bing.com/images/search?form=xlimg&amp;q=jihlava</v>
    <v>Image of Jihlava</v>
  </rv>
  <rv s="5">
    <v>en-US</v>
    <v>8165c045-9d45-d356-0025-76a09a2fc01a</v>
    <v>536870912</v>
    <v>536870913</v>
    <v>1</v>
    <v>30</v>
    <v>31</v>
    <v>Jihlava</v>
    <v>12</v>
    <v>13</v>
    <v>Map</v>
    <v>14</v>
    <v>Hornice</v>
    <v>Jihlava District</v>
    <v>78.849999999999994</v>
    <v>Czech Republic</v>
    <v>15</v>
    <v>1</v>
    <v>Jihlava is a city in the Czech Republic. Jihlava is the capital of the Vysočina Region, situated on the Jihlava river on the historical border between Moravia and Bohemia, and is the oldest mining town in the Czech Republic, approximately 50 years older than Kutná Hora.</v>
    <v>19</v>
    <v>49.400280000000002</v>
    <v>Karolína Koubová (Mayor)</v>
    <v>15.59056</v>
    <v>Jihlava</v>
    <v>50845</v>
    <v>Central European Summer Time, Central European Time</v>
    <v>Jihlava</v>
    <v>mdp/vdpid/7021907068403580929</v>
  </rv>
  <rv s="4">
    <v>20</v>
  </rv>
  <rv s="0">
    <v>https://www.bing.com/search?q=karlovy+vary&amp;form=skydnc</v>
    <v>Bing</v>
  </rv>
  <rv s="0">
    <v>http://creativecommons.org/licenses/by/3.0</v>
    <v>CC BY 3.0</v>
  </rv>
  <rv s="0">
    <v>http://zh.wikipedia.org/wiki/卡罗维发利</v>
    <v>Wikipedia</v>
  </rv>
  <rv s="1">
    <v>23</v>
    <v>24</v>
  </rv>
  <rv s="2">
    <v>https://www.bing.com/th?id=AMMS_20fc3b8b98ccbbcfba61d345ffd174ec&amp;qlt=95</v>
    <v>25</v>
    <v>https://www.bing.com/images/search?form=xlimg&amp;q=karlovy+vary</v>
    <v>Image of Karlovy Vary</v>
  </rv>
  <rv s="3">
    <v>en-US</v>
    <v>ecad64ee-8762-60e4-1f93-ec0b3ec1fc0e</v>
    <v>536870912</v>
    <v>536870913</v>
    <v>1</v>
    <v>37</v>
    <v>9</v>
    <v>Karlovy Vary</v>
    <v>12</v>
    <v>13</v>
    <v>Map</v>
    <v>14</v>
    <v>Karlovy Vary Region</v>
    <v>59.1</v>
    <v>Czech Republic</v>
    <v>22</v>
    <v>1</v>
    <v>Karlovy Vary is a spa town situated in western Bohemia, Czech Republic, on the confluence of the rivers Ohře and Teplá, approximately 130 km west of Prague. It is named after Charles IV, Holy Roman Emperor and King of Bohemia, who founded the city in 1370. It is the site of numerous hot springs, and is the most visited spa town in the Czech Republic. Until 1945, when the German speaking inhabitants were expelled, the town was overwhelmingly German speaking as most of its history. The city has approximately 48,500 inhabitants.</v>
    <v>26</v>
    <v>50.232999999999997</v>
    <v>Andrea Pfeffer Ferklová (Mayor)</v>
    <v>12.867000000000001</v>
    <v>Karlovy Vary</v>
    <v>48501</v>
    <v>Central European Summer Time, Central European Time</v>
    <v>Karlovy Vary</v>
    <v>mdp/vdpid/7021273469325148161</v>
  </rv>
  <rv s="4">
    <v>27</v>
  </rv>
  <rv s="0">
    <v>https://www.bing.com/search?q=ostrava&amp;form=skydnc</v>
    <v>Bing</v>
  </rv>
  <rv s="0">
    <v>http://commons.wikimedia.org/wiki/File:Ostrava,_pohled_z_Nové_radnice_2.jpg</v>
    <v>SPŠCHG Ostrava</v>
  </rv>
  <rv s="0">
    <v>http://es.wikipedia.org/wiki/Ostrava</v>
    <v>Wikipedia</v>
  </rv>
  <rv s="1">
    <v>30</v>
    <v>31</v>
  </rv>
  <rv s="2">
    <v>https://www.bing.com/th?id=AMMS_ab971f961557b058f9c51195dc21a63b&amp;qlt=95</v>
    <v>32</v>
    <v>https://www.bing.com/images/search?form=xlimg&amp;q=ostrava</v>
    <v>Image of Ostrava</v>
  </rv>
  <rv s="3">
    <v>en-US</v>
    <v>2bbe6595-9f16-0d2d-2e16-cf9b8ccf1f57</v>
    <v>536870912</v>
    <v>536870913</v>
    <v>1</v>
    <v>45</v>
    <v>9</v>
    <v>Ostrava</v>
    <v>12</v>
    <v>13</v>
    <v>Map</v>
    <v>14</v>
    <v>Moravian-Silesian Region</v>
    <v>214</v>
    <v>Czech Republic</v>
    <v>29</v>
    <v>1</v>
    <v>Ostrava is a city in the north-east of the Czech Republic, and the capital of the Moravian-Silesian Region. It is 15 km from the border with Poland, at the meeting point of four rivers: the Odra, Opava, Ostravice and Lučina. In terms of both population and area Ostrava is the third largest city in the Czech Republic, the second largest city in Moravia, and the largest city in Czech Silesia. It straddles the border of the two historic provinces of Moravia and Silesia. The population is almost 300,000 people. The wider conurbation – which also includes the towns of Bohumín, Doubrava, Havířov, Karviná, Orlová, Petřvald and Rychvald – is home to about 500,000 people, making it the largest urban area in the Czech Republic apart from the capital, Prague.</v>
    <v>33</v>
    <v>49.835560000000001</v>
    <v>Tomáš Macura (Mayor)</v>
    <v>18.2925</v>
    <v>Ostrava</v>
    <v>289128</v>
    <v>Central European Summer Time, Central European Time</v>
    <v>Ostrava</v>
    <v>mdp/vdpid/7023574826082107393</v>
  </rv>
  <rv s="4">
    <v>34</v>
  </rv>
  <rv s="0">
    <v>https://www.bing.com/search?q=%c3%bast%c3%ad+nad+labem+czech+republic&amp;form=skydnc</v>
    <v>Bing</v>
  </rv>
  <rv s="0">
    <v>http://en.wikipedia.org/wiki/Ústí_nad_Labem</v>
    <v>Wikipedia</v>
  </rv>
  <rv s="1">
    <v>9</v>
    <v>37</v>
  </rv>
  <rv s="2">
    <v>https://www.bing.com/th?id=AMMS_58498a212f5d9c3c669ddd109c9bde02&amp;qlt=95</v>
    <v>38</v>
    <v>https://www.bing.com/images/search?form=xlimg&amp;q=%c3%bast%c3%ad+nad+labem+czech+republic</v>
    <v>Image of Ústí nad Labem</v>
  </rv>
  <rv s="5">
    <v>en-US</v>
    <v>14e6d8e5-5c58-5807-7f19-cb9a6cb74fa9</v>
    <v>536870912</v>
    <v>536870913</v>
    <v>1</v>
    <v>51</v>
    <v>31</v>
    <v>Ústí nad Labem</v>
    <v>12</v>
    <v>13</v>
    <v>Map</v>
    <v>14</v>
    <v>Ústí nad Labem Region</v>
    <v>Ústí nad Labem District</v>
    <v>93.95</v>
    <v>Czech Republic</v>
    <v>36</v>
    <v>1</v>
    <v>Ústí nad Labem, formerly known by its German name Aussig, is the 7th-most populous city of the Czech Republic. It is the capital of its eponymous region and district. Ústí is situated in a mountainous district at the confluence of the Bílina and Elbe rivers. It is a major industrial center and, besides being an active river port, is an important railway junction.</v>
    <v>39</v>
    <v>50.658329999999999</v>
    <v>Petr Nedvědický (Mayor)</v>
    <v>14.04167</v>
    <v>Ústí nad Labem</v>
    <v>92952</v>
    <v>Central European Summer Time, Central European Time</v>
    <v>Ústí nad Labem</v>
    <v>mdp/vdpid/7018296547750182913</v>
  </rv>
  <rv s="4">
    <v>40</v>
  </rv>
  <rv s="0">
    <v>https://www.bing.com/search?q=new+york+city&amp;form=skydnc</v>
    <v>Bing</v>
  </rv>
  <rv s="0">
    <v>http://en.wikipedia.org/wiki/New_York_City</v>
    <v>Wikipedia</v>
  </rv>
  <rv s="1">
    <v>9</v>
    <v>43</v>
  </rv>
  <rv s="2">
    <v>https://www.bing.com/th?id=AMMS_3a1ecb145bdd5bab4bdfa7fbefb8c6be&amp;qlt=95</v>
    <v>44</v>
    <v>https://www.bing.com/images/search?form=xlimg&amp;q=new+york+city</v>
    <v>Image of New York</v>
  </rv>
  <rv s="3">
    <v>en-US</v>
    <v>60d5dc2b-c915-460b-b722-c9e3485499ca</v>
    <v>536870912</v>
    <v>536870913</v>
    <v>1</v>
    <v>59</v>
    <v>9</v>
    <v>New York</v>
    <v>12</v>
    <v>13</v>
    <v>Map</v>
    <v>60</v>
    <v>New York</v>
    <v>1213.3679898826499</v>
    <v>United States</v>
    <v>42</v>
    <v>1</v>
    <v>The City of New York, usually referred to as either New York City or simply New York, is the most populous city in the United States. With an estimated 2018 population of 8,398,748 distributed over a land area of about 302.6 square miles, New York is also the most densely populated major city in the United States. Located at the southern tip of the state of New York, the city is the center of the New York metropolitan area, the largest metropolitan area in the world by urban landmass and one of the world's most populous megacities, with an estimated 19,979,477 people in its 2018 Metropolitan Statistical Area and 22,679,948 residents in its Combined Statistical Area. A global power city, New York City has been described as the cultural, financial, and media capital of the world, and exerts a significant impact upon commerce, entertainment, research, technology, education, politics, tourism, art, fashion, and sports. The city's fast pace has inspired the term New York minute. Home to the headquarters of the United Nations, New York is an important center for international diplomacy.</v>
    <v>45</v>
    <v>40.661000000000001</v>
    <v>Bill de Blasio (Mayor)</v>
    <v>-73.944000000000003</v>
    <v>New York</v>
    <v>8537673</v>
    <v>Eastern Time Zone</v>
    <v>New York</v>
    <v>mdp/vdpid/5487505297524129794</v>
  </rv>
  <rv s="4">
    <v>46</v>
  </rv>
  <rv s="0">
    <v>https://www.bing.com/search?q=munich+germany&amp;form=skydnc</v>
    <v>Bing</v>
  </rv>
  <rv s="0">
    <v>http://zh.wikipedia.org/wiki/慕尼黑</v>
    <v>Wikipedia</v>
  </rv>
  <rv s="1">
    <v>9</v>
    <v>49</v>
  </rv>
  <rv s="2">
    <v>https://www.bing.com/th?id=AMMS_1a53f91d4e267aef74815c8fe850b6a7&amp;qlt=95</v>
    <v>50</v>
    <v>https://www.bing.com/images/search?form=xlimg&amp;q=munich+germany</v>
    <v>Image of Munich</v>
  </rv>
  <rv s="3">
    <v>en-US</v>
    <v>7f38f401-452d-d25b-059c-487e14b70a85</v>
    <v>536870912</v>
    <v>536870913</v>
    <v>1</v>
    <v>68</v>
    <v>9</v>
    <v>Munich</v>
    <v>12</v>
    <v>13</v>
    <v>Map</v>
    <v>69</v>
    <v>Bavaria</v>
    <v>310.43</v>
    <v>Germany</v>
    <v>48</v>
    <v>1</v>
    <v>Munich is the capital and most populous city of Bavaria, the second most populous German federal state. With a population of around 1.5 million, it is the third-largest city in Germany, after Berlin and Hamburg, and thus the largest which does not constitute its own state, as well as the 12th-largest city in the European Union. The city's metropolitan region is home to 6 million people. Straddling the banks of the River Isar north of the Bavarian Alps, it is the seat of the Bavarian administrative region of Upper Bavaria, while being the most densely populated municipality in Germany. Munich is the second-largest city in the Bavarian dialect area, after the Austrian capital of Vienna.</v>
    <v>51</v>
    <v>48.133000000000003</v>
    <v>Dieter Reiter (Mayor)</v>
    <v>11.567</v>
    <v>Munich</v>
    <v>1456039</v>
    <v>Central European Time, W. Europe Standard Time</v>
    <v>Munich</v>
    <v>mdp/vdpid/7021484408976703489</v>
  </rv>
  <rv s="4">
    <v>52</v>
  </rv>
  <rv s="0">
    <v>https://www.bing.com/search?q=rome+italy&amp;form=skydnc</v>
    <v>Bing</v>
  </rv>
  <rv s="0">
    <v>https://creativecommons.org/licenses/by-sa/2.5</v>
    <v>CC BY-SA 2.5</v>
  </rv>
  <rv s="0">
    <v>http://en.wikipedia.org/wiki/Rome</v>
    <v>Wikipedia</v>
  </rv>
  <rv s="1">
    <v>55</v>
    <v>56</v>
  </rv>
  <rv s="2">
    <v>https://www.bing.com/th?id=AMMS_97cca1ba272b0fd3a4485f541722003a&amp;qlt=95</v>
    <v>57</v>
    <v>https://www.bing.com/images/search?form=xlimg&amp;q=rome+italy</v>
    <v>Image of Rome</v>
  </rv>
  <rv s="3">
    <v>en-US</v>
    <v>5ed498af-fa85-2a88-874d-212494ddb06f</v>
    <v>536870912</v>
    <v>536870913</v>
    <v>1</v>
    <v>75</v>
    <v>9</v>
    <v>Rome</v>
    <v>12</v>
    <v>13</v>
    <v>Map</v>
    <v>76</v>
    <v>Lazio</v>
    <v>1285.4110991597599</v>
    <v>Italy</v>
    <v>54</v>
    <v>1</v>
    <v>Rome is the capital city and a special comune of Italy. Rome also serves as the capital of the Lazio region. With 2,872,800 residents in 1,285 km², it is also the country's most populated comune. It is the fourth most populous city in the European Union by population within city limits. It is the centre of the Metropolitan City of Rome, which has a population of 4,355,725 residents, thus making it the most populous metropolitan city in Italy. Rome is located in the central-western portion of the Italian Peninsula, within Lazio, along the shores of the Tiber. The Vatican City is an independent country inside the city boundaries of Rome, the only existing example of a country within a city: for this reason Rome has been often defined as capital of two states.</v>
    <v>58</v>
    <v>41.883000000000003</v>
    <v>Virginia Raggi (Mayor)</v>
    <v>12.5</v>
    <v>Rome</v>
    <v>2872800</v>
    <v>Central European Time, W. Europe Standard Time</v>
    <v>Rome</v>
    <v>mdp/vdpid/7215943137045250049</v>
  </rv>
  <rv s="4">
    <v>59</v>
  </rv>
</rvData>
</file>

<file path=xl/richData/rdrichvaluestructure.xml><?xml version="1.0" encoding="utf-8"?>
<rvStructures xmlns="http://schemas.microsoft.com/office/spreadsheetml/2017/richdata" count="6">
  <s t="_hyperlink">
    <k n="Address" t="s"/>
    <k n="Text" t="s"/>
  </s>
  <s t="_sourceattribution">
    <k n="License" t="r"/>
    <k n="Source" t="r"/>
  </s>
  <s t="_imageurl">
    <k n="Address" t="s"/>
    <k n="Attribution" t="r"/>
    <k n="More Images Address" t="s"/>
    <k n="Text" t="s"/>
  </s>
  <s t="_linkedentitycore">
    <k n="%EntityCulture" t="s"/>
    <k n="%EntityId" t="s"/>
    <k n="%EntityServiceId"/>
    <k n="%EntitySubDomainId"/>
    <k n="%IsRefreshable" t="b"/>
    <k n="_Attribution" t="spb"/>
    <k n="_Display" t="spb"/>
    <k n="_DisplayString" t="s"/>
    <k n="_Flags" t="spb"/>
    <k n="_Format" t="spb"/>
    <k n="_Icon" t="s"/>
    <k n="_SubLabel" t="spb"/>
    <k n="Admin Division 1 (State/province/other)" t="s"/>
    <k n="Area"/>
    <k n="Country/region" t="s"/>
    <k n="DataProviderExternalLink" t="r"/>
    <k n="DataProviderExternalLinkLogo" t="r"/>
    <k n="Description" t="s"/>
    <k n="Image" t="r"/>
    <k n="Latitude"/>
    <k n="Leader(s)" t="s"/>
    <k n="Longitude"/>
    <k n="Name" t="s"/>
    <k n="Population"/>
    <k n="Time zone(s)" t="s"/>
    <k n="UniqueName" t="s"/>
    <k n="VDPID/VSID" t="s"/>
  </s>
  <s t="_linkedentity">
    <k n="%cvi" t="r"/>
  </s>
  <s t="_linkedentitycore">
    <k n="%EntityCulture" t="s"/>
    <k n="%EntityId" t="s"/>
    <k n="%EntityServiceId"/>
    <k n="%EntitySubDomainId"/>
    <k n="%IsRefreshable" t="b"/>
    <k n="_Attribution" t="spb"/>
    <k n="_Display" t="spb"/>
    <k n="_DisplayString" t="s"/>
    <k n="_Flags" t="spb"/>
    <k n="_Format" t="spb"/>
    <k n="_Icon" t="s"/>
    <k n="_SubLabel" t="spb"/>
    <k n="Admin Division 1 (State/province/other)" t="s"/>
    <k n="Admin Division 2 (County/district/other)" t="s"/>
    <k n="Area"/>
    <k n="Country/region" t="s"/>
    <k n="DataProviderExternalLink" t="r"/>
    <k n="DataProviderExternalLinkLogo" t="r"/>
    <k n="Description" t="s"/>
    <k n="Image" t="r"/>
    <k n="Latitude"/>
    <k n="Leader(s)" t="s"/>
    <k n="Longitude"/>
    <k n="Name" t="s"/>
    <k n="Population"/>
    <k n="Time zone(s)" t="s"/>
    <k n="UniqueName" t="s"/>
    <k n="VDPID/VSID" t="s"/>
  </s>
</rvStructures>
</file>

<file path=xl/richData/rdsupportingpropertybag.xml><?xml version="1.0" encoding="utf-8"?>
<supportingPropertyBags xmlns="http://schemas.microsoft.com/office/spreadsheetml/2017/richdata2">
  <spbArrays count="2">
    <a count="27">
      <v t="s">%EntityServiceId</v>
      <v t="s">_Format</v>
      <v t="s">%EntitySubDomainId</v>
      <v t="s">%EntityCulture</v>
      <v t="s">%IsRefreshable</v>
      <v t="s">%EntityId</v>
      <v t="s">_Icon</v>
      <v t="s">_Attribution</v>
      <v t="s">Name</v>
      <v t="s">Admin Division 1 (State/province/other)</v>
      <v t="s">Country/region</v>
      <v t="s">Leader(s)</v>
      <v t="s">_SubLabel</v>
      <v t="s">Population</v>
      <v t="s">Area</v>
      <v t="s">Latitude</v>
      <v t="s">Longitude</v>
      <v t="s">Time zone(s)</v>
      <v t="s">_Flags</v>
      <v t="s">VDPID/VSID</v>
      <v t="s">UniqueName</v>
      <v t="s">_DisplayString</v>
      <v t="s">DataProviderExternalLink</v>
      <v t="s">DataProviderExternalLinkLogo</v>
      <v t="s">Image</v>
      <v t="s">Description</v>
      <v t="s">_Display</v>
    </a>
    <a count="28">
      <v t="s">%EntityServiceId</v>
      <v t="s">_Format</v>
      <v t="s">%EntitySubDomainId</v>
      <v t="s">%EntityCulture</v>
      <v t="s">%IsRefreshable</v>
      <v t="s">%EntityId</v>
      <v t="s">_Icon</v>
      <v t="s">_Attribution</v>
      <v t="s">Name</v>
      <v t="s">Admin Division 2 (County/district/other)</v>
      <v t="s">Admin Division 1 (State/province/other)</v>
      <v t="s">Country/region</v>
      <v t="s">Leader(s)</v>
      <v t="s">_SubLabel</v>
      <v t="s">Population</v>
      <v t="s">Area</v>
      <v t="s">Latitude</v>
      <v t="s">Longitude</v>
      <v t="s">Time zone(s)</v>
      <v t="s">_Flags</v>
      <v t="s">VDPID/VSID</v>
      <v t="s">UniqueName</v>
      <v t="s">_DisplayString</v>
      <v t="s">DataProviderExternalLink</v>
      <v t="s">DataProviderExternalLinkLogo</v>
      <v t="s">Image</v>
      <v t="s">Description</v>
      <v t="s">_Display</v>
    </a>
  </spbArrays>
  <spbData count="77">
    <spb s="0">
      <v xml:space="preserve">Wikipedia	Wikipedia	</v>
      <v xml:space="preserve">CC-BY-SA	CC-BY-SA	</v>
      <v xml:space="preserve">http://en.wikipedia.org/wiki/Brno	http://es.wikipedia.org/wiki/Brno	</v>
      <v xml:space="preserve">http://creativecommons.org/licenses/by-sa/3.0/	http://creativecommons.org/licenses/by-sa/3.0/	</v>
    </spb>
    <spb s="0">
      <v xml:space="preserve">Wikipedia	Weathertrends360	</v>
      <v xml:space="preserve">CC-BY-SA		</v>
      <v xml:space="preserve">http://en.wikipedia.org/wiki/Brno	https://www.weathertrends360.com/	</v>
      <v xml:space="preserve">http://creativecommons.org/licenses/by-sa/3.0/		</v>
    </spb>
    <spb s="0">
      <v xml:space="preserve">Wikipedia	Wikipedia	</v>
      <v xml:space="preserve">CC-BY-SA	CC-BY-SA	</v>
      <v xml:space="preserve">http://en.wikipedia.org/wiki/Brno	http://ja.wikipedia.org/wiki/ブルノ	</v>
      <v xml:space="preserve">http://creativecommons.org/licenses/by-sa/3.0/	http://creativecommons.org/licenses/by-sa/3.0/	</v>
    </spb>
    <spb s="0">
      <v xml:space="preserve">Wikipedia	Wikipedia	</v>
      <v xml:space="preserve">CC-BY-SA	CC-BY-SA	</v>
      <v xml:space="preserve">http://en.wikipedia.org/wiki/Brno	https://en.wikipedia.org/wiki/Brno	</v>
      <v xml:space="preserve">http://creativecommons.org/licenses/by-sa/3.0/	http://creativecommons.org/licenses/by-sa/3.0/	</v>
    </spb>
    <spb s="0">
      <v xml:space="preserve">Wikipedia	</v>
      <v xml:space="preserve">CC-BY-SA	</v>
      <v xml:space="preserve">http://en.wikipedia.org/wiki/Brno	</v>
      <v xml:space="preserve">http://creativecommons.org/licenses/by-sa/3.0/	</v>
    </spb>
    <spb s="0">
      <v xml:space="preserve">Wikipedia	Wikidata	Wikipedia	Wikidata	</v>
      <v xml:space="preserve">CC-BY-SA		CC-BY-SA		</v>
      <v xml:space="preserve">http://en.wikipedia.org/wiki/Brno	https://www.wikidata.org/wiki/Q14960	http://en.wikipedia.org/wiki/Brno	https://www.wikidata.org/wiki/Q14960	</v>
      <v xml:space="preserve">http://creativecommons.org/licenses/by-sa/3.0/		http://creativecommons.org/licenses/by-sa/3.0/		</v>
    </spb>
    <spb s="0">
      <v xml:space="preserve">Wikipedia	Wikidata	Wikipedia	</v>
      <v xml:space="preserve">CC-BY-SA		CC-BY-SA	</v>
      <v xml:space="preserve">http://en.wikipedia.org/wiki/Brno	https://www.wikidata.org/wiki/Q14960	https://en.wikipedia.org/wiki/Brno	</v>
      <v xml:space="preserve">http://creativecommons.org/licenses/by-sa/3.0/		http://creativecommons.org/licenses/by-sa/3.0/	</v>
    </spb>
    <spb s="0">
      <v xml:space="preserve">Wikipedia	Wikipedia	Wikidata	</v>
      <v xml:space="preserve">CC-BY-SA	CC-BY-SA		</v>
      <v xml:space="preserve">http://en.wikipedia.org/wiki/Brno	http://fr.wikipedia.org/wiki/Brno	https://www.wikidata.org/wiki/Q14960	</v>
      <v xml:space="preserve">http://creativecommons.org/licenses/by-sa/3.0/	http://creativecommons.org/licenses/by-sa/3.0/		</v>
    </spb>
    <spb s="1">
      <v>0</v>
      <v>1</v>
      <v>2</v>
      <v>3</v>
      <v>2</v>
      <v>4</v>
      <v>1</v>
      <v>4</v>
      <v>5</v>
      <v>6</v>
      <v>7</v>
    </spb>
    <spb s="2">
      <v>0</v>
    </spb>
    <spb s="3">
      <v>0</v>
      <v>0</v>
    </spb>
    <spb s="4">
      <v>0</v>
      <v>0</v>
      <v>0</v>
    </spb>
    <spb s="5">
      <v>10</v>
      <v>11</v>
      <v>11</v>
      <v>10</v>
      <v>11</v>
      <v>11</v>
    </spb>
    <spb s="6">
      <v>1</v>
      <v>2</v>
      <v>3</v>
      <v>4</v>
      <v>4</v>
      <v>5</v>
      <v>6</v>
      <v>7</v>
      <v>8</v>
      <v>8</v>
    </spb>
    <spb s="7">
      <v>square km</v>
      <v>2019</v>
    </spb>
    <spb s="0">
      <v xml:space="preserve">Wikipedia	Wikipedia	</v>
      <v xml:space="preserve">CC-BY-SA	CC-BY-SA	</v>
      <v xml:space="preserve">http://en.wikipedia.org/wiki/České_Budějovice	http://de.wikipedia.org/wiki/Budweis	</v>
      <v xml:space="preserve">http://creativecommons.org/licenses/by-sa/3.0/	http://creativecommons.org/licenses/by-sa/3.0/	</v>
    </spb>
    <spb s="0">
      <v xml:space="preserve">Wikipedia	</v>
      <v xml:space="preserve">CC-BY-SA	</v>
      <v xml:space="preserve">http://en.wikipedia.org/wiki/České_Budějovice	</v>
      <v xml:space="preserve">http://creativecommons.org/licenses/by-sa/3.0/	</v>
    </spb>
    <spb s="0">
      <v xml:space="preserve">Wikipedia	Wikipedia	Wikidata	Wikipedia	Wikipedia	Wikidata	</v>
      <v xml:space="preserve">CC-BY-SA	CC-BY-SA		CC-BY-SA	CC-BY-SA		</v>
      <v xml:space="preserve">http://en.wikipedia.org/wiki/České_Budějovice	http://de.wikipedia.org/wiki/Budweis	https://www.wikidata.org/wiki/Q16506	http://en.wikipedia.org/wiki/České_Budějovice	http://de.wikipedia.org/wiki/Budweis	https://www.wikidata.org/wiki/Q16506	</v>
      <v xml:space="preserve">http://creativecommons.org/licenses/by-sa/3.0/	http://creativecommons.org/licenses/by-sa/3.0/		http://creativecommons.org/licenses/by-sa/3.0/	http://creativecommons.org/licenses/by-sa/3.0/		</v>
    </spb>
    <spb s="0">
      <v xml:space="preserve">Wikipedia	Wikipedia	Wikidata	Wikipedia	</v>
      <v xml:space="preserve">CC-BY-SA	CC-BY-SA		CC-BY-SA	</v>
      <v xml:space="preserve">http://en.wikipedia.org/wiki/České_Budějovice	http://de.wikipedia.org/wiki/Budweis	https://www.wikidata.org/wiki/Q16506	https://en.wikipedia.org/wiki/České_Budějovice	</v>
      <v xml:space="preserve">http://creativecommons.org/licenses/by-sa/3.0/	http://creativecommons.org/licenses/by-sa/3.0/		http://creativecommons.org/licenses/by-sa/3.0/	</v>
    </spb>
    <spb s="0">
      <v xml:space="preserve">Wikipedia	Wikipedia	Wikidata	</v>
      <v xml:space="preserve">CC-BY-SA	CC-BY-SA		</v>
      <v xml:space="preserve">http://en.wikipedia.org/wiki/České_Budějovice	http://de.wikipedia.org/wiki/Budweis	https://www.wikidata.org/wiki/Q16506	</v>
      <v xml:space="preserve">http://creativecommons.org/licenses/by-sa/3.0/	http://creativecommons.org/licenses/by-sa/3.0/		</v>
    </spb>
    <spb s="1">
      <v>15</v>
      <v>15</v>
      <v>16</v>
      <v>15</v>
      <v>16</v>
      <v>16</v>
      <v>15</v>
      <v>16</v>
      <v>17</v>
      <v>18</v>
      <v>19</v>
    </spb>
    <spb s="0">
      <v xml:space="preserve">Wikipedia	Wikipedia	Wikipedia	</v>
      <v xml:space="preserve">CC-BY-SA	CC-BY-SA	CC-BY-SA	</v>
      <v xml:space="preserve">http://en.wikipedia.org/wiki/Jihlava	http://es.wikipedia.org/wiki/Jihlava	http://fr.wikipedia.org/wiki/Jihlava	</v>
      <v xml:space="preserve">http://creativecommons.org/licenses/by-sa/3.0/	http://creativecommons.org/licenses/by-sa/3.0/	http://creativecommons.org/licenses/by-sa/3.0/	</v>
    </spb>
    <spb s="0">
      <v xml:space="preserve">Wikipedia	Weathertrends360	</v>
      <v xml:space="preserve">CC-BY-SA		</v>
      <v xml:space="preserve">http://en.wikipedia.org/wiki/Jihlava	https://www.weathertrends360.com/	</v>
      <v xml:space="preserve">http://creativecommons.org/licenses/by-sa/3.0/		</v>
    </spb>
    <spb s="0">
      <v xml:space="preserve">Wikipedia	Wikipedia	</v>
      <v xml:space="preserve">CC-BY-SA	CC-BY-SA	</v>
      <v xml:space="preserve">http://en.wikipedia.org/wiki/Jihlava	http://ja.wikipedia.org/wiki/イフラヴァ	</v>
      <v xml:space="preserve">http://creativecommons.org/licenses/by-sa/3.0/	http://creativecommons.org/licenses/by-sa/3.0/	</v>
    </spb>
    <spb s="0">
      <v xml:space="preserve">Wikipedia	Wikipedia	Wikipedia	Wikipedia	</v>
      <v xml:space="preserve">CC-BY-SA	CC-BY-SA	CC-BY-SA	CC-BY-SA	</v>
      <v xml:space="preserve">http://en.wikipedia.org/wiki/Jihlava	http://de.wikipedia.org/wiki/Jihlava	http://fr.wikipedia.org/wiki/Jihlava	https://en.wikipedia.org/wiki/Jihlava	</v>
      <v xml:space="preserve">http://creativecommons.org/licenses/by-sa/3.0/	http://creativecommons.org/licenses/by-sa/3.0/	http://creativecommons.org/licenses/by-sa/3.0/	http://creativecommons.org/licenses/by-sa/3.0/	</v>
    </spb>
    <spb s="0">
      <v xml:space="preserve">Wikipedia	</v>
      <v xml:space="preserve">CC-BY-SA	</v>
      <v xml:space="preserve">http://en.wikipedia.org/wiki/Jihlava	</v>
      <v xml:space="preserve">http://creativecommons.org/licenses/by-sa/3.0/	</v>
    </spb>
    <spb s="0">
      <v xml:space="preserve">Wikipedia	Wikidata	Wikipedia	Wikidata	</v>
      <v xml:space="preserve">CC-BY-SA		CC-BY-SA		</v>
      <v xml:space="preserve">http://en.wikipedia.org/wiki/Jihlava	https://www.wikidata.org/wiki/Q183111	http://en.wikipedia.org/wiki/Jihlava	https://www.wikidata.org/wiki/Q183111	</v>
      <v xml:space="preserve">http://creativecommons.org/licenses/by-sa/3.0/		http://creativecommons.org/licenses/by-sa/3.0/		</v>
    </spb>
    <spb s="0">
      <v xml:space="preserve">Wikipedia	Wikidata	Wikipedia	</v>
      <v xml:space="preserve">CC-BY-SA		CC-BY-SA	</v>
      <v xml:space="preserve">http://en.wikipedia.org/wiki/Jihlava	https://www.wikidata.org/wiki/Q183111	https://en.wikipedia.org/wiki/Jihlava	</v>
      <v xml:space="preserve">http://creativecommons.org/licenses/by-sa/3.0/		http://creativecommons.org/licenses/by-sa/3.0/	</v>
    </spb>
    <spb s="0">
      <v xml:space="preserve">Wikipedia	Wikidata	</v>
      <v xml:space="preserve">CC-BY-SA		</v>
      <v xml:space="preserve">http://en.wikipedia.org/wiki/Jihlava	https://www.wikidata.org/wiki/Q183111	</v>
      <v xml:space="preserve">http://creativecommons.org/licenses/by-sa/3.0/		</v>
    </spb>
    <spb s="0">
      <v xml:space="preserve">Wikipedia	Wikipedia	Wikidata	</v>
      <v xml:space="preserve">CC-BY-SA	CC-BY-SA		</v>
      <v xml:space="preserve">http://en.wikipedia.org/wiki/Jihlava	http://fr.wikipedia.org/wiki/Jihlava	https://www.wikidata.org/wiki/Q183111	</v>
      <v xml:space="preserve">http://creativecommons.org/licenses/by-sa/3.0/	http://creativecommons.org/licenses/by-sa/3.0/		</v>
    </spb>
    <spb s="8">
      <v>21</v>
      <v>22</v>
      <v>23</v>
      <v>24</v>
      <v>23</v>
      <v>25</v>
      <v>22</v>
      <v>25</v>
      <v>26</v>
      <v>27</v>
      <v>28</v>
      <v>29</v>
    </spb>
    <spb s="2">
      <v>1</v>
    </spb>
    <spb s="0">
      <v xml:space="preserve">Wikipedia	Wikipedia	Wikipedia	</v>
      <v xml:space="preserve">CC-BY-SA	CC-BY-SA	CC-BY-SA	</v>
      <v xml:space="preserve">http://en.wikipedia.org/wiki/Karlovy_Vary	http://es.wikipedia.org/wiki/Karlovy_Vary	http://fr.wikipedia.org/wiki/Karlovy_Vary	</v>
      <v xml:space="preserve">http://creativecommons.org/licenses/by-sa/3.0/	http://creativecommons.org/licenses/by-sa/3.0/	http://creativecommons.org/licenses/by-sa/3.0/	</v>
    </spb>
    <spb s="0">
      <v xml:space="preserve">Wikipedia	</v>
      <v xml:space="preserve">CC-BY-SA	</v>
      <v xml:space="preserve">http://en.wikipedia.org/wiki/Karlovy_Vary	</v>
      <v xml:space="preserve">http://creativecommons.org/licenses/by-sa/3.0/	</v>
    </spb>
    <spb s="0">
      <v xml:space="preserve">Wikipedia	Wikidata	Wikipedia	Wikidata	</v>
      <v xml:space="preserve">CC-BY-SA		CC-BY-SA		</v>
      <v xml:space="preserve">http://en.wikipedia.org/wiki/Karlovy_Vary	https://www.wikidata.org/wiki/Q384544	http://en.wikipedia.org/wiki/Karlovy_Vary	https://www.wikidata.org/wiki/Q384544	</v>
      <v xml:space="preserve">http://creativecommons.org/licenses/by-sa/3.0/		http://creativecommons.org/licenses/by-sa/3.0/		</v>
    </spb>
    <spb s="0">
      <v xml:space="preserve">Wikipedia	Wikidata	</v>
      <v xml:space="preserve">CC-BY-SA		</v>
      <v xml:space="preserve">http://en.wikipedia.org/wiki/Karlovy_Vary	https://www.wikidata.org/wiki/Q384544	</v>
      <v xml:space="preserve">http://creativecommons.org/licenses/by-sa/3.0/		</v>
    </spb>
    <spb s="0">
      <v xml:space="preserve">Wikipedia	Wikipedia	</v>
      <v xml:space="preserve">CC-BY-SA	CC-BY-SA	</v>
      <v xml:space="preserve">http://en.wikipedia.org/wiki/Karlovy_Vary	http://fr.wikipedia.org/wiki/Karlovy_Vary	</v>
      <v xml:space="preserve">http://creativecommons.org/licenses/by-sa/3.0/	http://creativecommons.org/licenses/by-sa/3.0/	</v>
    </spb>
    <spb s="1">
      <v>32</v>
      <v>33</v>
      <v>33</v>
      <v>33</v>
      <v>33</v>
      <v>33</v>
      <v>33</v>
      <v>33</v>
      <v>34</v>
      <v>35</v>
      <v>36</v>
    </spb>
    <spb s="0">
      <v xml:space="preserve">Wikipedia	</v>
      <v xml:space="preserve">CC-BY-SA	</v>
      <v xml:space="preserve">http://en.wikipedia.org/wiki/Ostrava	</v>
      <v xml:space="preserve">http://creativecommons.org/licenses/by-sa/3.0/	</v>
    </spb>
    <spb s="0">
      <v xml:space="preserve">Wikipedia	Weathertrends360	</v>
      <v xml:space="preserve">CC-BY-SA		</v>
      <v xml:space="preserve">http://en.wikipedia.org/wiki/Ostrava	https://www.weathertrends360.com/	</v>
      <v xml:space="preserve">http://creativecommons.org/licenses/by-sa/3.0/		</v>
    </spb>
    <spb s="0">
      <v xml:space="preserve">Wikipedia	Wikipedia	</v>
      <v xml:space="preserve">CC-BY-SA	CC-BY-SA	</v>
      <v xml:space="preserve">http://en.wikipedia.org/wiki/Ostrava	http://ja.wikipedia.org/wiki/オストラヴァ	</v>
      <v xml:space="preserve">http://creativecommons.org/licenses/by-sa/3.0/	http://creativecommons.org/licenses/by-sa/3.0/	</v>
    </spb>
    <spb s="0">
      <v xml:space="preserve">Wikipedia	Wikipedia	Wikipedia	Wikipedia	</v>
      <v xml:space="preserve">CC-BY-SA	CC-BY-SA	CC-BY-SA	CC-BY-SA	</v>
      <v xml:space="preserve">http://en.wikipedia.org/wiki/Ostrava	http://de.wikipedia.org/wiki/Ostrava	http://fr.wikipedia.org/wiki/Ostrava	https://en.wikipedia.org/wiki/Ostrava	</v>
      <v xml:space="preserve">http://creativecommons.org/licenses/by-sa/3.0/	http://creativecommons.org/licenses/by-sa/3.0/	http://creativecommons.org/licenses/by-sa/3.0/	http://creativecommons.org/licenses/by-sa/3.0/	</v>
    </spb>
    <spb s="0">
      <v xml:space="preserve">Wikipedia	Wikidata	Wikipedia	Wikidata	</v>
      <v xml:space="preserve">CC-BY-SA		CC-BY-SA		</v>
      <v xml:space="preserve">http://en.wikipedia.org/wiki/Ostrava	https://www.wikidata.org/wiki/Q8385	http://en.wikipedia.org/wiki/Ostrava	https://www.wikidata.org/wiki/Q8385	</v>
      <v xml:space="preserve">http://creativecommons.org/licenses/by-sa/3.0/		http://creativecommons.org/licenses/by-sa/3.0/		</v>
    </spb>
    <spb s="0">
      <v xml:space="preserve">Wikipedia	Wikidata	Wikipedia	</v>
      <v xml:space="preserve">CC-BY-SA		CC-BY-SA	</v>
      <v xml:space="preserve">http://en.wikipedia.org/wiki/Ostrava	https://www.wikidata.org/wiki/Q8385	https://en.wikipedia.org/wiki/Ostrava	</v>
      <v xml:space="preserve">http://creativecommons.org/licenses/by-sa/3.0/		http://creativecommons.org/licenses/by-sa/3.0/	</v>
    </spb>
    <spb s="0">
      <v xml:space="preserve">Wikipedia	Wikipedia	Wikidata	</v>
      <v xml:space="preserve">CC-BY-SA	CC-BY-SA		</v>
      <v xml:space="preserve">http://en.wikipedia.org/wiki/Ostrava	http://fr.wikipedia.org/wiki/Ostrava	https://www.wikidata.org/wiki/Q8385	</v>
      <v xml:space="preserve">http://creativecommons.org/licenses/by-sa/3.0/	http://creativecommons.org/licenses/by-sa/3.0/		</v>
    </spb>
    <spb s="1">
      <v>38</v>
      <v>39</v>
      <v>40</v>
      <v>41</v>
      <v>40</v>
      <v>38</v>
      <v>39</v>
      <v>38</v>
      <v>42</v>
      <v>43</v>
      <v>44</v>
    </spb>
    <spb s="0">
      <v xml:space="preserve">Wikipedia	Wikipedia	</v>
      <v xml:space="preserve">CC-BY-SA	CC-BY-SA	</v>
      <v xml:space="preserve">http://en.wikipedia.org/wiki/Ústí_nad_Labem	http://zh.wikipedia.org/zh-tw/index.html?curid=697284	</v>
      <v xml:space="preserve">http://creativecommons.org/licenses/by-sa/3.0/	http://creativecommons.org/licenses/by-sa/3.0/	</v>
    </spb>
    <spb s="0">
      <v xml:space="preserve">Wikipedia	</v>
      <v xml:space="preserve">CC-BY-SA	</v>
      <v xml:space="preserve">http://en.wikipedia.org/wiki/Ústí_nad_Labem	</v>
      <v xml:space="preserve">http://creativecommons.org/licenses/by-sa/3.0/	</v>
    </spb>
    <spb s="0">
      <v xml:space="preserve">Wikipedia	Wikipedia	Wikipedia	</v>
      <v xml:space="preserve">CC-BY-SA	CC-BY-SA	CC-BY-SA	</v>
      <v xml:space="preserve">http://en.wikipedia.org/wiki/Ústí_nad_Labem	http://zh.wikipedia.org/zh-tw/index.html?curid=697284	https://en.wikipedia.org/wiki/Ústí_nad_Labem	</v>
      <v xml:space="preserve">http://creativecommons.org/licenses/by-sa/3.0/	http://creativecommons.org/licenses/by-sa/3.0/	http://creativecommons.org/licenses/by-sa/3.0/	</v>
    </spb>
    <spb s="0">
      <v xml:space="preserve">Wikipedia	Wikipedia	Wikidata	Wikipedia	Wikipedia	Wikidata	</v>
      <v xml:space="preserve">CC-BY-SA	CC-BY-SA		CC-BY-SA	CC-BY-SA		</v>
      <v xml:space="preserve">http://en.wikipedia.org/wiki/Ústí_nad_Labem	http://zh.wikipedia.org/zh-tw/index.html?curid=697284	https://www.wikidata.org/wiki/Q156974	http://en.wikipedia.org/wiki/Ústí_nad_Labem	http://zh.wikipedia.org/zh-tw/index.html?curid=697284	https://www.wikidata.org/wiki/Q156974	</v>
      <v xml:space="preserve">http://creativecommons.org/licenses/by-sa/3.0/	http://creativecommons.org/licenses/by-sa/3.0/		http://creativecommons.org/licenses/by-sa/3.0/	http://creativecommons.org/licenses/by-sa/3.0/		</v>
    </spb>
    <spb s="0">
      <v xml:space="preserve">Wikipedia	Wikipedia	Wikidata	Wikipedia	</v>
      <v xml:space="preserve">CC-BY-SA	CC-BY-SA		CC-BY-SA	</v>
      <v xml:space="preserve">http://en.wikipedia.org/wiki/Ústí_nad_Labem	http://zh.wikipedia.org/zh-tw/index.html?curid=697284	https://www.wikidata.org/wiki/Q156974	https://en.wikipedia.org/wiki/Ústí_nad_Labem	</v>
      <v xml:space="preserve">http://creativecommons.org/licenses/by-sa/3.0/	http://creativecommons.org/licenses/by-sa/3.0/		http://creativecommons.org/licenses/by-sa/3.0/	</v>
    </spb>
    <spb s="8">
      <v>46</v>
      <v>46</v>
      <v>47</v>
      <v>48</v>
      <v>47</v>
      <v>47</v>
      <v>46</v>
      <v>47</v>
      <v>49</v>
      <v>50</v>
      <v>46</v>
      <v>46</v>
    </spb>
    <spb s="0">
      <v xml:space="preserve">Wikipedia	</v>
      <v xml:space="preserve">CC-BY-SA	</v>
      <v xml:space="preserve">http://en.wikipedia.org/wiki/New_York_City	</v>
      <v xml:space="preserve">http://creativecommons.org/licenses/by-sa/3.0/	</v>
    </spb>
    <spb s="0">
      <v xml:space="preserve">Wikipedia	Twitter	US Census	Wikidata	Walkscore	</v>
      <v xml:space="preserve">CC-BY-SA					</v>
      <v xml:space="preserve">http://en.wikipedia.org/wiki/New_York_City	https://twitter.com/NYC311	http://www2.census.gov/programs-surveys/popest/datasets/2010-2016/cities/totals/sub-est2016_all.csv	https://www.wikidata.org/wiki/Q60	https://www.walkscore.com/NY/New_York	</v>
      <v xml:space="preserve">http://creativecommons.org/licenses/by-sa/3.0/					</v>
    </spb>
    <spb s="0">
      <v xml:space="preserve">Wikipedia	Twitter	Wikipedia	Wikipedia	Wikipedia	Wikidata	Wikipedia	</v>
      <v xml:space="preserve">CC-BY-SA		CC-BY-SA	CC-BY-SA	CC-BY-SA		CC-BY-SA	</v>
      <v xml:space="preserve">http://en.wikipedia.org/wiki/New_York_City	https://twitter.com/NYC311	http://de.wikipedia.org/wiki/New_York_City	http://es.wikipedia.org/wiki/Nueva_York	http://fr.wikipedia.org/wiki/New_York	https://www.wikidata.org/wiki/Q60	https://en.wikipedia.org/wiki/New_York_City	</v>
      <v xml:space="preserve">http://creativecommons.org/licenses/by-sa/3.0/		http://creativecommons.org/licenses/by-sa/3.0/	http://creativecommons.org/licenses/by-sa/3.0/	http://creativecommons.org/licenses/by-sa/3.0/		http://creativecommons.org/licenses/by-sa/3.0/	</v>
    </spb>
    <spb s="0">
      <v xml:space="preserve">US Census	</v>
      <v xml:space="preserve">	</v>
      <v xml:space="preserve">http://www2.census.gov/programs-surveys/popest/datasets/2010-2016/cities/totals/sub-est2016_all.csv	</v>
      <v xml:space="preserve">	</v>
    </spb>
    <spb s="0">
      <v xml:space="preserve">Wikipedia	Wikidata	</v>
      <v xml:space="preserve">CC-BY-SA		</v>
      <v xml:space="preserve">http://en.wikipedia.org/wiki/New_York_City	https://www.wikidata.org/wiki/Q60	</v>
      <v xml:space="preserve">http://creativecommons.org/licenses/by-sa/3.0/		</v>
    </spb>
    <spb s="0">
      <v xml:space="preserve">Wikipedia	US BLS	US Census	Wikipedia	Walkscore	</v>
      <v xml:space="preserve">CC-BY-SA			CC-BY-SA		</v>
      <v xml:space="preserve">http://en.wikipedia.org/wiki/New_York_City	http://www.bls.gov/	http://www2.census.gov/programs-surveys/popest/datasets/2010-2016/cities/totals/sub-est2016_all.csv	https://en.wikipedia.org/wiki/New_York_City	https://www.walkscore.com/NY/New_York	</v>
      <v xml:space="preserve">http://creativecommons.org/licenses/by-sa/3.0/			http://creativecommons.org/licenses/by-sa/3.0/		</v>
    </spb>
    <spb s="0">
      <v xml:space="preserve">Wikipedia	US BLS	US Census	Wikidata	Wikipedia	Walkscore	</v>
      <v xml:space="preserve">CC-BY-SA				CC-BY-SA		</v>
      <v xml:space="preserve">http://en.wikipedia.org/wiki/New_York_City	http://www.bls.gov/	http://www2.census.gov/programs-surveys/popest/datasets/2010-2016/cities/totals/sub-est2016_all.csv	https://www.wikidata.org/wiki/Q60	https://en.wikipedia.org/wiki/New_York_City	https://www.walkscore.com/NY/New_York	</v>
      <v xml:space="preserve">http://creativecommons.org/licenses/by-sa/3.0/				http://creativecommons.org/licenses/by-sa/3.0/		</v>
    </spb>
    <spb s="1">
      <v>52</v>
      <v>53</v>
      <v>52</v>
      <v>54</v>
      <v>52</v>
      <v>55</v>
      <v>53</v>
      <v>52</v>
      <v>56</v>
      <v>57</v>
      <v>58</v>
    </spb>
    <spb s="7">
      <v>square km</v>
      <v>2016</v>
    </spb>
    <spb s="0">
      <v xml:space="preserve">Wikipedia	Wikipedia	</v>
      <v xml:space="preserve">CC-BY-SA	CC-BY-SA	</v>
      <v xml:space="preserve">http://en.wikipedia.org/wiki/Munich	http://fr.wikipedia.org/wiki/Munich	</v>
      <v xml:space="preserve">http://creativecommons.org/licenses/by-sa/3.0/	http://creativecommons.org/licenses/by-sa/3.0/	</v>
    </spb>
    <spb s="0">
      <v xml:space="preserve">Wikipedia	Youtube	Wikidata	</v>
      <v xml:space="preserve">CC-BY-SA			</v>
      <v xml:space="preserve">http://en.wikipedia.org/wiki/Munich	https://www.youtube.com/user/MUENCHENdeVIDEOS	https://www.wikidata.org/wiki/Q1726	</v>
      <v xml:space="preserve">http://creativecommons.org/licenses/by-sa/3.0/			</v>
    </spb>
    <spb s="0">
      <v xml:space="preserve">Wikipedia	</v>
      <v xml:space="preserve">CC-BY-SA	</v>
      <v xml:space="preserve">http://en.wikipedia.org/wiki/Munich	</v>
      <v xml:space="preserve">http://creativecommons.org/licenses/by-sa/3.0/	</v>
    </spb>
    <spb s="0">
      <v xml:space="preserve">Wikipedia	Wikipedia	</v>
      <v xml:space="preserve">CC-BY-SA	CC-BY-SA	</v>
      <v xml:space="preserve">http://en.wikipedia.org/wiki/Munich	https://en.wikipedia.org/wiki/Munich	</v>
      <v xml:space="preserve">http://creativecommons.org/licenses/by-sa/3.0/	http://creativecommons.org/licenses/by-sa/3.0/	</v>
    </spb>
    <spb s="0">
      <v xml:space="preserve">Wikipedia	Wikidata	</v>
      <v xml:space="preserve">CC-BY-SA		</v>
      <v xml:space="preserve">http://en.wikipedia.org/wiki/Munich	https://www.wikidata.org/wiki/Q1726	</v>
      <v xml:space="preserve">http://creativecommons.org/licenses/by-sa/3.0/		</v>
    </spb>
    <spb s="0">
      <v xml:space="preserve">Wikipedia	Youtube	Wikidata	Wikipedia	</v>
      <v xml:space="preserve">CC-BY-SA			CC-BY-SA	</v>
      <v xml:space="preserve">http://en.wikipedia.org/wiki/Munich	https://www.youtube.com/user/MUENCHENdeVIDEOS	https://www.wikidata.org/wiki/Q1726	https://en.wikipedia.org/wiki/Munich	</v>
      <v xml:space="preserve">http://creativecommons.org/licenses/by-sa/3.0/			http://creativecommons.org/licenses/by-sa/3.0/	</v>
    </spb>
    <spb s="0">
      <v xml:space="preserve">Wikipedia	Youtube	Wikidata	Wikipedia	Weathertrends360	</v>
      <v xml:space="preserve">CC-BY-SA			CC-BY-SA		</v>
      <v xml:space="preserve">http://en.wikipedia.org/wiki/Munich	https://www.youtube.com/user/MUENCHENdeVIDEOS	https://www.wikidata.org/wiki/Q1726	https://en.wikipedia.org/wiki/Munich	https://www.weathertrends360.com/	</v>
      <v xml:space="preserve">http://creativecommons.org/licenses/by-sa/3.0/			http://creativecommons.org/licenses/by-sa/3.0/		</v>
    </spb>
    <spb s="1">
      <v>61</v>
      <v>62</v>
      <v>63</v>
      <v>64</v>
      <v>63</v>
      <v>63</v>
      <v>62</v>
      <v>63</v>
      <v>65</v>
      <v>66</v>
      <v>67</v>
    </spb>
    <spb s="7">
      <v>square km</v>
      <v>2017</v>
    </spb>
    <spb s="0">
      <v xml:space="preserve">Wikipedia	</v>
      <v xml:space="preserve">CC-BY-SA	</v>
      <v xml:space="preserve">http://en.wikipedia.org/wiki/Rome	</v>
      <v xml:space="preserve">http://creativecommons.org/licenses/by-sa/3.0/	</v>
    </spb>
    <spb s="0">
      <v xml:space="preserve">Wikipedia	Wikidata	Twitter	</v>
      <v xml:space="preserve">CC-BY-SA			</v>
      <v xml:space="preserve">http://en.wikipedia.org/wiki/Rome	https://www.wikidata.org/wiki/Q220	https://twitter.com/RomeMusica	</v>
      <v xml:space="preserve">http://creativecommons.org/licenses/by-sa/3.0/			</v>
    </spb>
    <spb s="0">
      <v xml:space="preserve">Wikipedia	Wikipedia	Wikidata	Wikipedia	</v>
      <v xml:space="preserve">CC-BY-SA	CC-BY-SA		CC-BY-SA	</v>
      <v xml:space="preserve">http://en.wikipedia.org/wiki/Rome	http://fr.wikipedia.org/wiki/Rome	https://www.wikidata.org/wiki/Q220	https://en.wikipedia.org/wiki/Rome	</v>
      <v xml:space="preserve">http://creativecommons.org/licenses/by-sa/3.0/	http://creativecommons.org/licenses/by-sa/3.0/		http://creativecommons.org/licenses/by-sa/3.0/	</v>
    </spb>
    <spb s="0">
      <v xml:space="preserve">Wikipedia	Wikidata	</v>
      <v xml:space="preserve">CC-BY-SA		</v>
      <v xml:space="preserve">http://en.wikipedia.org/wiki/Rome	https://www.wikidata.org/wiki/Q220	</v>
      <v xml:space="preserve">http://creativecommons.org/licenses/by-sa/3.0/		</v>
    </spb>
    <spb s="0">
      <v xml:space="preserve">Wikipedia	Wikidata	Wikipedia	</v>
      <v xml:space="preserve">CC-BY-SA		CC-BY-SA	</v>
      <v xml:space="preserve">http://en.wikipedia.org/wiki/Rome	https://www.wikidata.org/wiki/Q220	https://en.wikipedia.org/wiki/Rome	</v>
      <v xml:space="preserve">http://creativecommons.org/licenses/by-sa/3.0/		http://creativecommons.org/licenses/by-sa/3.0/	</v>
    </spb>
    <spb s="1">
      <v>70</v>
      <v>71</v>
      <v>70</v>
      <v>72</v>
      <v>70</v>
      <v>70</v>
      <v>71</v>
      <v>70</v>
      <v>73</v>
      <v>74</v>
      <v>70</v>
    </spb>
    <spb s="7">
      <v>square km</v>
      <v>2018</v>
    </spb>
  </spbData>
</supportingPropertyBags>
</file>

<file path=xl/richData/rdsupportingpropertybagstructure.xml><?xml version="1.0" encoding="utf-8"?>
<spbStructures xmlns="http://schemas.microsoft.com/office/spreadsheetml/2017/richdata2" count="9">
  <s>
    <k n="SourceText" t="s"/>
    <k n="LicenseText" t="s"/>
    <k n="SourceAddress" t="s"/>
    <k n="LicenseAddress" t="s"/>
  </s>
  <s>
    <k n="Area" t="spb"/>
    <k n="Name" t="spb"/>
    <k n="Latitude" t="spb"/>
    <k n="Leader(s)" t="spb"/>
    <k n="Longitude" t="spb"/>
    <k n="Population" t="spb"/>
    <k n="UniqueName" t="spb"/>
    <k n="Description" t="spb"/>
    <k n="Time zone(s)" t="spb"/>
    <k n="Country/region" t="spb"/>
    <k n="Admin Division 1 (State/province/other)" t="spb"/>
  </s>
  <s>
    <k n="^Order" t="spba"/>
  </s>
  <s>
    <k n="ShowInDotNotation" t="b"/>
    <k n="ShowInAutoComplete" t="b"/>
  </s>
  <s>
    <k n="ShowInCardView" t="b"/>
    <k n="ShowInDotNotation" t="b"/>
    <k n="ShowInAutoComplete" t="b"/>
  </s>
  <s>
    <k n="Image" t="spb"/>
    <k n="UniqueName" t="spb"/>
    <k n="VDPID/VSID" t="spb"/>
    <k n="Description" t="spb"/>
    <k n="DataProviderExternalLink" t="spb"/>
    <k n="DataProviderExternalLinkLogo" t="spb"/>
  </s>
  <s>
    <k n="Area" t="i"/>
    <k n="Name" t="i"/>
    <k n="Image" t="i"/>
    <k n="Latitude" t="i"/>
    <k n="Longitude" t="i"/>
    <k n="Population" t="i"/>
    <k n="Description" t="i"/>
    <k n="_DisplayString" t="i"/>
    <k n="%EntityServiceId" t="i"/>
    <k n="%EntitySubDomainId" t="i"/>
  </s>
  <s>
    <k n="Area" t="s"/>
    <k n="Population" t="s"/>
  </s>
  <s>
    <k n="Area" t="spb"/>
    <k n="Name" t="spb"/>
    <k n="Latitude" t="spb"/>
    <k n="Leader(s)" t="spb"/>
    <k n="Longitude" t="spb"/>
    <k n="Population" t="spb"/>
    <k n="UniqueName" t="spb"/>
    <k n="Description" t="spb"/>
    <k n="Time zone(s)" t="spb"/>
    <k n="Country/region" t="spb"/>
    <k n="Admin Division 1 (State/province/other)" t="spb"/>
    <k n="Admin Division 2 (County/district/other)" t="spb"/>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4">
    <x:dxf>
      <x:numFmt numFmtId="4" formatCode="#,##0.00"/>
    </x:dxf>
    <x:dxf>
      <x:numFmt numFmtId="164" formatCode="0.0000"/>
    </x:dxf>
    <x:dxf>
      <x:numFmt numFmtId="3" formatCode="#,##0"/>
    </x:dxf>
    <x:dxf>
      <x:numFmt numFmtId="2" formatCode="0.00"/>
    </x:dxf>
  </dxfs>
  <richProperties>
    <rPr n="IsTitleField" t="b"/>
    <rPr n="IsHeroField" t="b"/>
    <rPr n="RequiresInlineAttribution" t="b"/>
    <rPr n="ShouldShowInCell" t="b"/>
  </richProperties>
  <richStyles>
    <rSty dxfid="0"/>
    <rSty>
      <rpv i="0">1</rpv>
    </rSty>
    <rSty>
      <rpv i="1">1</rpv>
    </rSty>
    <rSty dxfid="1"/>
    <rSty dxfid="2"/>
    <rSty>
      <rpv i="2">1</rpv>
    </rSty>
    <rSty>
      <rpv i="3">1</rpv>
    </rSty>
    <rSty dxfid="3"/>
  </richStyles>
</richStyleSheet>
</file>

<file path=xl/theme/theme1.xml><?xml version="1.0" encoding="utf-8"?>
<a:theme xmlns:a="http://schemas.openxmlformats.org/drawingml/2006/main" name="Motiv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155616-7B74-4A11-9ABF-B4EA59F8C772}">
  <dimension ref="A1:F10"/>
  <sheetViews>
    <sheetView tabSelected="1" zoomScale="159" zoomScaleNormal="159" workbookViewId="0">
      <selection activeCell="F9" sqref="F9"/>
    </sheetView>
  </sheetViews>
  <sheetFormatPr defaultRowHeight="14.5" x14ac:dyDescent="0.35"/>
  <cols>
    <col min="1" max="1" width="17.36328125" bestFit="1" customWidth="1"/>
    <col min="3" max="3" width="14.26953125" bestFit="1" customWidth="1"/>
    <col min="4" max="4" width="14.81640625" bestFit="1" customWidth="1"/>
    <col min="5" max="5" width="13" bestFit="1" customWidth="1"/>
    <col min="6" max="6" width="22.81640625" bestFit="1" customWidth="1"/>
  </cols>
  <sheetData>
    <row r="1" spans="1:6" x14ac:dyDescent="0.35">
      <c r="A1" t="s">
        <v>0</v>
      </c>
      <c r="B1" t="s">
        <v>1</v>
      </c>
      <c r="C1" t="s">
        <v>2</v>
      </c>
      <c r="D1" t="s">
        <v>3</v>
      </c>
      <c r="E1" t="s">
        <v>4</v>
      </c>
      <c r="F1" t="s">
        <v>5</v>
      </c>
    </row>
    <row r="2" spans="1:6" x14ac:dyDescent="0.35">
      <c r="A2" t="e" vm="1">
        <v>#VALUE!</v>
      </c>
      <c r="B2" s="1">
        <f t="shared" ref="B2:B10" si="0">_FV(A2,"Area")</f>
        <v>230.19</v>
      </c>
      <c r="C2" s="2">
        <f t="shared" ref="C2:C10" si="1">_FV(A2,"Latitude")</f>
        <v>49.2</v>
      </c>
      <c r="D2" s="2">
        <f t="shared" ref="D2:D10" si="2">_FV(A2,"Longitude")</f>
        <v>16.617000000000001</v>
      </c>
      <c r="E2" s="3">
        <f t="shared" ref="E2:E10" si="3">_FV(A2,"Population")</f>
        <v>406878</v>
      </c>
      <c r="F2" t="str">
        <f t="shared" ref="F2:F10" si="4">_FV(A2,"Leader(s)",TRUE)</f>
        <v>Markéta Vaňková (Mayor)</v>
      </c>
    </row>
    <row r="3" spans="1:6" x14ac:dyDescent="0.35">
      <c r="A3" t="e" vm="2">
        <v>#VALUE!</v>
      </c>
      <c r="B3" s="1">
        <f t="shared" si="0"/>
        <v>55.56</v>
      </c>
      <c r="C3" s="2">
        <f t="shared" si="1"/>
        <v>48.974719999999998</v>
      </c>
      <c r="D3" s="2">
        <f t="shared" si="2"/>
        <v>14.47472</v>
      </c>
      <c r="E3" s="3">
        <f t="shared" si="3"/>
        <v>94014</v>
      </c>
      <c r="F3" t="str">
        <f t="shared" si="4"/>
        <v>Jiří Svoboda (Mayor)</v>
      </c>
    </row>
    <row r="4" spans="1:6" x14ac:dyDescent="0.35">
      <c r="A4" t="e" vm="3">
        <v>#VALUE!</v>
      </c>
      <c r="B4" s="1">
        <f t="shared" si="0"/>
        <v>78.849999999999994</v>
      </c>
      <c r="C4" s="2">
        <f t="shared" si="1"/>
        <v>49.400280000000002</v>
      </c>
      <c r="D4" s="2">
        <f t="shared" si="2"/>
        <v>15.59056</v>
      </c>
      <c r="E4" s="3">
        <f t="shared" si="3"/>
        <v>50845</v>
      </c>
      <c r="F4" t="str">
        <f t="shared" si="4"/>
        <v>Karolína Koubová (Mayor)</v>
      </c>
    </row>
    <row r="5" spans="1:6" x14ac:dyDescent="0.35">
      <c r="A5" t="e" vm="4">
        <v>#VALUE!</v>
      </c>
      <c r="B5" s="1">
        <f t="shared" si="0"/>
        <v>59.1</v>
      </c>
      <c r="C5" s="2">
        <f t="shared" si="1"/>
        <v>50.232999999999997</v>
      </c>
      <c r="D5" s="2">
        <f t="shared" si="2"/>
        <v>12.867000000000001</v>
      </c>
      <c r="E5" s="3">
        <f t="shared" si="3"/>
        <v>48501</v>
      </c>
      <c r="F5" t="str">
        <f t="shared" si="4"/>
        <v>Andrea Pfeffer Ferklová (Mayor)</v>
      </c>
    </row>
    <row r="6" spans="1:6" x14ac:dyDescent="0.35">
      <c r="A6" t="e" vm="5">
        <v>#VALUE!</v>
      </c>
      <c r="B6" s="1">
        <f t="shared" si="0"/>
        <v>214</v>
      </c>
      <c r="C6" s="2">
        <f t="shared" si="1"/>
        <v>49.835560000000001</v>
      </c>
      <c r="D6" s="2">
        <f t="shared" si="2"/>
        <v>18.2925</v>
      </c>
      <c r="E6" s="3">
        <f t="shared" si="3"/>
        <v>289128</v>
      </c>
      <c r="F6" t="str">
        <f t="shared" si="4"/>
        <v>Tomáš Macura (Mayor)</v>
      </c>
    </row>
    <row r="7" spans="1:6" x14ac:dyDescent="0.35">
      <c r="A7" t="e" vm="6">
        <v>#VALUE!</v>
      </c>
      <c r="B7" s="1">
        <f t="shared" si="0"/>
        <v>93.95</v>
      </c>
      <c r="C7" s="2">
        <f t="shared" si="1"/>
        <v>50.658329999999999</v>
      </c>
      <c r="D7" s="2">
        <f t="shared" si="2"/>
        <v>14.04167</v>
      </c>
      <c r="E7" s="3">
        <f t="shared" si="3"/>
        <v>92952</v>
      </c>
      <c r="F7" t="str">
        <f t="shared" si="4"/>
        <v>Petr Nedvědický (Mayor)</v>
      </c>
    </row>
    <row r="8" spans="1:6" x14ac:dyDescent="0.35">
      <c r="A8" t="e" vm="7">
        <v>#VALUE!</v>
      </c>
      <c r="B8" s="1">
        <f t="shared" si="0"/>
        <v>1213.3679898826499</v>
      </c>
      <c r="C8" s="2">
        <f t="shared" si="1"/>
        <v>40.661000000000001</v>
      </c>
      <c r="D8" s="2">
        <f t="shared" si="2"/>
        <v>-73.944000000000003</v>
      </c>
      <c r="E8" s="3">
        <f t="shared" si="3"/>
        <v>8537673</v>
      </c>
      <c r="F8" t="str">
        <f t="shared" si="4"/>
        <v>Bill de Blasio (Mayor)</v>
      </c>
    </row>
    <row r="9" spans="1:6" x14ac:dyDescent="0.35">
      <c r="A9" t="e" vm="8">
        <v>#VALUE!</v>
      </c>
      <c r="B9" s="1">
        <f t="shared" si="0"/>
        <v>310.43</v>
      </c>
      <c r="C9" s="2">
        <f t="shared" si="1"/>
        <v>48.133000000000003</v>
      </c>
      <c r="D9" s="2">
        <f t="shared" si="2"/>
        <v>11.567</v>
      </c>
      <c r="E9" s="3">
        <f t="shared" si="3"/>
        <v>1456039</v>
      </c>
      <c r="F9" t="str">
        <f t="shared" si="4"/>
        <v>Dieter Reiter (Mayor)</v>
      </c>
    </row>
    <row r="10" spans="1:6" x14ac:dyDescent="0.35">
      <c r="A10" t="e" vm="9">
        <v>#VALUE!</v>
      </c>
      <c r="B10" s="1">
        <f t="shared" si="0"/>
        <v>1285.4110991597599</v>
      </c>
      <c r="C10" s="2">
        <f t="shared" si="1"/>
        <v>41.883000000000003</v>
      </c>
      <c r="D10" s="2">
        <f t="shared" si="2"/>
        <v>12.5</v>
      </c>
      <c r="E10" s="3">
        <f t="shared" si="3"/>
        <v>2872800</v>
      </c>
      <c r="F10" t="str">
        <f t="shared" si="4"/>
        <v>Virginia Raggi (Mayor)</v>
      </c>
    </row>
  </sheetData>
  <sortState xmlns:xlrd2="http://schemas.microsoft.com/office/spreadsheetml/2017/richdata2" ref="A2:A7">
    <sortCondition ref="A2"/>
  </sortState>
  <pageMargins left="0.7" right="0.7" top="0.78740157499999996" bottom="0.78740157499999996"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Listy</vt:lpstr>
      </vt:variant>
      <vt:variant>
        <vt:i4>1</vt:i4>
      </vt:variant>
    </vt:vector>
  </HeadingPairs>
  <TitlesOfParts>
    <vt:vector size="1" baseType="lpstr">
      <vt:lpstr>List1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Karel Klatovsky</dc:creator>
  <cp:lastModifiedBy>Miroslav Kotlas</cp:lastModifiedBy>
  <dcterms:created xsi:type="dcterms:W3CDTF">2019-12-03T19:54:47Z</dcterms:created>
  <dcterms:modified xsi:type="dcterms:W3CDTF">2019-12-16T20:03:29Z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f42aa342-8706-4288-bd11-ebb85995028c_Enabled">
    <vt:lpwstr>true</vt:lpwstr>
  </property>
  <property fmtid="{D5CDD505-2E9C-101B-9397-08002B2CF9AE}" pid="3" name="MSIP_Label_f42aa342-8706-4288-bd11-ebb85995028c_SetDate">
    <vt:lpwstr>2019-12-03T19:54:48Z</vt:lpwstr>
  </property>
  <property fmtid="{D5CDD505-2E9C-101B-9397-08002B2CF9AE}" pid="4" name="MSIP_Label_f42aa342-8706-4288-bd11-ebb85995028c_Method">
    <vt:lpwstr>Standard</vt:lpwstr>
  </property>
  <property fmtid="{D5CDD505-2E9C-101B-9397-08002B2CF9AE}" pid="5" name="MSIP_Label_f42aa342-8706-4288-bd11-ebb85995028c_Name">
    <vt:lpwstr>Internal</vt:lpwstr>
  </property>
  <property fmtid="{D5CDD505-2E9C-101B-9397-08002B2CF9AE}" pid="6" name="MSIP_Label_f42aa342-8706-4288-bd11-ebb85995028c_SiteId">
    <vt:lpwstr>72f988bf-86f1-41af-91ab-2d7cd011db47</vt:lpwstr>
  </property>
  <property fmtid="{D5CDD505-2E9C-101B-9397-08002B2CF9AE}" pid="7" name="MSIP_Label_f42aa342-8706-4288-bd11-ebb85995028c_ActionId">
    <vt:lpwstr>f1cbb621-f346-4adb-93db-000058091449</vt:lpwstr>
  </property>
  <property fmtid="{D5CDD505-2E9C-101B-9397-08002B2CF9AE}" pid="8" name="MSIP_Label_f42aa342-8706-4288-bd11-ebb85995028c_ContentBits">
    <vt:lpwstr>0</vt:lpwstr>
  </property>
</Properties>
</file>