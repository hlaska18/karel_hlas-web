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02"/>
  <workbookPr filterPrivacy="1"/>
  <xr:revisionPtr revIDLastSave="666" documentId="11_AD4D80C4656A4B0A437B18BF7A5C4E5A5BDEDD9E" xr6:coauthVersionLast="46" xr6:coauthVersionMax="46" xr10:uidLastSave="{23452540-E755-4B86-A604-48242A446861}"/>
  <bookViews>
    <workbookView xWindow="-120" yWindow="-120" windowWidth="29040" windowHeight="15990" xr2:uid="{00000000-000D-0000-FFFF-FFFF00000000}"/>
  </bookViews>
  <sheets>
    <sheet name="Uživatelé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F5" i="1" l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I503" i="1" l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sharedStrings.xml><?xml version="1.0" encoding="utf-8"?>
<sst xmlns="http://schemas.openxmlformats.org/spreadsheetml/2006/main" count="1510" uniqueCount="1122">
  <si>
    <t>Uživatelé</t>
  </si>
  <si>
    <t>Adresa</t>
  </si>
  <si>
    <t>Jméno</t>
  </si>
  <si>
    <t>Příjmení</t>
  </si>
  <si>
    <t>Jméno bez mezer</t>
  </si>
  <si>
    <t>Příjmení bez mezer</t>
  </si>
  <si>
    <t>Ulice</t>
  </si>
  <si>
    <t>Město</t>
  </si>
  <si>
    <t>email</t>
  </si>
  <si>
    <t>heslo</t>
  </si>
  <si>
    <t>U Sokolovny 1181,Železnice</t>
  </si>
  <si>
    <t xml:space="preserve">     Karel</t>
  </si>
  <si>
    <t>Albert</t>
  </si>
  <si>
    <t>Stožická 92,Vodnany</t>
  </si>
  <si>
    <t>Martina</t>
  </si>
  <si>
    <t xml:space="preserve">             Capkova</t>
  </si>
  <si>
    <t>U divadla 1031,Polepy</t>
  </si>
  <si>
    <t>Vladimir</t>
  </si>
  <si>
    <t>Svoboda</t>
  </si>
  <si>
    <t>Žižkova 522,Bedihošt</t>
  </si>
  <si>
    <t xml:space="preserve">          Lumir</t>
  </si>
  <si>
    <t>Holy</t>
  </si>
  <si>
    <t>Louny 1995,Louny 1</t>
  </si>
  <si>
    <t>Kvetoslava</t>
  </si>
  <si>
    <t>Mikesova</t>
  </si>
  <si>
    <t>Suhrady 1971,Darkovice</t>
  </si>
  <si>
    <t>Jan</t>
  </si>
  <si>
    <t>Glogar</t>
  </si>
  <si>
    <t>Vrchlického 1153,Znojmo 2</t>
  </si>
  <si>
    <t xml:space="preserve">         Jana</t>
  </si>
  <si>
    <t>Zelnickova</t>
  </si>
  <si>
    <t>Školní 713,Kaplice 1</t>
  </si>
  <si>
    <t>Michal</t>
  </si>
  <si>
    <t>Kopecek</t>
  </si>
  <si>
    <t>Prokopská 1442,Nová Ves pod Pleší</t>
  </si>
  <si>
    <t>Karolina</t>
  </si>
  <si>
    <t>Haklova</t>
  </si>
  <si>
    <t>Žižkova 1118,Kralice na Hané</t>
  </si>
  <si>
    <t>Miroslava</t>
  </si>
  <si>
    <t xml:space="preserve">        Steflova</t>
  </si>
  <si>
    <t>Palackého 502,Rajnochovice</t>
  </si>
  <si>
    <t>Ivana</t>
  </si>
  <si>
    <t>Reichova</t>
  </si>
  <si>
    <t>Dašická 1048,Holice v Cechách</t>
  </si>
  <si>
    <t>Marie</t>
  </si>
  <si>
    <t>Vymazalova</t>
  </si>
  <si>
    <t>Rvačov 1251,Roudnice nad Labem</t>
  </si>
  <si>
    <t>Tomas</t>
  </si>
  <si>
    <t>Kubes</t>
  </si>
  <si>
    <t>Petrželka 1864,Kromeríž 1</t>
  </si>
  <si>
    <t>Kupska</t>
  </si>
  <si>
    <t>Ke hřišti 859,Zásmuky</t>
  </si>
  <si>
    <t>Ludmila</t>
  </si>
  <si>
    <t>Norkova</t>
  </si>
  <si>
    <t>Vostelčická 396,Vysoké Mýto</t>
  </si>
  <si>
    <t xml:space="preserve">        Miroslav</t>
  </si>
  <si>
    <t>Stanek</t>
  </si>
  <si>
    <t>Sídliště Za Chlumem 1599,Bílina 4</t>
  </si>
  <si>
    <t>Jedlicka</t>
  </si>
  <si>
    <t>Strojírenská 1481,Velká Losenice</t>
  </si>
  <si>
    <t>Natalie</t>
  </si>
  <si>
    <t>Fiserova</t>
  </si>
  <si>
    <t>Zahradní 569,Budišov u Trebíce</t>
  </si>
  <si>
    <t>Dagmar</t>
  </si>
  <si>
    <t>Karlova</t>
  </si>
  <si>
    <t>Jiráskova 57,Brodce nad Jizerou</t>
  </si>
  <si>
    <t>Karel</t>
  </si>
  <si>
    <t>Sliva</t>
  </si>
  <si>
    <t>Dašická 1815,Holice v Cechách</t>
  </si>
  <si>
    <t>Iva</t>
  </si>
  <si>
    <t>Skopkova</t>
  </si>
  <si>
    <t>Osvobození 80,Ostrava 10</t>
  </si>
  <si>
    <t>Jakub</t>
  </si>
  <si>
    <t>Dusek</t>
  </si>
  <si>
    <t>Příční 1448,Loucka u Valašského Mezirící</t>
  </si>
  <si>
    <t>Daniel</t>
  </si>
  <si>
    <t>Janus</t>
  </si>
  <si>
    <t>Nová 691,Velký Borek</t>
  </si>
  <si>
    <t>Jitka</t>
  </si>
  <si>
    <t>Smejkalova</t>
  </si>
  <si>
    <t>Větrník 1393,Studnice u Náchoda</t>
  </si>
  <si>
    <t>Miroslav</t>
  </si>
  <si>
    <t>Uvira</t>
  </si>
  <si>
    <t>Jabloňová 497,Luže</t>
  </si>
  <si>
    <t>Katerina</t>
  </si>
  <si>
    <t>Skalska</t>
  </si>
  <si>
    <t>Žerotínova 1547,Havlíckuv Brod 1</t>
  </si>
  <si>
    <t>Martin</t>
  </si>
  <si>
    <t>Simunek</t>
  </si>
  <si>
    <t>Ehrmannova 1496,Zastávka u Brna</t>
  </si>
  <si>
    <t>Pavel</t>
  </si>
  <si>
    <t>Chlubna</t>
  </si>
  <si>
    <t>Teperova 190,Modrice</t>
  </si>
  <si>
    <t>Vera</t>
  </si>
  <si>
    <t>Kubistova</t>
  </si>
  <si>
    <t>Lomená 278,Uhercice u Znojma</t>
  </si>
  <si>
    <t>Hovorka</t>
  </si>
  <si>
    <t>Smetanova 291,Prelouc</t>
  </si>
  <si>
    <t>Lukas</t>
  </si>
  <si>
    <t>Vesely</t>
  </si>
  <si>
    <t>Strmá 494,Baška</t>
  </si>
  <si>
    <t>Klingerova</t>
  </si>
  <si>
    <t>Ehrmannova 643,Veverská Bítýška</t>
  </si>
  <si>
    <t>Frantisek</t>
  </si>
  <si>
    <t>Tuma</t>
  </si>
  <si>
    <t>Větrná 1384,Babice u Uherského Hradište</t>
  </si>
  <si>
    <t>Alena</t>
  </si>
  <si>
    <t>Vasickova</t>
  </si>
  <si>
    <t>Tyršova 580,Horaždovice</t>
  </si>
  <si>
    <t>Sarka</t>
  </si>
  <si>
    <t>Prihodova</t>
  </si>
  <si>
    <t>Strmá 1852,Celadná</t>
  </si>
  <si>
    <t>Oldrich</t>
  </si>
  <si>
    <t>Sedlak</t>
  </si>
  <si>
    <t>Tyršova 719,Trebon</t>
  </si>
  <si>
    <t>Jiri</t>
  </si>
  <si>
    <t>?Dvorak</t>
  </si>
  <si>
    <t>Nové Město 1256,Dušejov</t>
  </si>
  <si>
    <t>Radomila</t>
  </si>
  <si>
    <t>Dankova</t>
  </si>
  <si>
    <t>Družstevní práce 620,Lhota pod Libcany</t>
  </si>
  <si>
    <t>Bradacova</t>
  </si>
  <si>
    <t>K Pazderně 351,Vlašim</t>
  </si>
  <si>
    <t>Skaloud</t>
  </si>
  <si>
    <t>Americká 1703,Kdyne</t>
  </si>
  <si>
    <t>Veronika</t>
  </si>
  <si>
    <t>Mullerova</t>
  </si>
  <si>
    <t>Nové Město 1745,Ledec nad Sázavou</t>
  </si>
  <si>
    <t>Filip</t>
  </si>
  <si>
    <t>Lukasek</t>
  </si>
  <si>
    <t>V Trávníkách 929,Rádlo</t>
  </si>
  <si>
    <t>Vladislav</t>
  </si>
  <si>
    <t>Bartos</t>
  </si>
  <si>
    <t>Třebčínská 927,Cholina</t>
  </si>
  <si>
    <t>Dominika</t>
  </si>
  <si>
    <t>Platenikova</t>
  </si>
  <si>
    <t>Osvobození 515,Bohumín 3</t>
  </si>
  <si>
    <t>Ondrej</t>
  </si>
  <si>
    <t>Miksovsky</t>
  </si>
  <si>
    <t>Českého odboje 992,Dobruška</t>
  </si>
  <si>
    <t>Iveta</t>
  </si>
  <si>
    <t>Janickova</t>
  </si>
  <si>
    <t>Příční 1282,Valašská Bystrice</t>
  </si>
  <si>
    <t>Kubatova</t>
  </si>
  <si>
    <t>Úzká 1118,Brezí u Mikulova</t>
  </si>
  <si>
    <t>Horvath</t>
  </si>
  <si>
    <t>Na Výsluní 1524,Dolní Brežany</t>
  </si>
  <si>
    <t>Hana</t>
  </si>
  <si>
    <t>Chudobova</t>
  </si>
  <si>
    <t>Střední 965,Kaznejov</t>
  </si>
  <si>
    <t>Josef</t>
  </si>
  <si>
    <t>Drahos</t>
  </si>
  <si>
    <t>Osnická 1885,Praha 411</t>
  </si>
  <si>
    <t>Neoral</t>
  </si>
  <si>
    <t>Dobrovského 1381,Kostelec nad Cernými Lesy</t>
  </si>
  <si>
    <t>Kubica</t>
  </si>
  <si>
    <t>Jana Šťastného 813,Kamenice</t>
  </si>
  <si>
    <t>Stepan</t>
  </si>
  <si>
    <t>Hluchnik</t>
  </si>
  <si>
    <t>Jiráskova 969,Nasavrky</t>
  </si>
  <si>
    <t>Svedova</t>
  </si>
  <si>
    <t>Na Výsluní 515,Velké Prílepy</t>
  </si>
  <si>
    <t>Jaroslava</t>
  </si>
  <si>
    <t>Cerna</t>
  </si>
  <si>
    <t>Nová 1483,Strakonice 1</t>
  </si>
  <si>
    <t>Novak</t>
  </si>
  <si>
    <t>Nové Město 1128,Ledec nad Sázavou</t>
  </si>
  <si>
    <t>Zdenka</t>
  </si>
  <si>
    <t>Soukupova</t>
  </si>
  <si>
    <t>Jabloňová 187,Tremošnice</t>
  </si>
  <si>
    <t>Horacek</t>
  </si>
  <si>
    <t>Pod Strání 1439,Hostinné</t>
  </si>
  <si>
    <t>David</t>
  </si>
  <si>
    <t>Tesarik</t>
  </si>
  <si>
    <t>Ehrmannova 1661,Domašov u Brna</t>
  </si>
  <si>
    <t>Plachy</t>
  </si>
  <si>
    <t>Hamerská 395,Rozsochatec</t>
  </si>
  <si>
    <t>Helesic</t>
  </si>
  <si>
    <t>Družstevní 139,Brandýsek</t>
  </si>
  <si>
    <t>Pivovarská 1809,Lovosice 2</t>
  </si>
  <si>
    <t>Jaroslav</t>
  </si>
  <si>
    <t xml:space="preserve">    Matejcek</t>
  </si>
  <si>
    <t>Palackého 693,Holešov</t>
  </si>
  <si>
    <t>Kamil</t>
  </si>
  <si>
    <t>Janecek</t>
  </si>
  <si>
    <t>Palackého 537,Holešov</t>
  </si>
  <si>
    <t>Prusova</t>
  </si>
  <si>
    <t>Bedřicha Smetany 1206,Jalubí</t>
  </si>
  <si>
    <t>Radek</t>
  </si>
  <si>
    <t>Jelinek</t>
  </si>
  <si>
    <t>K Lukárně 1529,Zajecov</t>
  </si>
  <si>
    <t>Jana</t>
  </si>
  <si>
    <t>Moravcova</t>
  </si>
  <si>
    <t>Partyzánská 31,Nesovice</t>
  </si>
  <si>
    <t>Komarek</t>
  </si>
  <si>
    <t>Školní 1013,Kaplice 1</t>
  </si>
  <si>
    <t>Miklikova</t>
  </si>
  <si>
    <t>Spojovací 703,Knežice u Trebíce</t>
  </si>
  <si>
    <t>Stursa</t>
  </si>
  <si>
    <t>U Křížku 1246,Pencín u Liberce</t>
  </si>
  <si>
    <t>Trcka</t>
  </si>
  <si>
    <t>V Trávníkách 1081,Tanvald</t>
  </si>
  <si>
    <t>?Novak</t>
  </si>
  <si>
    <t>Na Výsluní 202,Stríbro</t>
  </si>
  <si>
    <t>Regina</t>
  </si>
  <si>
    <t>Martinkova</t>
  </si>
  <si>
    <t>Matiegkova 615,Porící nad Sázavou</t>
  </si>
  <si>
    <t>Rudolf</t>
  </si>
  <si>
    <t>Polach</t>
  </si>
  <si>
    <t>Dělnická 1705,Zdechov</t>
  </si>
  <si>
    <t>Palek</t>
  </si>
  <si>
    <t>Na Výsluní 1896,Vrané nad Vltavou</t>
  </si>
  <si>
    <t xml:space="preserve">      Petr</t>
  </si>
  <si>
    <t>?Kucera</t>
  </si>
  <si>
    <t>Jiřího z Poděbrad 562,Jiretín pod Jedlovou</t>
  </si>
  <si>
    <t>Kratochvil</t>
  </si>
  <si>
    <t>Bártova 1719,Svitávka</t>
  </si>
  <si>
    <t>Ruzickova</t>
  </si>
  <si>
    <t>Dobrovského 1514,Moravský Krumlov</t>
  </si>
  <si>
    <t>Marek</t>
  </si>
  <si>
    <t>Volf</t>
  </si>
  <si>
    <t>Hrubínova 1533,Vrchotovy Janovice</t>
  </si>
  <si>
    <t>Cahlikova</t>
  </si>
  <si>
    <t>Vrchlického 1487,Predklášterí</t>
  </si>
  <si>
    <t>Nada</t>
  </si>
  <si>
    <t>Mudrova</t>
  </si>
  <si>
    <t>Václava Haňky 1168,Šlapanice u Brna</t>
  </si>
  <si>
    <t>Pazourek</t>
  </si>
  <si>
    <t>Dašická 292,Choltice</t>
  </si>
  <si>
    <t>Silvie</t>
  </si>
  <si>
    <t>Polakova</t>
  </si>
  <si>
    <t>Hamerská 1137,Ždírec nad Doubravou</t>
  </si>
  <si>
    <t>Kurkova</t>
  </si>
  <si>
    <t>Palackého 1892,Kalište</t>
  </si>
  <si>
    <t>Zdenek</t>
  </si>
  <si>
    <t>Vala</t>
  </si>
  <si>
    <t>Jeronýmova 895,Polná</t>
  </si>
  <si>
    <t>Macku</t>
  </si>
  <si>
    <t>Mírová 276,Strážek</t>
  </si>
  <si>
    <t>Tuckova</t>
  </si>
  <si>
    <t>Bavorovská 607,Vlachovo Brezí</t>
  </si>
  <si>
    <t>Antonin</t>
  </si>
  <si>
    <t>Kopal</t>
  </si>
  <si>
    <t>Prokopská 1831,Necín</t>
  </si>
  <si>
    <t>Roman</t>
  </si>
  <si>
    <t>Ostadal</t>
  </si>
  <si>
    <t>Vostelčická 1179,Vysoké Mýto</t>
  </si>
  <si>
    <t>Oto</t>
  </si>
  <si>
    <t>Bartosek</t>
  </si>
  <si>
    <t>Alšova 1339,Cimelice</t>
  </si>
  <si>
    <t>Miloslav</t>
  </si>
  <si>
    <t>Huml</t>
  </si>
  <si>
    <t>Dobrovského 1092,Kostelec nad Cernými Lesy</t>
  </si>
  <si>
    <t>Roznovska</t>
  </si>
  <si>
    <t>Luční 1153,Rovecné</t>
  </si>
  <si>
    <t>Eva</t>
  </si>
  <si>
    <t>Plackova</t>
  </si>
  <si>
    <t>Masarykova 1713,Breznice</t>
  </si>
  <si>
    <t>Fridrich</t>
  </si>
  <si>
    <t>Hálkova 723,Ceská Lípa 2</t>
  </si>
  <si>
    <t>Bohuslav</t>
  </si>
  <si>
    <t>Hrbac</t>
  </si>
  <si>
    <t>Bezručova 1422,Šternberk 1</t>
  </si>
  <si>
    <t>Koznar</t>
  </si>
  <si>
    <t>Školní 1619,Kaplice 1</t>
  </si>
  <si>
    <t>Robert</t>
  </si>
  <si>
    <t>Horak</t>
  </si>
  <si>
    <t>Osnická 856,Praha 111</t>
  </si>
  <si>
    <t>Kockova</t>
  </si>
  <si>
    <t>Dašická 1054,Holice v Cechách</t>
  </si>
  <si>
    <t>Anna</t>
  </si>
  <si>
    <t>Lerchova</t>
  </si>
  <si>
    <t>Družstevní 1150,Hostim</t>
  </si>
  <si>
    <t>Bartosova</t>
  </si>
  <si>
    <t>Československé legií 842,Kojetín</t>
  </si>
  <si>
    <t>Dohnal</t>
  </si>
  <si>
    <t>Alšova 596,Herálec u Havlíckova Brodu</t>
  </si>
  <si>
    <t>Gabriel</t>
  </si>
  <si>
    <t>Opltova 239,Hora Svaté Kateriny</t>
  </si>
  <si>
    <t>Gorol</t>
  </si>
  <si>
    <t>Hřbitovní 1471,Luhacovice</t>
  </si>
  <si>
    <t>Zaneta</t>
  </si>
  <si>
    <t>Mayerova</t>
  </si>
  <si>
    <t>Luční 63,Velké Mezirící</t>
  </si>
  <si>
    <t>Vondrasek</t>
  </si>
  <si>
    <t>Jabloňová 554,Chroustovice</t>
  </si>
  <si>
    <t>Jindriska</t>
  </si>
  <si>
    <t>Rapantova</t>
  </si>
  <si>
    <t>Kovářská 900,Tisá</t>
  </si>
  <si>
    <t>Petr</t>
  </si>
  <si>
    <t>Konecny</t>
  </si>
  <si>
    <t>Žižkova 826,Nezamyslice u Prostejova</t>
  </si>
  <si>
    <t>Mlýnská 541,Trešt</t>
  </si>
  <si>
    <t>Jirina</t>
  </si>
  <si>
    <t>Cernohousova</t>
  </si>
  <si>
    <t>Za Školou 1143,Brno 21</t>
  </si>
  <si>
    <t>Margit</t>
  </si>
  <si>
    <t>Salova</t>
  </si>
  <si>
    <t>Masarykova 15,Zábreh</t>
  </si>
  <si>
    <t>Stoudek</t>
  </si>
  <si>
    <t>Družstevní 1260,Zbiroh</t>
  </si>
  <si>
    <t>Pod Strání 236,Hostinné</t>
  </si>
  <si>
    <t>Sergii</t>
  </si>
  <si>
    <t>Silhan</t>
  </si>
  <si>
    <t>Klimenta Čermáka 1026,Cáslav</t>
  </si>
  <si>
    <t>Lenka</t>
  </si>
  <si>
    <t>Dolezalova</t>
  </si>
  <si>
    <t>Příkopy 1635,Ústí nad Orlicí 1</t>
  </si>
  <si>
    <t>Conka</t>
  </si>
  <si>
    <t>Zahradní 1384,Cechtín</t>
  </si>
  <si>
    <t>Stanislav</t>
  </si>
  <si>
    <t>Slavicek</t>
  </si>
  <si>
    <t>Za učilištěm 734,Dobrá</t>
  </si>
  <si>
    <t>Lucie</t>
  </si>
  <si>
    <t>Kratochvilova</t>
  </si>
  <si>
    <t>Švermova 1852,Liberec 6</t>
  </si>
  <si>
    <t>Kubasek</t>
  </si>
  <si>
    <t>Klimenta Čermáka 100,Cáslav</t>
  </si>
  <si>
    <t>Krejci</t>
  </si>
  <si>
    <t>V Zahradách 1552,Prerov 2</t>
  </si>
  <si>
    <t>?Svoboda</t>
  </si>
  <si>
    <t>Sokolská 1923,Dukovany-elektrárna</t>
  </si>
  <si>
    <t>Helena</t>
  </si>
  <si>
    <t>Borovickova</t>
  </si>
  <si>
    <t>Truhlářská 788,Pacov</t>
  </si>
  <si>
    <t>Tylova 918,Ostrov nad Ohrí</t>
  </si>
  <si>
    <t>Milan</t>
  </si>
  <si>
    <t>Hegr</t>
  </si>
  <si>
    <t>Na Kopečku 241,Nechanice</t>
  </si>
  <si>
    <t>Zdarsky</t>
  </si>
  <si>
    <t>Barákova 619,Škvorec</t>
  </si>
  <si>
    <t>Klaudie</t>
  </si>
  <si>
    <t>Kureckova</t>
  </si>
  <si>
    <t>Pivovarská 1660,Velemín</t>
  </si>
  <si>
    <t>?Prochazka</t>
  </si>
  <si>
    <t>Dobrovského 897,Kostelec nad Cernými Lesy</t>
  </si>
  <si>
    <t>Zuzana</t>
  </si>
  <si>
    <t>Nedvedova</t>
  </si>
  <si>
    <t>Větrník 1302,Cervený Kostelec</t>
  </si>
  <si>
    <t>Dvořákova 1248,Ondrejov</t>
  </si>
  <si>
    <t>Lubos</t>
  </si>
  <si>
    <t>Matal</t>
  </si>
  <si>
    <t>Bratří Čapků 82,Bohuslavice nad Metují</t>
  </si>
  <si>
    <t>Pavlina</t>
  </si>
  <si>
    <t>Hlavata</t>
  </si>
  <si>
    <t>Čechova 533,Miretice u Hlinska</t>
  </si>
  <si>
    <t>Bohumil</t>
  </si>
  <si>
    <t>Sopik</t>
  </si>
  <si>
    <t>Erbenova 376,Opocno</t>
  </si>
  <si>
    <t>Jaros</t>
  </si>
  <si>
    <t>Bezručova 1383,Hanušovice</t>
  </si>
  <si>
    <t>Petrik</t>
  </si>
  <si>
    <t>Luční 1595,Rovecné</t>
  </si>
  <si>
    <t>?Cerny</t>
  </si>
  <si>
    <t>Větrná 1116,Slavkov u Brna</t>
  </si>
  <si>
    <t>Kubelka</t>
  </si>
  <si>
    <t>Osvobození 357,Ostrava 28</t>
  </si>
  <si>
    <t>Irina</t>
  </si>
  <si>
    <t>Jirku</t>
  </si>
  <si>
    <t>Nerudova 484,Ceské Budejovice 6</t>
  </si>
  <si>
    <t>Straka</t>
  </si>
  <si>
    <t>Hřbitovní 1424,Štítná nad Vlárí</t>
  </si>
  <si>
    <t>Daria</t>
  </si>
  <si>
    <t>Jiráskova 1566,Slatinany</t>
  </si>
  <si>
    <t>Danuse</t>
  </si>
  <si>
    <t>Hajkova</t>
  </si>
  <si>
    <t>Nerudova 659,Ceské Budejovice 7</t>
  </si>
  <si>
    <t>Sucha</t>
  </si>
  <si>
    <t>Masarykova 1998,Zábreh</t>
  </si>
  <si>
    <t>Gertruda</t>
  </si>
  <si>
    <t>Lukesova</t>
  </si>
  <si>
    <t>Lomená 1597,Tavíkovice</t>
  </si>
  <si>
    <t>Tvrda</t>
  </si>
  <si>
    <t>Příční 275,Choryne</t>
  </si>
  <si>
    <t>Jarkovsky</t>
  </si>
  <si>
    <t>Jana Nerudy 1465,Turnov 1</t>
  </si>
  <si>
    <t>Jičín 1813,Jicín 1</t>
  </si>
  <si>
    <t>Rozek</t>
  </si>
  <si>
    <t>Bedřicha Smetany 90,Zlechov</t>
  </si>
  <si>
    <t>Vacek</t>
  </si>
  <si>
    <t>Budovatelská 698,Blatná</t>
  </si>
  <si>
    <t>Vychodil</t>
  </si>
  <si>
    <t>Kovářská 240,Telnice</t>
  </si>
  <si>
    <t>Strejcek</t>
  </si>
  <si>
    <t>Strojírenská 1213,Fryšava pod Žákovou horou</t>
  </si>
  <si>
    <t>Levy</t>
  </si>
  <si>
    <t>Louny 590,Louny 1</t>
  </si>
  <si>
    <t>Tomecek</t>
  </si>
  <si>
    <t>Mírová 873,Bobrová</t>
  </si>
  <si>
    <t>Vaneckova</t>
  </si>
  <si>
    <t>Štefanikova 1500,Olešnice na Morave</t>
  </si>
  <si>
    <t>Landova</t>
  </si>
  <si>
    <t>Kovářská 1630,Decín 5</t>
  </si>
  <si>
    <t>Canda</t>
  </si>
  <si>
    <t>Tylova 545,Karlovy Vary 1</t>
  </si>
  <si>
    <t>Nguyen</t>
  </si>
  <si>
    <t>Havlíčkova 1918,Kamenné Žehrovice</t>
  </si>
  <si>
    <t>Martan</t>
  </si>
  <si>
    <t>U medvídků 376,Višnová u Príbrame</t>
  </si>
  <si>
    <t>Radova</t>
  </si>
  <si>
    <t>Za učilištěm 1325,Nový Jicín 1</t>
  </si>
  <si>
    <t>Beran</t>
  </si>
  <si>
    <t>Za humny 1414,Milevsko 1</t>
  </si>
  <si>
    <t>Burianova</t>
  </si>
  <si>
    <t>U Sokolovny 1636,Libun</t>
  </si>
  <si>
    <t>Drahomira</t>
  </si>
  <si>
    <t>Hasmanova</t>
  </si>
  <si>
    <t>Pivovarská 1709,Lochovice</t>
  </si>
  <si>
    <t>Kadlec</t>
  </si>
  <si>
    <t>U Křížku 157,Frýdlant v Cechách</t>
  </si>
  <si>
    <t>Kral</t>
  </si>
  <si>
    <t>Střední 268,Manetín</t>
  </si>
  <si>
    <t>Michaela</t>
  </si>
  <si>
    <t>Korinkova</t>
  </si>
  <si>
    <t>Vrchlického 1663,Tišnov 1</t>
  </si>
  <si>
    <t>Truhlářská 439,Pacov</t>
  </si>
  <si>
    <t>Dobromila</t>
  </si>
  <si>
    <t>Smolikova</t>
  </si>
  <si>
    <t>Bavorovská 1775,Stachy</t>
  </si>
  <si>
    <t>Svec</t>
  </si>
  <si>
    <t>Hálkova 726,Prysk</t>
  </si>
  <si>
    <t>Stastny</t>
  </si>
  <si>
    <t>Partyzánská 21,Chvalkovice v Cechách</t>
  </si>
  <si>
    <t>Berousek</t>
  </si>
  <si>
    <t>Lidická 484,Litomyšl</t>
  </si>
  <si>
    <t>Ruzena</t>
  </si>
  <si>
    <t>Jeronýmova 638,Polná</t>
  </si>
  <si>
    <t>Marta</t>
  </si>
  <si>
    <t>Kolajova</t>
  </si>
  <si>
    <t>Na Průhonu 644,Plzen 18</t>
  </si>
  <si>
    <t>Vavrikova</t>
  </si>
  <si>
    <t>Bartákova 215,Slezské Rudoltice</t>
  </si>
  <si>
    <t>Brzobohata</t>
  </si>
  <si>
    <t>Na Průhonu 244,Plzen 27</t>
  </si>
  <si>
    <t>Nová 611,Mšeno u Melníka</t>
  </si>
  <si>
    <t>Kozisek</t>
  </si>
  <si>
    <t>Mírová 1523,Bobrová</t>
  </si>
  <si>
    <t>Richtrova</t>
  </si>
  <si>
    <t>Pivovarská 130,Trebívlice</t>
  </si>
  <si>
    <t>Milena</t>
  </si>
  <si>
    <t>Balazova</t>
  </si>
  <si>
    <t>Barákova 823,Mratín</t>
  </si>
  <si>
    <t>Ludek</t>
  </si>
  <si>
    <t>Kulhanek</t>
  </si>
  <si>
    <t>Dukelská 1781,Odry</t>
  </si>
  <si>
    <t>Stejskalova</t>
  </si>
  <si>
    <t>Matiegkova 1228,Divišov</t>
  </si>
  <si>
    <t>Vlastimil</t>
  </si>
  <si>
    <t>Fiser</t>
  </si>
  <si>
    <t>Hřbitovní 747,Štítná nad Vlárí</t>
  </si>
  <si>
    <t>Horakova</t>
  </si>
  <si>
    <t>Družstevní 1868,Horní Nemcí</t>
  </si>
  <si>
    <t>Prazak</t>
  </si>
  <si>
    <t>V Aleji 465,Skalná</t>
  </si>
  <si>
    <t>Pisarikova</t>
  </si>
  <si>
    <t>Bratří Čapků 1178,Bílá Tremešná</t>
  </si>
  <si>
    <t>Roubicek</t>
  </si>
  <si>
    <t>Barákova 1043,Káraný</t>
  </si>
  <si>
    <t>Libor</t>
  </si>
  <si>
    <t>Rusek</t>
  </si>
  <si>
    <t>Truhlářská 1944,Pacov</t>
  </si>
  <si>
    <t>Belohlavek</t>
  </si>
  <si>
    <t>Tylova 690,Jaromerice u Jevícka</t>
  </si>
  <si>
    <t>Placek</t>
  </si>
  <si>
    <t>Lidická 1784,Litomyšl</t>
  </si>
  <si>
    <t>Patka</t>
  </si>
  <si>
    <t>Opltova 1752,Cítoliby</t>
  </si>
  <si>
    <t>Kucera</t>
  </si>
  <si>
    <t>Strmá 1315,Ceský Tešín 1</t>
  </si>
  <si>
    <t>Matej</t>
  </si>
  <si>
    <t>Krenek</t>
  </si>
  <si>
    <t>Za humny 1826,Milevsko 1</t>
  </si>
  <si>
    <t>Turek</t>
  </si>
  <si>
    <t>Jičín 824,Jicín 1</t>
  </si>
  <si>
    <t>Gavendova</t>
  </si>
  <si>
    <t>Havlíčkova 710,Kladno 3</t>
  </si>
  <si>
    <t>Machalkova</t>
  </si>
  <si>
    <t>Družstevní 730,Volduchy</t>
  </si>
  <si>
    <t>Lidická 938,Provodín</t>
  </si>
  <si>
    <t>Dvorak</t>
  </si>
  <si>
    <t>Za učilištěm 1699,Bystrice nad Olší</t>
  </si>
  <si>
    <t>Romana</t>
  </si>
  <si>
    <t>Prochazkova</t>
  </si>
  <si>
    <t>Osnická 1325,Praha 511</t>
  </si>
  <si>
    <t>Popovic</t>
  </si>
  <si>
    <t>Na Průhonu 657,Mnichovo Hradište</t>
  </si>
  <si>
    <t>Na Výsluní 806,Planá u Mariánských Lázní</t>
  </si>
  <si>
    <t>Mlýnská 1417,Štíty</t>
  </si>
  <si>
    <t>Linhart</t>
  </si>
  <si>
    <t>Partyzánská 450,Jaromer 1</t>
  </si>
  <si>
    <t>Adam</t>
  </si>
  <si>
    <t>Havlíčkova 396,Most 1</t>
  </si>
  <si>
    <t>Cardova</t>
  </si>
  <si>
    <t>Jana Šťastného 1374,Mníšek pod Brdy</t>
  </si>
  <si>
    <t>Kocourkova</t>
  </si>
  <si>
    <t>Strojírenská 360,Svratka</t>
  </si>
  <si>
    <t>Novotna</t>
  </si>
  <si>
    <t>Poštovní 672,Skalsko</t>
  </si>
  <si>
    <t>V Trávníkách 1784,Tanvald</t>
  </si>
  <si>
    <t>Emil</t>
  </si>
  <si>
    <t>Knizek</t>
  </si>
  <si>
    <t>Žižkova 1286,Klenovice na Hané</t>
  </si>
  <si>
    <t>Kubala</t>
  </si>
  <si>
    <t>Nezvalova 287,Jankov</t>
  </si>
  <si>
    <t>Masarykova 30,Humpolec</t>
  </si>
  <si>
    <t>Petra</t>
  </si>
  <si>
    <t>Capkova</t>
  </si>
  <si>
    <t>Na Výsluní 150,Jistebnice</t>
  </si>
  <si>
    <t>Ivan</t>
  </si>
  <si>
    <t>Broz</t>
  </si>
  <si>
    <t>Havlíčkova 1420,Petipsy</t>
  </si>
  <si>
    <t>Sylvie</t>
  </si>
  <si>
    <t>Medkova</t>
  </si>
  <si>
    <t>Družstevní 674,Zbiroh</t>
  </si>
  <si>
    <t>Spevacek</t>
  </si>
  <si>
    <t>U divadla 612,Hrobce</t>
  </si>
  <si>
    <t>K Pazderně 32,Vlašim</t>
  </si>
  <si>
    <t>Kamenikova</t>
  </si>
  <si>
    <t>Americká 1270,Kdyne</t>
  </si>
  <si>
    <t>Slavik</t>
  </si>
  <si>
    <t>Sokolovská 28,Bruntál 1</t>
  </si>
  <si>
    <t>Eliska</t>
  </si>
  <si>
    <t>Frantova</t>
  </si>
  <si>
    <t>Sokolská 259,Bobnice</t>
  </si>
  <si>
    <t>Hartmann</t>
  </si>
  <si>
    <t>Družstevní 496,Brasy 1</t>
  </si>
  <si>
    <t>Christian</t>
  </si>
  <si>
    <t>Sigut</t>
  </si>
  <si>
    <t>Školní 1590,Brasy 1</t>
  </si>
  <si>
    <t>Vanda</t>
  </si>
  <si>
    <t>Větrník 158,Studnice u Náchoda</t>
  </si>
  <si>
    <t>Simkova</t>
  </si>
  <si>
    <t>Alšova 1847,Vráž u Písku</t>
  </si>
  <si>
    <t>Bohata</t>
  </si>
  <si>
    <t>V Zahradách 1125,Prerov 2</t>
  </si>
  <si>
    <t>Hrbackova</t>
  </si>
  <si>
    <t>Fibichova 985,Libechov</t>
  </si>
  <si>
    <t>Moravec</t>
  </si>
  <si>
    <t>Větrná 279,Slavkov u Brna</t>
  </si>
  <si>
    <t>Kopecna</t>
  </si>
  <si>
    <t>Stožická 1764,Vodnany</t>
  </si>
  <si>
    <t>Irena</t>
  </si>
  <si>
    <t>Honsova</t>
  </si>
  <si>
    <t>Köhlerova 1849,Vlkoš u Kyjova</t>
  </si>
  <si>
    <t>Vlasta</t>
  </si>
  <si>
    <t>Hamplova</t>
  </si>
  <si>
    <t>Kovářská 1531,Ústí nad Labem 2</t>
  </si>
  <si>
    <t>Čechova 997,Miretice u Hlinska</t>
  </si>
  <si>
    <t>Ladislav</t>
  </si>
  <si>
    <t>Tomes</t>
  </si>
  <si>
    <t>V Zahradách 1589,Brodek u Prerova</t>
  </si>
  <si>
    <t>Sedova</t>
  </si>
  <si>
    <t>Pivovarská 607,Toužim</t>
  </si>
  <si>
    <t>Skrivanek</t>
  </si>
  <si>
    <t>Sokolská 1373,Lesonice</t>
  </si>
  <si>
    <t>Grunt</t>
  </si>
  <si>
    <t>Havlíčkova 85,Kacice</t>
  </si>
  <si>
    <t>Janouskova</t>
  </si>
  <si>
    <t>Za Školou 677,Brno 42</t>
  </si>
  <si>
    <t>Kabelac</t>
  </si>
  <si>
    <t>Lesní 258,Jablonné nad Orlicí</t>
  </si>
  <si>
    <t>Kyselova</t>
  </si>
  <si>
    <t>Vostelčická 992,Svitavy 2</t>
  </si>
  <si>
    <t>Trnecka</t>
  </si>
  <si>
    <t>Dvořákova 406,Rícany u Prahy</t>
  </si>
  <si>
    <t>Anezka</t>
  </si>
  <si>
    <t>Zivna</t>
  </si>
  <si>
    <t>U Parku 1681,Borek</t>
  </si>
  <si>
    <t>Nerudova 693,Dobrá Voda u Ceských Budejovic</t>
  </si>
  <si>
    <t>Klas</t>
  </si>
  <si>
    <t>V Zahradách 686,Vítkov 1</t>
  </si>
  <si>
    <t>Puncocharova</t>
  </si>
  <si>
    <t>Školní 1912,Nebahovy</t>
  </si>
  <si>
    <t>Zouhar</t>
  </si>
  <si>
    <t>Nová 1872,Mšeno u Melníka</t>
  </si>
  <si>
    <t>Karasova</t>
  </si>
  <si>
    <t>Lomená 1251,Uhercice u Znojma</t>
  </si>
  <si>
    <t>Monika</t>
  </si>
  <si>
    <t>Krizova</t>
  </si>
  <si>
    <t>Kovářská 1718,Decín 5</t>
  </si>
  <si>
    <t>Schaferova</t>
  </si>
  <si>
    <t>Družstevní 1364,Rokycany 1</t>
  </si>
  <si>
    <t>Ferko</t>
  </si>
  <si>
    <t>Spodní Pustá 346,Hustopece u Brna</t>
  </si>
  <si>
    <t>Boleslav</t>
  </si>
  <si>
    <t>Faltus</t>
  </si>
  <si>
    <t>Masarykova 448,Breznice</t>
  </si>
  <si>
    <t>Sladek</t>
  </si>
  <si>
    <t>Hálkova 1533,Volfartice</t>
  </si>
  <si>
    <t>Juricova</t>
  </si>
  <si>
    <t>Pod Floriánem 514,Pelhrimov</t>
  </si>
  <si>
    <t>Polní 1480,Bezverov</t>
  </si>
  <si>
    <t>Kristyna</t>
  </si>
  <si>
    <t>Vostrelova</t>
  </si>
  <si>
    <t>Vrchlického 857,Tišnov 3</t>
  </si>
  <si>
    <t>Kolarova</t>
  </si>
  <si>
    <t>U Trati 1523,Sušice 1</t>
  </si>
  <si>
    <t>Slezak</t>
  </si>
  <si>
    <t>Na Loučkách 1458,Adamov 1</t>
  </si>
  <si>
    <t>Sibor</t>
  </si>
  <si>
    <t>Bartákova 1114,Dvorce u Bruntálu</t>
  </si>
  <si>
    <t>Kalenda</t>
  </si>
  <si>
    <t>U divadla 1831,Teplice 1</t>
  </si>
  <si>
    <t>Kutalek</t>
  </si>
  <si>
    <t>Lidická 1330,Litomyšl</t>
  </si>
  <si>
    <t>Viktorie</t>
  </si>
  <si>
    <t>Sykorova</t>
  </si>
  <si>
    <t>Pod Strání 1958,Dvur Králové nad Labem</t>
  </si>
  <si>
    <t>Tylova 83,Hroznetín</t>
  </si>
  <si>
    <t>Hartl</t>
  </si>
  <si>
    <t>Jiráskova 237,Slatinany</t>
  </si>
  <si>
    <t>Kula</t>
  </si>
  <si>
    <t>Budovatelská 1033,Bavorov</t>
  </si>
  <si>
    <t>Mestan</t>
  </si>
  <si>
    <t>Luční 1400,Rovecné</t>
  </si>
  <si>
    <t>Sadovsky</t>
  </si>
  <si>
    <t>Jindřichova 126,Jindrichuv Hradec 1</t>
  </si>
  <si>
    <t>Nikola</t>
  </si>
  <si>
    <t>Pinkasova</t>
  </si>
  <si>
    <t>Sluneční 1790,Velké Heraltice</t>
  </si>
  <si>
    <t>Frohlichova</t>
  </si>
  <si>
    <t>Luční 1528,Bystrice nad Pernštejnem</t>
  </si>
  <si>
    <t>Radil</t>
  </si>
  <si>
    <t>Tyršova 1887,Strmilov</t>
  </si>
  <si>
    <t>Patrik</t>
  </si>
  <si>
    <t>Kapoun</t>
  </si>
  <si>
    <t>Dvořákova 155,Rícany u Prahy</t>
  </si>
  <si>
    <t>Kocourek</t>
  </si>
  <si>
    <t>Bratří Čapků 567,Náchod 1</t>
  </si>
  <si>
    <t>Jurecka</t>
  </si>
  <si>
    <t>Žižkova 1319,Kralice na Hané</t>
  </si>
  <si>
    <t>Horackova</t>
  </si>
  <si>
    <t>V Zahradách 413,Brodek u Prerova</t>
  </si>
  <si>
    <t>Holusa</t>
  </si>
  <si>
    <t>K Pazderně 191,Smilkov</t>
  </si>
  <si>
    <t>Krajcovic</t>
  </si>
  <si>
    <t>Příkopy 1504,Lanškroun</t>
  </si>
  <si>
    <t>Andrle</t>
  </si>
  <si>
    <t>Střední 1201,Dolní Belá</t>
  </si>
  <si>
    <t>Jičín 709,Jicín 1</t>
  </si>
  <si>
    <t>Vymazal</t>
  </si>
  <si>
    <t>Na Loučkách 721,Jedovnice</t>
  </si>
  <si>
    <t>Souralova</t>
  </si>
  <si>
    <t>Dobrovského 1207,Trebíc 1</t>
  </si>
  <si>
    <t>Skoda</t>
  </si>
  <si>
    <t>Jana Šťastného 43,Kamenice</t>
  </si>
  <si>
    <t>Kovářská 1954,Ústí nad Labem 2</t>
  </si>
  <si>
    <t>Doubravova</t>
  </si>
  <si>
    <t>Jana Nerudy 765,Nová Paka</t>
  </si>
  <si>
    <t>Marcel</t>
  </si>
  <si>
    <t>U divadla 867,Teplice 1</t>
  </si>
  <si>
    <t>Rysavy</t>
  </si>
  <si>
    <t>Ke hřišti 581,Týnec nad Labem</t>
  </si>
  <si>
    <t>Dedic</t>
  </si>
  <si>
    <t>Nové Město 735,Dušejov</t>
  </si>
  <si>
    <t>Na Průhonu 769,Mnichovo Hradište</t>
  </si>
  <si>
    <t>?Horak</t>
  </si>
  <si>
    <t>Družstevní 317,Holoubkov</t>
  </si>
  <si>
    <t>Havlíčkova 1722,Dobríš</t>
  </si>
  <si>
    <t>Halfarova</t>
  </si>
  <si>
    <t>U Parku 1519,Borek</t>
  </si>
  <si>
    <t>Gorolova</t>
  </si>
  <si>
    <t>Střední 883,Stod</t>
  </si>
  <si>
    <t>Petras</t>
  </si>
  <si>
    <t>Dobrovského 1582,Trebíc 1</t>
  </si>
  <si>
    <t>Chytilova</t>
  </si>
  <si>
    <t>Bratří Čapků 32,Nové Mesto nad Metují 1</t>
  </si>
  <si>
    <t>Poul</t>
  </si>
  <si>
    <t>Na Kopci 497,Sezemice</t>
  </si>
  <si>
    <t>Liska</t>
  </si>
  <si>
    <t>Jiřího z Poděbrad 413,Vernerice</t>
  </si>
  <si>
    <t>Luksova</t>
  </si>
  <si>
    <t>Havlíčkova 624,Výsluní</t>
  </si>
  <si>
    <t>Rak</t>
  </si>
  <si>
    <t>Příkopy 400,Ústí nad Orlicí 1</t>
  </si>
  <si>
    <t>Benesova</t>
  </si>
  <si>
    <t>Nové Město 1,Ledec nad Sázavou</t>
  </si>
  <si>
    <t>Radka</t>
  </si>
  <si>
    <t>Jabloňová 119,Luže</t>
  </si>
  <si>
    <t>Miluse</t>
  </si>
  <si>
    <t>Masterova</t>
  </si>
  <si>
    <t>Suhrady 735,Ludgerovice</t>
  </si>
  <si>
    <t>Prochazka</t>
  </si>
  <si>
    <t>Nová 1626,Mšeno u Melníka</t>
  </si>
  <si>
    <t>Vladimira</t>
  </si>
  <si>
    <t>Pospisilova</t>
  </si>
  <si>
    <t>U Sokolovny 1763,Nový Bydžov</t>
  </si>
  <si>
    <t>Vlastislav</t>
  </si>
  <si>
    <t>Repa</t>
  </si>
  <si>
    <t>Hálkova 1508,Stráž pod Ralskem</t>
  </si>
  <si>
    <t>Krausova</t>
  </si>
  <si>
    <t>U Křížku 990,Frýdlant v Cechách</t>
  </si>
  <si>
    <t>Machacek</t>
  </si>
  <si>
    <t>Za humny 250,Milevsko 1</t>
  </si>
  <si>
    <t>Kejvalova</t>
  </si>
  <si>
    <t>U Křížku 328,Jablonec nad Nisou 4</t>
  </si>
  <si>
    <t>Hrdinova</t>
  </si>
  <si>
    <t>Vrchlického 326,Znojmo 2</t>
  </si>
  <si>
    <t>Klimenta Čermáka 1759,Cáslav</t>
  </si>
  <si>
    <t>Marcela</t>
  </si>
  <si>
    <t>Novakova</t>
  </si>
  <si>
    <t>Jana Šťastného 1221,Hvozdnice</t>
  </si>
  <si>
    <t>Zednikova</t>
  </si>
  <si>
    <t>U Křížku 1657,Frýdlant v Cechách</t>
  </si>
  <si>
    <t>Ema</t>
  </si>
  <si>
    <t>Stiborova</t>
  </si>
  <si>
    <t>Dobrovského 1723,Kostelec nad Cernými Lesy</t>
  </si>
  <si>
    <t>Provaznikova</t>
  </si>
  <si>
    <t>Družstevní 399,Unhošt</t>
  </si>
  <si>
    <t>Bozena</t>
  </si>
  <si>
    <t>Forejtova</t>
  </si>
  <si>
    <t>Petrželka 966,Zdounky</t>
  </si>
  <si>
    <t>Valerie</t>
  </si>
  <si>
    <t>Hrabetova</t>
  </si>
  <si>
    <t>V Zahradách 1987,Domaželice u Prerova</t>
  </si>
  <si>
    <t>Maria</t>
  </si>
  <si>
    <t>Zetkova</t>
  </si>
  <si>
    <t>Palackého 1552,Kostelec u Holešova</t>
  </si>
  <si>
    <t>Renata</t>
  </si>
  <si>
    <t>Jindrichova</t>
  </si>
  <si>
    <t>Rvačov 1564,Roudnice nad Labem</t>
  </si>
  <si>
    <t>Zatloukal</t>
  </si>
  <si>
    <t>Pivovarská 1223,Lovosice 2</t>
  </si>
  <si>
    <t>Vodehnal</t>
  </si>
  <si>
    <t>Havlíčkova 565,Mšec</t>
  </si>
  <si>
    <t>Beneda</t>
  </si>
  <si>
    <t>Alšova 738,Šlapanov</t>
  </si>
  <si>
    <t>Havlíčkova 1558,Lubná u Rakovníka</t>
  </si>
  <si>
    <t>Andrea</t>
  </si>
  <si>
    <t>Navratilova</t>
  </si>
  <si>
    <t>Školní 1944,Malšice</t>
  </si>
  <si>
    <t>Charvat</t>
  </si>
  <si>
    <t>Stožická 1512,Vodnany</t>
  </si>
  <si>
    <t>Hejna</t>
  </si>
  <si>
    <t>Dělnická 1372,Hranice 4</t>
  </si>
  <si>
    <t>Zelena</t>
  </si>
  <si>
    <t>Štefanikova 1429,Boskovice</t>
  </si>
  <si>
    <t>Eliasova</t>
  </si>
  <si>
    <t>Václava Haňky 574,Dolní Kounice</t>
  </si>
  <si>
    <t>Žerotínova 132,Horice v Podkrkonoší</t>
  </si>
  <si>
    <t>Uhlir</t>
  </si>
  <si>
    <t>Jana Šťastného 1425,Pyšely</t>
  </si>
  <si>
    <t>Zavadil</t>
  </si>
  <si>
    <t>U Křížku 1007,Všelibice</t>
  </si>
  <si>
    <t>Pajer</t>
  </si>
  <si>
    <t>Kovářská 1657,Chlumec u Ústí nad Labem</t>
  </si>
  <si>
    <t>Vlastimila</t>
  </si>
  <si>
    <t>Karafiatova</t>
  </si>
  <si>
    <t>Bavorovská 1520,Vlachovo Brezí</t>
  </si>
  <si>
    <t>Domansky</t>
  </si>
  <si>
    <t>Hálkova 1976,Ceská Lípa 2</t>
  </si>
  <si>
    <t>Uchytilova</t>
  </si>
  <si>
    <t>Prokopská 807,Stará Hut u Dobríše</t>
  </si>
  <si>
    <t>Jolana</t>
  </si>
  <si>
    <t>Vladykova</t>
  </si>
  <si>
    <t>Československé legií 1319,Lipník nad Becvou</t>
  </si>
  <si>
    <t>Lahodova</t>
  </si>
  <si>
    <t>Družstevní práce 464,Chlumec nad Cidlinou</t>
  </si>
  <si>
    <t>Flidrova</t>
  </si>
  <si>
    <t>U divadla 1341,Straškov-Vodochody</t>
  </si>
  <si>
    <t>Havrdova</t>
  </si>
  <si>
    <t>Hálkova 1665,Mimon</t>
  </si>
  <si>
    <t>Vesela</t>
  </si>
  <si>
    <t>Dobrovského 1682,Jirice u Miroslavi</t>
  </si>
  <si>
    <t>Viktoriya</t>
  </si>
  <si>
    <t>Matejkova</t>
  </si>
  <si>
    <t>K Lukárně 567,Horovice</t>
  </si>
  <si>
    <t>Necas</t>
  </si>
  <si>
    <t>Pod Floriánem 734,Pelhrimov</t>
  </si>
  <si>
    <t>Jiráskova 442,Kopidlno</t>
  </si>
  <si>
    <t>Souckova</t>
  </si>
  <si>
    <t>U Parku 255,Dolní Bukovsko</t>
  </si>
  <si>
    <t>Danuska</t>
  </si>
  <si>
    <t>Taborska</t>
  </si>
  <si>
    <t>Jindřichova 1382,Majdalena</t>
  </si>
  <si>
    <t>Bratří Čapků 1899,Bílá Tremešná</t>
  </si>
  <si>
    <t>Kafkova</t>
  </si>
  <si>
    <t>Mlýnská 1667,Olšany u Šumperka</t>
  </si>
  <si>
    <t>Novotny</t>
  </si>
  <si>
    <t>Jiráskova 1119,Prepere</t>
  </si>
  <si>
    <t>Lastuvka</t>
  </si>
  <si>
    <t>Alšova 481,Cimelice</t>
  </si>
  <si>
    <t>Karla</t>
  </si>
  <si>
    <t>Oslejskova</t>
  </si>
  <si>
    <t>Větrník 1725,Hronov 1</t>
  </si>
  <si>
    <t>Dockal</t>
  </si>
  <si>
    <t>Hrubínova 287,Neveklov</t>
  </si>
  <si>
    <t>Marketa</t>
  </si>
  <si>
    <t>Hubkova</t>
  </si>
  <si>
    <t>Sokolská 894,Troubelice</t>
  </si>
  <si>
    <t>Olivova</t>
  </si>
  <si>
    <t>Velký průhon 1604,Knežice u Mestce Králové</t>
  </si>
  <si>
    <t>Jezek</t>
  </si>
  <si>
    <t>Bartákova 1769,Plumlov</t>
  </si>
  <si>
    <t>Skoupa</t>
  </si>
  <si>
    <t>Fibichova 256,Melník 1</t>
  </si>
  <si>
    <t>Mikula</t>
  </si>
  <si>
    <t>Luční 279,Velké Mezirící</t>
  </si>
  <si>
    <t>Koubkova</t>
  </si>
  <si>
    <t>U medvídků 1483,Kamýk nad Vltavou</t>
  </si>
  <si>
    <t>Hajek</t>
  </si>
  <si>
    <t>Strojírenská 1809,Ždár nad Sázavou 2</t>
  </si>
  <si>
    <t>Julie</t>
  </si>
  <si>
    <t>Majorova</t>
  </si>
  <si>
    <t>Havlíčkova 1443,Vejprty</t>
  </si>
  <si>
    <t>Hofman</t>
  </si>
  <si>
    <t>Bezručova 836,Šternberk 1</t>
  </si>
  <si>
    <t>Tylova 348,Svitavy 2</t>
  </si>
  <si>
    <t>Olah</t>
  </si>
  <si>
    <t>Bedřicha Smetany 1558,Boršice u Buchlovic</t>
  </si>
  <si>
    <t>Václava Haňky 1060,Dolní Kounice</t>
  </si>
  <si>
    <t>Simon</t>
  </si>
  <si>
    <t>Na Loučkách 271,Adamov 1</t>
  </si>
  <si>
    <t>Mitasova</t>
  </si>
  <si>
    <t>U Křížku 545,Sychrov</t>
  </si>
  <si>
    <t>Smutna</t>
  </si>
  <si>
    <t>Příkopy 1761,Záchlumí</t>
  </si>
  <si>
    <t>Zvonicek</t>
  </si>
  <si>
    <t>Na Výsluní 639,Bor u Tachova</t>
  </si>
  <si>
    <t>Forst</t>
  </si>
  <si>
    <t>Generála Jaroše 889,Osová Bítýška</t>
  </si>
  <si>
    <t>Vojtkova</t>
  </si>
  <si>
    <t>Klimenta Čermáka 201,Cáslav</t>
  </si>
  <si>
    <t>Dubinova</t>
  </si>
  <si>
    <t>Jiřího z Poděbrad 1862,Staré Krecany</t>
  </si>
  <si>
    <t>Meduna</t>
  </si>
  <si>
    <t>Bartákova 162,Plumlov</t>
  </si>
  <si>
    <t>Sramek</t>
  </si>
  <si>
    <t>Švermova 1167,Liberec 15</t>
  </si>
  <si>
    <t>Machova</t>
  </si>
  <si>
    <t>Alšova 680,Protivín</t>
  </si>
  <si>
    <t>Valenta</t>
  </si>
  <si>
    <t>Jižní 1024,Horice na Šumave</t>
  </si>
  <si>
    <t>Indrakova</t>
  </si>
  <si>
    <t>Vrchlického 1005,Tišnov 1</t>
  </si>
  <si>
    <t>Hostalkova</t>
  </si>
  <si>
    <t>Masarykova 516,Žatec 1</t>
  </si>
  <si>
    <t>Svab</t>
  </si>
  <si>
    <t>Barákova 1285,Odolena Voda</t>
  </si>
  <si>
    <t>Bockova</t>
  </si>
  <si>
    <t>Suhrady 1234,Opava 6</t>
  </si>
  <si>
    <t>Tichy</t>
  </si>
  <si>
    <t>U Sokolovny 853,Starý Bydžov</t>
  </si>
  <si>
    <t>Markova</t>
  </si>
  <si>
    <t>Nová 1651,Nebužely</t>
  </si>
  <si>
    <t>Marecek</t>
  </si>
  <si>
    <t>U divadla 813,Chodouny</t>
  </si>
  <si>
    <t>Vicherkova</t>
  </si>
  <si>
    <t>Družstevní 1100,Miroslav</t>
  </si>
  <si>
    <t>Nicole</t>
  </si>
  <si>
    <t>Svobodova</t>
  </si>
  <si>
    <t>Komenského 529,Telc</t>
  </si>
  <si>
    <t>Ilona</t>
  </si>
  <si>
    <t>Conkova</t>
  </si>
  <si>
    <t>Bedřicha Smetany 1366,Kutná Hora 1</t>
  </si>
  <si>
    <t>Matiegkova 1504,Týnec nad Sázavou</t>
  </si>
  <si>
    <t>Vincenc</t>
  </si>
  <si>
    <t>Glaser</t>
  </si>
  <si>
    <t>Za učilištěm 1056,Dobrá</t>
  </si>
  <si>
    <t>Pospichal</t>
  </si>
  <si>
    <t>Matiegkova 611,Krhanice</t>
  </si>
  <si>
    <t>Brejcha</t>
  </si>
  <si>
    <t>Dobrovského 427,Olbramovice u Moravského Krumlova</t>
  </si>
  <si>
    <t>Janina</t>
  </si>
  <si>
    <t>Dvorakova</t>
  </si>
  <si>
    <t>Sokolská 216,Unicov 1</t>
  </si>
  <si>
    <t>Kourilova</t>
  </si>
  <si>
    <t>Strojírenská 22,Nížkov</t>
  </si>
  <si>
    <t>Michael</t>
  </si>
  <si>
    <t>Zika</t>
  </si>
  <si>
    <t>Mírová 472,Bobrová</t>
  </si>
  <si>
    <t>Jaromir</t>
  </si>
  <si>
    <t>Hruby</t>
  </si>
  <si>
    <t>Pod Strání 1435,Hostinné</t>
  </si>
  <si>
    <t>Bolek</t>
  </si>
  <si>
    <t>Alšova 1620,Protivín</t>
  </si>
  <si>
    <t>Marie Kudeříkové 1580,Úpice</t>
  </si>
  <si>
    <t>Homolka</t>
  </si>
  <si>
    <t>Strojírenská 731,Ždár nad Sázavou 2</t>
  </si>
  <si>
    <t>Duskova</t>
  </si>
  <si>
    <t>Teperova 578,Želešice</t>
  </si>
  <si>
    <t>Krusinova</t>
  </si>
  <si>
    <t>Alšova 1908,Písek 1</t>
  </si>
  <si>
    <t>Ondruch</t>
  </si>
  <si>
    <t>Úzká 134,Dolní Dunajovice</t>
  </si>
  <si>
    <t>Ederova</t>
  </si>
  <si>
    <t>Na Kopečku 932,Stežery</t>
  </si>
  <si>
    <t>Silhankova</t>
  </si>
  <si>
    <t>Poštovní 1046,Skalsko</t>
  </si>
  <si>
    <t>Dusan</t>
  </si>
  <si>
    <t>Fabian</t>
  </si>
  <si>
    <t>Budovatelská 1027,Záborí u Blatné</t>
  </si>
  <si>
    <t>Jindrich</t>
  </si>
  <si>
    <t>Popelka</t>
  </si>
  <si>
    <t>Školní 1837,Rynárec</t>
  </si>
  <si>
    <t>Bednar</t>
  </si>
  <si>
    <t>Suhrady 936,Sudice</t>
  </si>
  <si>
    <t>Kalikova</t>
  </si>
  <si>
    <t>Mlýnské údolí 1426,Rudolfov</t>
  </si>
  <si>
    <t>Karnik</t>
  </si>
  <si>
    <t>Nová 1977,Chlumín</t>
  </si>
  <si>
    <t>Sabina</t>
  </si>
  <si>
    <t>Pazderova</t>
  </si>
  <si>
    <t>Sídliště Za Chlumem 576,Žalany</t>
  </si>
  <si>
    <t>Ivo</t>
  </si>
  <si>
    <t>Varga</t>
  </si>
  <si>
    <t>Školní 1093,Mirošov 1</t>
  </si>
  <si>
    <t>Janda</t>
  </si>
  <si>
    <t>Jindřichova 668,Stráž nad Nežárkou</t>
  </si>
  <si>
    <t>Evzenie</t>
  </si>
  <si>
    <t>Jechova</t>
  </si>
  <si>
    <t>U medvídků 1017,Kamýk nad Vltavou</t>
  </si>
  <si>
    <t>Pletichova</t>
  </si>
  <si>
    <t>Havlíčkova 526,Sedlcany</t>
  </si>
  <si>
    <t>Sikora</t>
  </si>
  <si>
    <t>Na Výsluní 1092,Stríbro</t>
  </si>
  <si>
    <t>Viktor</t>
  </si>
  <si>
    <t>Toman</t>
  </si>
  <si>
    <t>Sídliště Za Chlumem 73,Bílina 4</t>
  </si>
  <si>
    <t>Spojovací 827,Starec</t>
  </si>
  <si>
    <t>Andrlikova</t>
  </si>
  <si>
    <t>Družstevní práce 782,Trebechovice pod Orebem</t>
  </si>
  <si>
    <t>Suchy</t>
  </si>
  <si>
    <t>Jana Šťastného 798,Cisovice</t>
  </si>
  <si>
    <t>Lindner</t>
  </si>
  <si>
    <t>Školní 783,Klatovy 1</t>
  </si>
  <si>
    <t>Barbora</t>
  </si>
  <si>
    <t>Sejkorova</t>
  </si>
  <si>
    <t>Partyzánská 1728,Chvalkovice v Cechách</t>
  </si>
  <si>
    <t>Maixner</t>
  </si>
  <si>
    <t>Jičín 209,Jicín 1</t>
  </si>
  <si>
    <t>Klirova</t>
  </si>
  <si>
    <t>Absolonova 857,Mohelno</t>
  </si>
  <si>
    <t>Sestak</t>
  </si>
  <si>
    <t>Na Kopečku 804,Všestary</t>
  </si>
  <si>
    <t>Blazkova</t>
  </si>
  <si>
    <t>Tylova 1826,Jevícko</t>
  </si>
  <si>
    <t>Hanzlikova</t>
  </si>
  <si>
    <t>Jana Šťastného 812,Slapy nad Vltavou</t>
  </si>
  <si>
    <t>Stella</t>
  </si>
  <si>
    <t>Sadilkova</t>
  </si>
  <si>
    <t>Žižkova 810,Nemcice nad Hanou</t>
  </si>
  <si>
    <t>Americká 1821,Kolinec</t>
  </si>
  <si>
    <t>Aneta</t>
  </si>
  <si>
    <t>Simanova</t>
  </si>
  <si>
    <t>Školní 305,Benešov nad Cernou</t>
  </si>
  <si>
    <t>Hřbitovní 1782,Slavicín</t>
  </si>
  <si>
    <t>Kalivodova</t>
  </si>
  <si>
    <t>Dělnická 259,Potštát</t>
  </si>
  <si>
    <t>Emilie</t>
  </si>
  <si>
    <t>Rihackova</t>
  </si>
  <si>
    <t>Družstevní 1145,Oleksovice</t>
  </si>
  <si>
    <t>Sedivy</t>
  </si>
  <si>
    <t>Vrchlického 410,Tišnov 1</t>
  </si>
  <si>
    <t>Mikulenkova</t>
  </si>
  <si>
    <t>Polní 267,Nýrany</t>
  </si>
  <si>
    <t>Macoun</t>
  </si>
  <si>
    <t>Nezvalova 614,Benešov u Prahy</t>
  </si>
  <si>
    <t>Husar</t>
  </si>
  <si>
    <t>Stožická 57,Vodnany</t>
  </si>
  <si>
    <t>Havel</t>
  </si>
  <si>
    <t>Sokolovská 1459,Lomnice u Rýmarova</t>
  </si>
  <si>
    <t>Simona</t>
  </si>
  <si>
    <t>Vykopalova</t>
  </si>
  <si>
    <t>Bartákova 257,Plumlov</t>
  </si>
  <si>
    <t>Pospisil</t>
  </si>
  <si>
    <t>Luční 970,Vír</t>
  </si>
  <si>
    <t>Ales</t>
  </si>
  <si>
    <t>Mares</t>
  </si>
  <si>
    <t>Třebčická 548,Preštice</t>
  </si>
  <si>
    <t>Simonova</t>
  </si>
  <si>
    <t>Československé legií 1895,Želatovice</t>
  </si>
  <si>
    <t>Horejsi</t>
  </si>
  <si>
    <t>Vostelčická 1873,Svitavy 2</t>
  </si>
  <si>
    <t>Libuse</t>
  </si>
  <si>
    <t>Hanusova</t>
  </si>
  <si>
    <t>Bavorovská 543,Ckyne</t>
  </si>
  <si>
    <t>Hendrych</t>
  </si>
  <si>
    <t>Spojovací 1527,Okríšky</t>
  </si>
  <si>
    <t>Nosek</t>
  </si>
  <si>
    <t>Štefanikova 380,Olešnice na Morave</t>
  </si>
  <si>
    <t>Petera</t>
  </si>
  <si>
    <t>Střední 324,Žihle</t>
  </si>
  <si>
    <t>Richter</t>
  </si>
  <si>
    <t>Na Výsluní 1882,Cernošice</t>
  </si>
  <si>
    <t>Uhlik</t>
  </si>
  <si>
    <t>Za Školou 493,Velká Bíteš</t>
  </si>
  <si>
    <t>Kateryna</t>
  </si>
  <si>
    <t>Preckova</t>
  </si>
  <si>
    <t>Sídliště Za Chlumem 1378,Jirkov 1</t>
  </si>
  <si>
    <t>Kadlecova</t>
  </si>
  <si>
    <t>Velký průhon 808,Mestec Králové</t>
  </si>
  <si>
    <t>Zaveska</t>
  </si>
  <si>
    <t>Horní 896,Kolovec</t>
  </si>
  <si>
    <t>Kabicek</t>
  </si>
  <si>
    <t>Družstevní 747,Prosimerice</t>
  </si>
  <si>
    <t>Vaclav</t>
  </si>
  <si>
    <t>Cermak</t>
  </si>
  <si>
    <t>Jiráskova 1988,Sec 1</t>
  </si>
  <si>
    <t>Dašická 1900,Svojšice u Prelouce</t>
  </si>
  <si>
    <t>Havlickova</t>
  </si>
  <si>
    <t>Pivovarská 522,Ceské Budejovice 1</t>
  </si>
  <si>
    <t>Bulva</t>
  </si>
  <si>
    <t>Příční 1248,Jablunka nad Becvou</t>
  </si>
  <si>
    <t>Vrchlického 102,Domažlice 1</t>
  </si>
  <si>
    <t>Fusek</t>
  </si>
  <si>
    <t>Klimenta Čermáka 1424,Cáslav</t>
  </si>
  <si>
    <t>Hermanova</t>
  </si>
  <si>
    <t>Na Kopečku 1141,Lužany</t>
  </si>
  <si>
    <t>Svrcina</t>
  </si>
  <si>
    <t>Vrchlického 766,Citonice</t>
  </si>
  <si>
    <t>Cigankova</t>
  </si>
  <si>
    <t>Sokolská 1943,Hlubocky 3</t>
  </si>
  <si>
    <t>Fojtikova</t>
  </si>
  <si>
    <t>Bedřicha Smetany 1354,Kutná Hora 1</t>
  </si>
  <si>
    <t>Lubomira</t>
  </si>
  <si>
    <t>Cihlarova</t>
  </si>
  <si>
    <t>Školní 1407,Malonty</t>
  </si>
  <si>
    <t>Jarmila</t>
  </si>
  <si>
    <t>Zizkova</t>
  </si>
  <si>
    <t>Čechova 606,Trutnov 1</t>
  </si>
  <si>
    <t>Bukackova</t>
  </si>
  <si>
    <t>Na Výsluní 736,Zvole u Prahy</t>
  </si>
  <si>
    <t>Příkopy 1062,Lanškroun</t>
  </si>
  <si>
    <t>Denisa</t>
  </si>
  <si>
    <t>Vasikova</t>
  </si>
  <si>
    <t>Školní 97,Brasy 1</t>
  </si>
  <si>
    <t>Stepanka</t>
  </si>
  <si>
    <t>Lavickova</t>
  </si>
  <si>
    <t>Generála Jaroše 620,Velké Mezirící</t>
  </si>
  <si>
    <t>Dana</t>
  </si>
  <si>
    <t>Dudova</t>
  </si>
  <si>
    <t>Palackého 919,Cervená Recice</t>
  </si>
  <si>
    <t>Prchalova</t>
  </si>
  <si>
    <t>Velký průhon 1756,Dymokury</t>
  </si>
  <si>
    <t>Bublova</t>
  </si>
  <si>
    <t>Václava Haňky 779,Moravany u Brna</t>
  </si>
  <si>
    <t>Zichova</t>
  </si>
  <si>
    <t>Jana Nerudy 1836,Bozkov</t>
  </si>
  <si>
    <t>Blaha</t>
  </si>
  <si>
    <t>Palackého 533,Zlobice</t>
  </si>
  <si>
    <t>Hamerská 714,Malec</t>
  </si>
  <si>
    <t>Vyskocilova</t>
  </si>
  <si>
    <t>Havlíčkova 400,Vejprty</t>
  </si>
  <si>
    <t>Sulova</t>
  </si>
  <si>
    <t>Na Kopci 1728,Drítec</t>
  </si>
  <si>
    <t>Malinska</t>
  </si>
  <si>
    <t>Na Kopci 1282,Vápno u Prelouce</t>
  </si>
  <si>
    <t>Milos</t>
  </si>
  <si>
    <t>Smejkal</t>
  </si>
  <si>
    <t>U divadla 1728,Oldrichov u Duchcova</t>
  </si>
  <si>
    <t>Peterka</t>
  </si>
  <si>
    <t>Klimenta Čermáka 1117,Cáslav</t>
  </si>
  <si>
    <t>Waldemar</t>
  </si>
  <si>
    <t>Prusa</t>
  </si>
  <si>
    <t>Teperova 268,Moravany u Brna</t>
  </si>
  <si>
    <t>Dolezal</t>
  </si>
  <si>
    <t>Hájecká 1339,Vraný u Slaného</t>
  </si>
  <si>
    <t>Střední 867,Stod</t>
  </si>
  <si>
    <t>Novosadova</t>
  </si>
  <si>
    <t>Jičín 1077,Jicín 1</t>
  </si>
  <si>
    <t>Školní 1421,Klatovy 1</t>
  </si>
  <si>
    <t>Macha</t>
  </si>
  <si>
    <t>Nerudova 405,Borovany</t>
  </si>
  <si>
    <t>Marouskova</t>
  </si>
  <si>
    <t>Pod Floriánem 532,Pelhrimov</t>
  </si>
  <si>
    <t>Ivanka</t>
  </si>
  <si>
    <t>Větrník 129,Police nad Metují</t>
  </si>
  <si>
    <t>?Vesely</t>
  </si>
  <si>
    <t>Dobrovského 1934,Lodenice u Moravského Krumlova</t>
  </si>
  <si>
    <t>Bilkova</t>
  </si>
  <si>
    <t>Dašická 1080,Holice v Cechách</t>
  </si>
  <si>
    <t>Pytlikova</t>
  </si>
  <si>
    <t>Alšova 1314,Tálín</t>
  </si>
  <si>
    <t>Jiráskova 449,Miletín</t>
  </si>
  <si>
    <t>Palackého 238,Božejov</t>
  </si>
  <si>
    <t>Lada</t>
  </si>
  <si>
    <t>Brozikova</t>
  </si>
  <si>
    <t>Spodní Pustá 1872,Bukovany u Hodonína</t>
  </si>
  <si>
    <t>Rajtr</t>
  </si>
  <si>
    <t>Na Výsluní 1462,Stríbro</t>
  </si>
  <si>
    <t>Alex</t>
  </si>
  <si>
    <t>Vojta</t>
  </si>
  <si>
    <t>Hálkova 1686,Volfartice</t>
  </si>
  <si>
    <t>Pardubská 550,Myslocovice</t>
  </si>
  <si>
    <t>Malik</t>
  </si>
  <si>
    <t>Sokolovská 363,Bridlicná</t>
  </si>
  <si>
    <t>Kos</t>
  </si>
  <si>
    <t>Pivovarská 1439,Vráž u Berouna</t>
  </si>
  <si>
    <t>Palackého 347,Morkovice-Slížany</t>
  </si>
  <si>
    <t>Urbankova</t>
  </si>
  <si>
    <t>Hamerská 1854,Nová Ves u Chotebore</t>
  </si>
  <si>
    <t>Partyzánská 717,Broumov 1</t>
  </si>
  <si>
    <t>Polacek</t>
  </si>
  <si>
    <t>Sluneční 1460,Mokré Lazce</t>
  </si>
  <si>
    <t>Sona</t>
  </si>
  <si>
    <t>Hurtova</t>
  </si>
  <si>
    <t>Barákova 112,Mratín</t>
  </si>
  <si>
    <t>Kroutil</t>
  </si>
  <si>
    <t>Žerotínova 1324,Horice v Podkrkonoší</t>
  </si>
  <si>
    <t>Balikova</t>
  </si>
  <si>
    <t>Vostelčická 1117,Vysoké Mýto</t>
  </si>
  <si>
    <t xml:space="preserve">    Blazkova</t>
  </si>
  <si>
    <t>Hřbitovní 1799,Nedašov</t>
  </si>
  <si>
    <t>Slama</t>
  </si>
  <si>
    <t>Opltova 783,Stankovice u Žatce</t>
  </si>
  <si>
    <t>Sommer</t>
  </si>
  <si>
    <t>Opltova 1426,Krásný Dvur</t>
  </si>
  <si>
    <t>Jurova</t>
  </si>
  <si>
    <t>U Trati 1894,Kralovice</t>
  </si>
  <si>
    <t>Lubomir</t>
  </si>
  <si>
    <t>Budovatelská 1017,Sedlice u Blatné</t>
  </si>
  <si>
    <t>Školní 285,Krešín u Pacova</t>
  </si>
  <si>
    <t>Godla</t>
  </si>
  <si>
    <t>Pivovarská 1903,Karlštejn</t>
  </si>
  <si>
    <t>Odehnalova</t>
  </si>
  <si>
    <t>Komenského 1659,Telc</t>
  </si>
  <si>
    <t xml:space="preserve"> Cerny</t>
  </si>
  <si>
    <t>Jiráskova 1762,Libán</t>
  </si>
  <si>
    <t>Jordanova</t>
  </si>
  <si>
    <t>Školní 699,Klatovy 1</t>
  </si>
  <si>
    <t>Kalny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</si>
</sst>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</cellXfs>
  <cellStyles count="1">
    <cellStyle name="Normální" xfId="0" builtinId="0"/>
  </cellStyles>
  <dxfs count="11"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DFBCE-D7CD-4F18-A4A0-097EB6B6DEDC}" name="Tabulka1" displayName="Tabulka1" ref="A3:I503" totalsRowShown="0" headerRowDxfId="10" dataDxfId="9">
  <tableColumns count="9">
    <tableColumn id="2" xr3:uid="{98AB917E-E250-4409-8C88-1CED6019F7BF}" name="Adresa" dataDxfId="8"/>
    <tableColumn id="3" xr3:uid="{8784B30C-5EAF-472B-BBAF-27CFD13F328E}" name="Jméno" dataDxfId="7"/>
    <tableColumn id="4" xr3:uid="{A0497649-DA05-4741-8A41-A67E5E915956}" name="Příjmení" dataDxfId="6"/>
    <tableColumn id="5" xr3:uid="{E6565C29-5036-468F-9185-57EDC1874A0C}" name="Jméno bez mezer" dataDxfId="5">
      <calculatedColumnFormula>TRIM(Tabulka1[[#This Row],[Jméno]])</calculatedColumnFormula>
    </tableColumn>
    <tableColumn id="1" xr3:uid="{A92F3D7C-0677-4188-AFF3-98597DE7E490}" name="Příjmení bez mezer" dataDxfId="4">
      <calculatedColumnFormula>TRIM(Tabulka1[[#This Row],[Příjmení]])</calculatedColumnFormula>
    </tableColumn>
    <tableColumn id="7" xr3:uid="{7E8D4D5B-14BB-4617-9E7C-4F936839C52A}" name="Ulice" dataDxfId="3">
      <calculatedColumnFormula>MID(Tabulka1[[#This Row],[Adresa]],1,SEARCH(",",Tabulka1[[#This Row],[Adresa]])-1)</calculatedColumnFormula>
    </tableColumn>
    <tableColumn id="8" xr3:uid="{A06D3C08-DAE5-48FF-9335-B33A3050C585}" name="Město" dataDxfId="2">
      <calculatedColumnFormula>RIGHT(Tabulka1[[#This Row],[Adresa]],LEN(Tabulka1[[#This Row],[Adresa]])-LEN(Tabulka1[[#This Row],[Ulice]])-1)</calculatedColumnFormula>
    </tableColumn>
    <tableColumn id="10" xr3:uid="{A19BF49D-B95A-4D11-952E-5CA0030B9382}" name="email" dataDxfId="1">
      <calculatedColumnFormula>_xlfn.CONCAT(LOWER(Tabulka1[[#This Row],[Příjmení bez mezer]]),".",LOWER(Tabulka1[[#This Row],[Jméno bez mezer]]),"@firmaabc.cz")</calculatedColumnFormula>
    </tableColumn>
    <tableColumn id="11" xr3:uid="{FCBD9A18-DC5C-4472-B652-6B03115B0558}" name="heslo" dataDxfId="0">
      <calculatedColumnFormula>_xlfn.CONCAT(LEFT(LOWER(Tabulka1[[#This Row],[Příjmení bez mezer]]),3),RIGHT(UPPER(Tabulka1[[#This Row],[Jméno bez mezer]]),2))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3"/>
  <sheetViews>
    <sheetView tabSelected="1" workbookViewId="0">
      <selection activeCell="K1" sqref="K1:K1048576"/>
    </sheetView>
  </sheetViews>
  <sheetFormatPr defaultRowHeight="15"/>
  <cols>
    <col min="1" max="1" width="27" customWidth="1"/>
    <col min="2" max="2" width="11.85546875" customWidth="1"/>
    <col min="3" max="3" width="10.42578125" customWidth="1"/>
    <col min="4" max="4" width="19.140625" customWidth="1"/>
    <col min="5" max="5" width="18.42578125" bestFit="1" customWidth="1"/>
    <col min="6" max="6" width="21.140625" customWidth="1"/>
    <col min="7" max="7" width="13.7109375" customWidth="1"/>
    <col min="8" max="8" width="17.140625" customWidth="1"/>
    <col min="9" max="9" width="14.28515625" customWidth="1"/>
    <col min="11" max="11" width="11.85546875" bestFit="1" customWidth="1"/>
  </cols>
  <sheetData>
    <row r="1" spans="1:9" ht="23.25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2" t="s">
        <v>10</v>
      </c>
      <c r="B4" t="s">
        <v>11</v>
      </c>
      <c r="C4" t="s">
        <v>12</v>
      </c>
      <c r="D4" t="str">
        <f>TRIM(Tabulka1[[#This Row],[Jméno]])</f>
        <v>Karel</v>
      </c>
      <c r="E4" t="str">
        <f>TRIM(Tabulka1[[#This Row],[Příjmení]])</f>
        <v>Albert</v>
      </c>
      <c r="F4" s="2" t="str">
        <f>MID(Tabulka1[[#This Row],[Adresa]],1,SEARCH(",",Tabulka1[[#This Row],[Adresa]])-1)</f>
        <v>U Sokolovny 1181</v>
      </c>
      <c r="G4" s="2" t="str">
        <f>RIGHT(Tabulka1[[#This Row],[Adresa]],LEN(Tabulka1[[#This Row],[Adresa]])-LEN(Tabulka1[[#This Row],[Ulice]])-1)</f>
        <v>Železnice</v>
      </c>
      <c r="H4" s="2" t="str">
        <f>_xlfn.CONCAT(LOWER(Tabulka1[[#This Row],[Příjmení bez mezer]]),".",LOWER(Tabulka1[[#This Row],[Jméno bez mezer]]),"@firmaabc.cz")</f>
        <v>albert.karel@firmaabc.cz</v>
      </c>
      <c r="I4" s="2" t="str">
        <f>_xlfn.CONCAT(LEFT(LOWER(Tabulka1[[#This Row],[Příjmení bez mezer]]),3),RIGHT(UPPER(Tabulka1[[#This Row],[Jméno bez mezer]]),2))</f>
        <v>albEL</v>
      </c>
    </row>
    <row r="5" spans="1:9">
      <c r="A5" s="2" t="s">
        <v>13</v>
      </c>
      <c r="B5" t="s">
        <v>14</v>
      </c>
      <c r="C5" t="s">
        <v>15</v>
      </c>
      <c r="D5" t="str">
        <f>TRIM(Tabulka1[[#This Row],[Jméno]])</f>
        <v>Martina</v>
      </c>
      <c r="E5" t="str">
        <f>TRIM(Tabulka1[[#This Row],[Příjmení]])</f>
        <v>Capkova</v>
      </c>
      <c r="F5" s="2" t="str">
        <f>MID(Tabulka1[[#This Row],[Adresa]],1,SEARCH(",",Tabulka1[[#This Row],[Adresa]])-1)</f>
        <v>Stožická 92</v>
      </c>
      <c r="G5" s="2" t="str">
        <f>RIGHT(Tabulka1[[#This Row],[Adresa]],LEN(Tabulka1[[#This Row],[Adresa]])-LEN(Tabulka1[[#This Row],[Ulice]])-1)</f>
        <v>Vodnany</v>
      </c>
      <c r="H5" s="2" t="str">
        <f>_xlfn.CONCAT(LOWER(Tabulka1[[#This Row],[Příjmení bez mezer]]),".",LOWER(Tabulka1[[#This Row],[Jméno bez mezer]]),"@firmaabc.cz")</f>
        <v>capkova.martina@firmaabc.cz</v>
      </c>
      <c r="I5" s="2" t="str">
        <f>_xlfn.CONCAT(LEFT(LOWER(Tabulka1[[#This Row],[Příjmení bez mezer]]),3),RIGHT(UPPER(Tabulka1[[#This Row],[Jméno bez mezer]]),2))</f>
        <v>capNA</v>
      </c>
    </row>
    <row r="6" spans="1:9">
      <c r="A6" s="2" t="s">
        <v>16</v>
      </c>
      <c r="B6" t="s">
        <v>17</v>
      </c>
      <c r="C6" t="s">
        <v>18</v>
      </c>
      <c r="D6" t="str">
        <f>TRIM(Tabulka1[[#This Row],[Jméno]])</f>
        <v>Vladimir</v>
      </c>
      <c r="E6" t="str">
        <f>TRIM(Tabulka1[[#This Row],[Příjmení]])</f>
        <v>Svoboda</v>
      </c>
      <c r="F6" s="2" t="str">
        <f>MID(Tabulka1[[#This Row],[Adresa]],1,SEARCH(",",Tabulka1[[#This Row],[Adresa]])-1)</f>
        <v>U divadla 1031</v>
      </c>
      <c r="G6" s="2" t="str">
        <f>RIGHT(Tabulka1[[#This Row],[Adresa]],LEN(Tabulka1[[#This Row],[Adresa]])-LEN(Tabulka1[[#This Row],[Ulice]])-1)</f>
        <v>Polepy</v>
      </c>
      <c r="H6" s="2" t="str">
        <f>_xlfn.CONCAT(LOWER(Tabulka1[[#This Row],[Příjmení bez mezer]]),".",LOWER(Tabulka1[[#This Row],[Jméno bez mezer]]),"@firmaabc.cz")</f>
        <v>svoboda.vladimir@firmaabc.cz</v>
      </c>
      <c r="I6" s="2" t="str">
        <f>_xlfn.CONCAT(LEFT(LOWER(Tabulka1[[#This Row],[Příjmení bez mezer]]),3),RIGHT(UPPER(Tabulka1[[#This Row],[Jméno bez mezer]]),2))</f>
        <v>svoIR</v>
      </c>
    </row>
    <row r="7" spans="1:9">
      <c r="A7" s="2" t="s">
        <v>19</v>
      </c>
      <c r="B7" t="s">
        <v>20</v>
      </c>
      <c r="C7" t="s">
        <v>21</v>
      </c>
      <c r="D7" t="str">
        <f>TRIM(Tabulka1[[#This Row],[Jméno]])</f>
        <v>Lumir</v>
      </c>
      <c r="E7" t="str">
        <f>TRIM(Tabulka1[[#This Row],[Příjmení]])</f>
        <v>Holy</v>
      </c>
      <c r="F7" s="2" t="str">
        <f>MID(Tabulka1[[#This Row],[Adresa]],1,SEARCH(",",Tabulka1[[#This Row],[Adresa]])-1)</f>
        <v>Žižkova 522</v>
      </c>
      <c r="G7" s="2" t="str">
        <f>RIGHT(Tabulka1[[#This Row],[Adresa]],LEN(Tabulka1[[#This Row],[Adresa]])-LEN(Tabulka1[[#This Row],[Ulice]])-1)</f>
        <v>Bedihošt</v>
      </c>
      <c r="H7" s="2" t="str">
        <f>_xlfn.CONCAT(LOWER(Tabulka1[[#This Row],[Příjmení bez mezer]]),".",LOWER(Tabulka1[[#This Row],[Jméno bez mezer]]),"@firmaabc.cz")</f>
        <v>holy.lumir@firmaabc.cz</v>
      </c>
      <c r="I7" s="2" t="str">
        <f>_xlfn.CONCAT(LEFT(LOWER(Tabulka1[[#This Row],[Příjmení bez mezer]]),3),RIGHT(UPPER(Tabulka1[[#This Row],[Jméno bez mezer]]),2))</f>
        <v>holIR</v>
      </c>
    </row>
    <row r="8" spans="1:9">
      <c r="A8" s="2" t="s">
        <v>22</v>
      </c>
      <c r="B8" t="s">
        <v>23</v>
      </c>
      <c r="C8" t="s">
        <v>24</v>
      </c>
      <c r="D8" t="str">
        <f>TRIM(Tabulka1[[#This Row],[Jméno]])</f>
        <v>Kvetoslava</v>
      </c>
      <c r="E8" t="str">
        <f>TRIM(Tabulka1[[#This Row],[Příjmení]])</f>
        <v>Mikesova</v>
      </c>
      <c r="F8" s="2" t="str">
        <f>MID(Tabulka1[[#This Row],[Adresa]],1,SEARCH(",",Tabulka1[[#This Row],[Adresa]])-1)</f>
        <v>Louny 1995</v>
      </c>
      <c r="G8" s="2" t="str">
        <f>RIGHT(Tabulka1[[#This Row],[Adresa]],LEN(Tabulka1[[#This Row],[Adresa]])-LEN(Tabulka1[[#This Row],[Ulice]])-1)</f>
        <v>Louny 1</v>
      </c>
      <c r="H8" s="2" t="str">
        <f>_xlfn.CONCAT(LOWER(Tabulka1[[#This Row],[Příjmení bez mezer]]),".",LOWER(Tabulka1[[#This Row],[Jméno bez mezer]]),"@firmaabc.cz")</f>
        <v>mikesova.kvetoslava@firmaabc.cz</v>
      </c>
      <c r="I8" s="2" t="str">
        <f>_xlfn.CONCAT(LEFT(LOWER(Tabulka1[[#This Row],[Příjmení bez mezer]]),3),RIGHT(UPPER(Tabulka1[[#This Row],[Jméno bez mezer]]),2))</f>
        <v>mikVA</v>
      </c>
    </row>
    <row r="9" spans="1:9">
      <c r="A9" s="2" t="s">
        <v>25</v>
      </c>
      <c r="B9" t="s">
        <v>26</v>
      </c>
      <c r="C9" t="s">
        <v>27</v>
      </c>
      <c r="D9" t="str">
        <f>TRIM(Tabulka1[[#This Row],[Jméno]])</f>
        <v>Jan</v>
      </c>
      <c r="E9" t="str">
        <f>TRIM(Tabulka1[[#This Row],[Příjmení]])</f>
        <v>Glogar</v>
      </c>
      <c r="F9" s="2" t="str">
        <f>MID(Tabulka1[[#This Row],[Adresa]],1,SEARCH(",",Tabulka1[[#This Row],[Adresa]])-1)</f>
        <v>Suhrady 1971</v>
      </c>
      <c r="G9" s="2" t="str">
        <f>RIGHT(Tabulka1[[#This Row],[Adresa]],LEN(Tabulka1[[#This Row],[Adresa]])-LEN(Tabulka1[[#This Row],[Ulice]])-1)</f>
        <v>Darkovice</v>
      </c>
      <c r="H9" s="2" t="str">
        <f>_xlfn.CONCAT(LOWER(Tabulka1[[#This Row],[Příjmení bez mezer]]),".",LOWER(Tabulka1[[#This Row],[Jméno bez mezer]]),"@firmaabc.cz")</f>
        <v>glogar.jan@firmaabc.cz</v>
      </c>
      <c r="I9" s="2" t="str">
        <f>_xlfn.CONCAT(LEFT(LOWER(Tabulka1[[#This Row],[Příjmení bez mezer]]),3),RIGHT(UPPER(Tabulka1[[#This Row],[Jméno bez mezer]]),2))</f>
        <v>gloAN</v>
      </c>
    </row>
    <row r="10" spans="1:9">
      <c r="A10" s="2" t="s">
        <v>28</v>
      </c>
      <c r="B10" t="s">
        <v>29</v>
      </c>
      <c r="C10" t="s">
        <v>30</v>
      </c>
      <c r="D10" t="str">
        <f>TRIM(Tabulka1[[#This Row],[Jméno]])</f>
        <v>Jana</v>
      </c>
      <c r="E10" t="str">
        <f>TRIM(Tabulka1[[#This Row],[Příjmení]])</f>
        <v>Zelnickova</v>
      </c>
      <c r="F10" s="2" t="str">
        <f>MID(Tabulka1[[#This Row],[Adresa]],1,SEARCH(",",Tabulka1[[#This Row],[Adresa]])-1)</f>
        <v>Vrchlického 1153</v>
      </c>
      <c r="G10" s="2" t="str">
        <f>RIGHT(Tabulka1[[#This Row],[Adresa]],LEN(Tabulka1[[#This Row],[Adresa]])-LEN(Tabulka1[[#This Row],[Ulice]])-1)</f>
        <v>Znojmo 2</v>
      </c>
      <c r="H10" s="2" t="str">
        <f>_xlfn.CONCAT(LOWER(Tabulka1[[#This Row],[Příjmení bez mezer]]),".",LOWER(Tabulka1[[#This Row],[Jméno bez mezer]]),"@firmaabc.cz")</f>
        <v>zelnickova.jana@firmaabc.cz</v>
      </c>
      <c r="I10" s="2" t="str">
        <f>_xlfn.CONCAT(LEFT(LOWER(Tabulka1[[#This Row],[Příjmení bez mezer]]),3),RIGHT(UPPER(Tabulka1[[#This Row],[Jméno bez mezer]]),2))</f>
        <v>zelNA</v>
      </c>
    </row>
    <row r="11" spans="1:9">
      <c r="A11" s="2" t="s">
        <v>31</v>
      </c>
      <c r="B11" t="s">
        <v>32</v>
      </c>
      <c r="C11" t="s">
        <v>33</v>
      </c>
      <c r="D11" t="str">
        <f>TRIM(Tabulka1[[#This Row],[Jméno]])</f>
        <v>Michal</v>
      </c>
      <c r="E11" t="str">
        <f>TRIM(Tabulka1[[#This Row],[Příjmení]])</f>
        <v>Kopecek</v>
      </c>
      <c r="F11" s="2" t="str">
        <f>MID(Tabulka1[[#This Row],[Adresa]],1,SEARCH(",",Tabulka1[[#This Row],[Adresa]])-1)</f>
        <v>Školní 713</v>
      </c>
      <c r="G11" s="2" t="str">
        <f>RIGHT(Tabulka1[[#This Row],[Adresa]],LEN(Tabulka1[[#This Row],[Adresa]])-LEN(Tabulka1[[#This Row],[Ulice]])-1)</f>
        <v>Kaplice 1</v>
      </c>
      <c r="H11" s="2" t="str">
        <f>_xlfn.CONCAT(LOWER(Tabulka1[[#This Row],[Příjmení bez mezer]]),".",LOWER(Tabulka1[[#This Row],[Jméno bez mezer]]),"@firmaabc.cz")</f>
        <v>kopecek.michal@firmaabc.cz</v>
      </c>
      <c r="I11" s="2" t="str">
        <f>_xlfn.CONCAT(LEFT(LOWER(Tabulka1[[#This Row],[Příjmení bez mezer]]),3),RIGHT(UPPER(Tabulka1[[#This Row],[Jméno bez mezer]]),2))</f>
        <v>kopAL</v>
      </c>
    </row>
    <row r="12" spans="1:9" ht="30">
      <c r="A12" s="2" t="s">
        <v>34</v>
      </c>
      <c r="B12" t="s">
        <v>35</v>
      </c>
      <c r="C12" t="s">
        <v>36</v>
      </c>
      <c r="D12" t="str">
        <f>TRIM(Tabulka1[[#This Row],[Jméno]])</f>
        <v>Karolina</v>
      </c>
      <c r="E12" t="str">
        <f>TRIM(Tabulka1[[#This Row],[Příjmení]])</f>
        <v>Haklova</v>
      </c>
      <c r="F12" s="2" t="str">
        <f>MID(Tabulka1[[#This Row],[Adresa]],1,SEARCH(",",Tabulka1[[#This Row],[Adresa]])-1)</f>
        <v>Prokopská 1442</v>
      </c>
      <c r="G12" s="2" t="str">
        <f>RIGHT(Tabulka1[[#This Row],[Adresa]],LEN(Tabulka1[[#This Row],[Adresa]])-LEN(Tabulka1[[#This Row],[Ulice]])-1)</f>
        <v>Nová Ves pod Pleší</v>
      </c>
      <c r="H12" s="2" t="str">
        <f>_xlfn.CONCAT(LOWER(Tabulka1[[#This Row],[Příjmení bez mezer]]),".",LOWER(Tabulka1[[#This Row],[Jméno bez mezer]]),"@firmaabc.cz")</f>
        <v>haklova.karolina@firmaabc.cz</v>
      </c>
      <c r="I12" s="2" t="str">
        <f>_xlfn.CONCAT(LEFT(LOWER(Tabulka1[[#This Row],[Příjmení bez mezer]]),3),RIGHT(UPPER(Tabulka1[[#This Row],[Jméno bez mezer]]),2))</f>
        <v>hakNA</v>
      </c>
    </row>
    <row r="13" spans="1:9">
      <c r="A13" s="2" t="s">
        <v>37</v>
      </c>
      <c r="B13" t="s">
        <v>38</v>
      </c>
      <c r="C13" t="s">
        <v>39</v>
      </c>
      <c r="D13" t="str">
        <f>TRIM(Tabulka1[[#This Row],[Jméno]])</f>
        <v>Miroslava</v>
      </c>
      <c r="E13" t="str">
        <f>TRIM(Tabulka1[[#This Row],[Příjmení]])</f>
        <v>Steflova</v>
      </c>
      <c r="F13" s="2" t="str">
        <f>MID(Tabulka1[[#This Row],[Adresa]],1,SEARCH(",",Tabulka1[[#This Row],[Adresa]])-1)</f>
        <v>Žižkova 1118</v>
      </c>
      <c r="G13" s="2" t="str">
        <f>RIGHT(Tabulka1[[#This Row],[Adresa]],LEN(Tabulka1[[#This Row],[Adresa]])-LEN(Tabulka1[[#This Row],[Ulice]])-1)</f>
        <v>Kralice na Hané</v>
      </c>
      <c r="H13" s="2" t="str">
        <f>_xlfn.CONCAT(LOWER(Tabulka1[[#This Row],[Příjmení bez mezer]]),".",LOWER(Tabulka1[[#This Row],[Jméno bez mezer]]),"@firmaabc.cz")</f>
        <v>steflova.miroslava@firmaabc.cz</v>
      </c>
      <c r="I13" s="2" t="str">
        <f>_xlfn.CONCAT(LEFT(LOWER(Tabulka1[[#This Row],[Příjmení bez mezer]]),3),RIGHT(UPPER(Tabulka1[[#This Row],[Jméno bez mezer]]),2))</f>
        <v>steVA</v>
      </c>
    </row>
    <row r="14" spans="1:9">
      <c r="A14" s="2" t="s">
        <v>40</v>
      </c>
      <c r="B14" t="s">
        <v>41</v>
      </c>
      <c r="C14" t="s">
        <v>42</v>
      </c>
      <c r="D14" t="str">
        <f>TRIM(Tabulka1[[#This Row],[Jméno]])</f>
        <v>Ivana</v>
      </c>
      <c r="E14" t="str">
        <f>TRIM(Tabulka1[[#This Row],[Příjmení]])</f>
        <v>Reichova</v>
      </c>
      <c r="F14" s="2" t="str">
        <f>MID(Tabulka1[[#This Row],[Adresa]],1,SEARCH(",",Tabulka1[[#This Row],[Adresa]])-1)</f>
        <v>Palackého 502</v>
      </c>
      <c r="G14" s="2" t="str">
        <f>RIGHT(Tabulka1[[#This Row],[Adresa]],LEN(Tabulka1[[#This Row],[Adresa]])-LEN(Tabulka1[[#This Row],[Ulice]])-1)</f>
        <v>Rajnochovice</v>
      </c>
      <c r="H14" s="2" t="str">
        <f>_xlfn.CONCAT(LOWER(Tabulka1[[#This Row],[Příjmení bez mezer]]),".",LOWER(Tabulka1[[#This Row],[Jméno bez mezer]]),"@firmaabc.cz")</f>
        <v>reichova.ivana@firmaabc.cz</v>
      </c>
      <c r="I14" s="2" t="str">
        <f>_xlfn.CONCAT(LEFT(LOWER(Tabulka1[[#This Row],[Příjmení bez mezer]]),3),RIGHT(UPPER(Tabulka1[[#This Row],[Jméno bez mezer]]),2))</f>
        <v>reiNA</v>
      </c>
    </row>
    <row r="15" spans="1:9" ht="30">
      <c r="A15" s="2" t="s">
        <v>43</v>
      </c>
      <c r="B15" t="s">
        <v>44</v>
      </c>
      <c r="C15" t="s">
        <v>45</v>
      </c>
      <c r="D15" t="str">
        <f>TRIM(Tabulka1[[#This Row],[Jméno]])</f>
        <v>Marie</v>
      </c>
      <c r="E15" t="str">
        <f>TRIM(Tabulka1[[#This Row],[Příjmení]])</f>
        <v>Vymazalova</v>
      </c>
      <c r="F15" s="2" t="str">
        <f>MID(Tabulka1[[#This Row],[Adresa]],1,SEARCH(",",Tabulka1[[#This Row],[Adresa]])-1)</f>
        <v>Dašická 1048</v>
      </c>
      <c r="G15" s="2" t="str">
        <f>RIGHT(Tabulka1[[#This Row],[Adresa]],LEN(Tabulka1[[#This Row],[Adresa]])-LEN(Tabulka1[[#This Row],[Ulice]])-1)</f>
        <v>Holice v Cechách</v>
      </c>
      <c r="H15" s="2" t="str">
        <f>_xlfn.CONCAT(LOWER(Tabulka1[[#This Row],[Příjmení bez mezer]]),".",LOWER(Tabulka1[[#This Row],[Jméno bez mezer]]),"@firmaabc.cz")</f>
        <v>vymazalova.marie@firmaabc.cz</v>
      </c>
      <c r="I15" s="2" t="str">
        <f>_xlfn.CONCAT(LEFT(LOWER(Tabulka1[[#This Row],[Příjmení bez mezer]]),3),RIGHT(UPPER(Tabulka1[[#This Row],[Jméno bez mezer]]),2))</f>
        <v>vymIE</v>
      </c>
    </row>
    <row r="16" spans="1:9" ht="30">
      <c r="A16" s="2" t="s">
        <v>46</v>
      </c>
      <c r="B16" t="s">
        <v>47</v>
      </c>
      <c r="C16" t="s">
        <v>48</v>
      </c>
      <c r="D16" t="str">
        <f>TRIM(Tabulka1[[#This Row],[Jméno]])</f>
        <v>Tomas</v>
      </c>
      <c r="E16" t="str">
        <f>TRIM(Tabulka1[[#This Row],[Příjmení]])</f>
        <v>Kubes</v>
      </c>
      <c r="F16" s="2" t="str">
        <f>MID(Tabulka1[[#This Row],[Adresa]],1,SEARCH(",",Tabulka1[[#This Row],[Adresa]])-1)</f>
        <v>Rvačov 1251</v>
      </c>
      <c r="G16" s="2" t="str">
        <f>RIGHT(Tabulka1[[#This Row],[Adresa]],LEN(Tabulka1[[#This Row],[Adresa]])-LEN(Tabulka1[[#This Row],[Ulice]])-1)</f>
        <v>Roudnice nad Labem</v>
      </c>
      <c r="H16" s="2" t="str">
        <f>_xlfn.CONCAT(LOWER(Tabulka1[[#This Row],[Příjmení bez mezer]]),".",LOWER(Tabulka1[[#This Row],[Jméno bez mezer]]),"@firmaabc.cz")</f>
        <v>kubes.tomas@firmaabc.cz</v>
      </c>
      <c r="I16" s="2" t="str">
        <f>_xlfn.CONCAT(LEFT(LOWER(Tabulka1[[#This Row],[Příjmení bez mezer]]),3),RIGHT(UPPER(Tabulka1[[#This Row],[Jméno bez mezer]]),2))</f>
        <v>kubAS</v>
      </c>
    </row>
    <row r="17" spans="1:9">
      <c r="A17" s="2" t="s">
        <v>49</v>
      </c>
      <c r="B17" t="s">
        <v>44</v>
      </c>
      <c r="C17" t="s">
        <v>50</v>
      </c>
      <c r="D17" t="str">
        <f>TRIM(Tabulka1[[#This Row],[Jméno]])</f>
        <v>Marie</v>
      </c>
      <c r="E17" t="str">
        <f>TRIM(Tabulka1[[#This Row],[Příjmení]])</f>
        <v>Kupska</v>
      </c>
      <c r="F17" s="2" t="str">
        <f>MID(Tabulka1[[#This Row],[Adresa]],1,SEARCH(",",Tabulka1[[#This Row],[Adresa]])-1)</f>
        <v>Petrželka 1864</v>
      </c>
      <c r="G17" s="2" t="str">
        <f>RIGHT(Tabulka1[[#This Row],[Adresa]],LEN(Tabulka1[[#This Row],[Adresa]])-LEN(Tabulka1[[#This Row],[Ulice]])-1)</f>
        <v>Kromeríž 1</v>
      </c>
      <c r="H17" s="2" t="str">
        <f>_xlfn.CONCAT(LOWER(Tabulka1[[#This Row],[Příjmení bez mezer]]),".",LOWER(Tabulka1[[#This Row],[Jméno bez mezer]]),"@firmaabc.cz")</f>
        <v>kupska.marie@firmaabc.cz</v>
      </c>
      <c r="I17" s="2" t="str">
        <f>_xlfn.CONCAT(LEFT(LOWER(Tabulka1[[#This Row],[Příjmení bez mezer]]),3),RIGHT(UPPER(Tabulka1[[#This Row],[Jméno bez mezer]]),2))</f>
        <v>kupIE</v>
      </c>
    </row>
    <row r="18" spans="1:9">
      <c r="A18" s="2" t="s">
        <v>51</v>
      </c>
      <c r="B18" t="s">
        <v>52</v>
      </c>
      <c r="C18" t="s">
        <v>53</v>
      </c>
      <c r="D18" t="str">
        <f>TRIM(Tabulka1[[#This Row],[Jméno]])</f>
        <v>Ludmila</v>
      </c>
      <c r="E18" t="str">
        <f>TRIM(Tabulka1[[#This Row],[Příjmení]])</f>
        <v>Norkova</v>
      </c>
      <c r="F18" s="2" t="str">
        <f>MID(Tabulka1[[#This Row],[Adresa]],1,SEARCH(",",Tabulka1[[#This Row],[Adresa]])-1)</f>
        <v>Ke hřišti 859</v>
      </c>
      <c r="G18" s="2" t="str">
        <f>RIGHT(Tabulka1[[#This Row],[Adresa]],LEN(Tabulka1[[#This Row],[Adresa]])-LEN(Tabulka1[[#This Row],[Ulice]])-1)</f>
        <v>Zásmuky</v>
      </c>
      <c r="H18" s="2" t="str">
        <f>_xlfn.CONCAT(LOWER(Tabulka1[[#This Row],[Příjmení bez mezer]]),".",LOWER(Tabulka1[[#This Row],[Jméno bez mezer]]),"@firmaabc.cz")</f>
        <v>norkova.ludmila@firmaabc.cz</v>
      </c>
      <c r="I18" s="2" t="str">
        <f>_xlfn.CONCAT(LEFT(LOWER(Tabulka1[[#This Row],[Příjmení bez mezer]]),3),RIGHT(UPPER(Tabulka1[[#This Row],[Jméno bez mezer]]),2))</f>
        <v>norLA</v>
      </c>
    </row>
    <row r="19" spans="1:9">
      <c r="A19" s="2" t="s">
        <v>54</v>
      </c>
      <c r="B19" t="s">
        <v>55</v>
      </c>
      <c r="C19" t="s">
        <v>56</v>
      </c>
      <c r="D19" t="str">
        <f>TRIM(Tabulka1[[#This Row],[Jméno]])</f>
        <v>Miroslav</v>
      </c>
      <c r="E19" t="str">
        <f>TRIM(Tabulka1[[#This Row],[Příjmení]])</f>
        <v>Stanek</v>
      </c>
      <c r="F19" s="2" t="str">
        <f>MID(Tabulka1[[#This Row],[Adresa]],1,SEARCH(",",Tabulka1[[#This Row],[Adresa]])-1)</f>
        <v>Vostelčická 396</v>
      </c>
      <c r="G19" s="2" t="str">
        <f>RIGHT(Tabulka1[[#This Row],[Adresa]],LEN(Tabulka1[[#This Row],[Adresa]])-LEN(Tabulka1[[#This Row],[Ulice]])-1)</f>
        <v>Vysoké Mýto</v>
      </c>
      <c r="H19" s="2" t="str">
        <f>_xlfn.CONCAT(LOWER(Tabulka1[[#This Row],[Příjmení bez mezer]]),".",LOWER(Tabulka1[[#This Row],[Jméno bez mezer]]),"@firmaabc.cz")</f>
        <v>stanek.miroslav@firmaabc.cz</v>
      </c>
      <c r="I19" s="2" t="str">
        <f>_xlfn.CONCAT(LEFT(LOWER(Tabulka1[[#This Row],[Příjmení bez mezer]]),3),RIGHT(UPPER(Tabulka1[[#This Row],[Jméno bez mezer]]),2))</f>
        <v>staAV</v>
      </c>
    </row>
    <row r="20" spans="1:9" ht="30">
      <c r="A20" s="2" t="s">
        <v>57</v>
      </c>
      <c r="B20" t="s">
        <v>17</v>
      </c>
      <c r="C20" t="s">
        <v>58</v>
      </c>
      <c r="D20" t="str">
        <f>TRIM(Tabulka1[[#This Row],[Jméno]])</f>
        <v>Vladimir</v>
      </c>
      <c r="E20" t="str">
        <f>TRIM(Tabulka1[[#This Row],[Příjmení]])</f>
        <v>Jedlicka</v>
      </c>
      <c r="F20" s="2" t="str">
        <f>MID(Tabulka1[[#This Row],[Adresa]],1,SEARCH(",",Tabulka1[[#This Row],[Adresa]])-1)</f>
        <v>Sídliště Za Chlumem 1599</v>
      </c>
      <c r="G20" s="2" t="str">
        <f>RIGHT(Tabulka1[[#This Row],[Adresa]],LEN(Tabulka1[[#This Row],[Adresa]])-LEN(Tabulka1[[#This Row],[Ulice]])-1)</f>
        <v>Bílina 4</v>
      </c>
      <c r="H20" s="2" t="str">
        <f>_xlfn.CONCAT(LOWER(Tabulka1[[#This Row],[Příjmení bez mezer]]),".",LOWER(Tabulka1[[#This Row],[Jméno bez mezer]]),"@firmaabc.cz")</f>
        <v>jedlicka.vladimir@firmaabc.cz</v>
      </c>
      <c r="I20" s="2" t="str">
        <f>_xlfn.CONCAT(LEFT(LOWER(Tabulka1[[#This Row],[Příjmení bez mezer]]),3),RIGHT(UPPER(Tabulka1[[#This Row],[Jméno bez mezer]]),2))</f>
        <v>jedIR</v>
      </c>
    </row>
    <row r="21" spans="1:9" ht="30">
      <c r="A21" s="2" t="s">
        <v>59</v>
      </c>
      <c r="B21" t="s">
        <v>60</v>
      </c>
      <c r="C21" t="s">
        <v>61</v>
      </c>
      <c r="D21" t="str">
        <f>TRIM(Tabulka1[[#This Row],[Jméno]])</f>
        <v>Natalie</v>
      </c>
      <c r="E21" t="str">
        <f>TRIM(Tabulka1[[#This Row],[Příjmení]])</f>
        <v>Fiserova</v>
      </c>
      <c r="F21" s="2" t="str">
        <f>MID(Tabulka1[[#This Row],[Adresa]],1,SEARCH(",",Tabulka1[[#This Row],[Adresa]])-1)</f>
        <v>Strojírenská 1481</v>
      </c>
      <c r="G21" s="2" t="str">
        <f>RIGHT(Tabulka1[[#This Row],[Adresa]],LEN(Tabulka1[[#This Row],[Adresa]])-LEN(Tabulka1[[#This Row],[Ulice]])-1)</f>
        <v>Velká Losenice</v>
      </c>
      <c r="H21" s="2" t="str">
        <f>_xlfn.CONCAT(LOWER(Tabulka1[[#This Row],[Příjmení bez mezer]]),".",LOWER(Tabulka1[[#This Row],[Jméno bez mezer]]),"@firmaabc.cz")</f>
        <v>fiserova.natalie@firmaabc.cz</v>
      </c>
      <c r="I21" s="2" t="str">
        <f>_xlfn.CONCAT(LEFT(LOWER(Tabulka1[[#This Row],[Příjmení bez mezer]]),3),RIGHT(UPPER(Tabulka1[[#This Row],[Jméno bez mezer]]),2))</f>
        <v>fisIE</v>
      </c>
    </row>
    <row r="22" spans="1:9" ht="30">
      <c r="A22" s="2" t="s">
        <v>62</v>
      </c>
      <c r="B22" t="s">
        <v>63</v>
      </c>
      <c r="C22" t="s">
        <v>64</v>
      </c>
      <c r="D22" t="str">
        <f>TRIM(Tabulka1[[#This Row],[Jméno]])</f>
        <v>Dagmar</v>
      </c>
      <c r="E22" t="str">
        <f>TRIM(Tabulka1[[#This Row],[Příjmení]])</f>
        <v>Karlova</v>
      </c>
      <c r="F22" s="2" t="str">
        <f>MID(Tabulka1[[#This Row],[Adresa]],1,SEARCH(",",Tabulka1[[#This Row],[Adresa]])-1)</f>
        <v>Zahradní 569</v>
      </c>
      <c r="G22" s="2" t="str">
        <f>RIGHT(Tabulka1[[#This Row],[Adresa]],LEN(Tabulka1[[#This Row],[Adresa]])-LEN(Tabulka1[[#This Row],[Ulice]])-1)</f>
        <v>Budišov u Trebíce</v>
      </c>
      <c r="H22" s="2" t="str">
        <f>_xlfn.CONCAT(LOWER(Tabulka1[[#This Row],[Příjmení bez mezer]]),".",LOWER(Tabulka1[[#This Row],[Jméno bez mezer]]),"@firmaabc.cz")</f>
        <v>karlova.dagmar@firmaabc.cz</v>
      </c>
      <c r="I22" s="2" t="str">
        <f>_xlfn.CONCAT(LEFT(LOWER(Tabulka1[[#This Row],[Příjmení bez mezer]]),3),RIGHT(UPPER(Tabulka1[[#This Row],[Jméno bez mezer]]),2))</f>
        <v>karAR</v>
      </c>
    </row>
    <row r="23" spans="1:9" ht="30">
      <c r="A23" s="2" t="s">
        <v>65</v>
      </c>
      <c r="B23" t="s">
        <v>66</v>
      </c>
      <c r="C23" t="s">
        <v>67</v>
      </c>
      <c r="D23" t="str">
        <f>TRIM(Tabulka1[[#This Row],[Jméno]])</f>
        <v>Karel</v>
      </c>
      <c r="E23" t="str">
        <f>TRIM(Tabulka1[[#This Row],[Příjmení]])</f>
        <v>Sliva</v>
      </c>
      <c r="F23" s="2" t="str">
        <f>MID(Tabulka1[[#This Row],[Adresa]],1,SEARCH(",",Tabulka1[[#This Row],[Adresa]])-1)</f>
        <v>Jiráskova 57</v>
      </c>
      <c r="G23" s="2" t="str">
        <f>RIGHT(Tabulka1[[#This Row],[Adresa]],LEN(Tabulka1[[#This Row],[Adresa]])-LEN(Tabulka1[[#This Row],[Ulice]])-1)</f>
        <v>Brodce nad Jizerou</v>
      </c>
      <c r="H23" s="2" t="str">
        <f>_xlfn.CONCAT(LOWER(Tabulka1[[#This Row],[Příjmení bez mezer]]),".",LOWER(Tabulka1[[#This Row],[Jméno bez mezer]]),"@firmaabc.cz")</f>
        <v>sliva.karel@firmaabc.cz</v>
      </c>
      <c r="I23" s="2" t="str">
        <f>_xlfn.CONCAT(LEFT(LOWER(Tabulka1[[#This Row],[Příjmení bez mezer]]),3),RIGHT(UPPER(Tabulka1[[#This Row],[Jméno bez mezer]]),2))</f>
        <v>sliEL</v>
      </c>
    </row>
    <row r="24" spans="1:9" ht="30">
      <c r="A24" s="2" t="s">
        <v>68</v>
      </c>
      <c r="B24" t="s">
        <v>69</v>
      </c>
      <c r="C24" t="s">
        <v>70</v>
      </c>
      <c r="D24" t="str">
        <f>TRIM(Tabulka1[[#This Row],[Jméno]])</f>
        <v>Iva</v>
      </c>
      <c r="E24" t="str">
        <f>TRIM(Tabulka1[[#This Row],[Příjmení]])</f>
        <v>Skopkova</v>
      </c>
      <c r="F24" s="2" t="str">
        <f>MID(Tabulka1[[#This Row],[Adresa]],1,SEARCH(",",Tabulka1[[#This Row],[Adresa]])-1)</f>
        <v>Dašická 1815</v>
      </c>
      <c r="G24" s="2" t="str">
        <f>RIGHT(Tabulka1[[#This Row],[Adresa]],LEN(Tabulka1[[#This Row],[Adresa]])-LEN(Tabulka1[[#This Row],[Ulice]])-1)</f>
        <v>Holice v Cechách</v>
      </c>
      <c r="H24" s="2" t="str">
        <f>_xlfn.CONCAT(LOWER(Tabulka1[[#This Row],[Příjmení bez mezer]]),".",LOWER(Tabulka1[[#This Row],[Jméno bez mezer]]),"@firmaabc.cz")</f>
        <v>skopkova.iva@firmaabc.cz</v>
      </c>
      <c r="I24" s="2" t="str">
        <f>_xlfn.CONCAT(LEFT(LOWER(Tabulka1[[#This Row],[Příjmení bez mezer]]),3),RIGHT(UPPER(Tabulka1[[#This Row],[Jméno bez mezer]]),2))</f>
        <v>skoVA</v>
      </c>
    </row>
    <row r="25" spans="1:9">
      <c r="A25" s="2" t="s">
        <v>71</v>
      </c>
      <c r="B25" t="s">
        <v>72</v>
      </c>
      <c r="C25" t="s">
        <v>73</v>
      </c>
      <c r="D25" t="str">
        <f>TRIM(Tabulka1[[#This Row],[Jméno]])</f>
        <v>Jakub</v>
      </c>
      <c r="E25" t="str">
        <f>TRIM(Tabulka1[[#This Row],[Příjmení]])</f>
        <v>Dusek</v>
      </c>
      <c r="F25" s="2" t="str">
        <f>MID(Tabulka1[[#This Row],[Adresa]],1,SEARCH(",",Tabulka1[[#This Row],[Adresa]])-1)</f>
        <v>Osvobození 80</v>
      </c>
      <c r="G25" s="2" t="str">
        <f>RIGHT(Tabulka1[[#This Row],[Adresa]],LEN(Tabulka1[[#This Row],[Adresa]])-LEN(Tabulka1[[#This Row],[Ulice]])-1)</f>
        <v>Ostrava 10</v>
      </c>
      <c r="H25" s="2" t="str">
        <f>_xlfn.CONCAT(LOWER(Tabulka1[[#This Row],[Příjmení bez mezer]]),".",LOWER(Tabulka1[[#This Row],[Jméno bez mezer]]),"@firmaabc.cz")</f>
        <v>dusek.jakub@firmaabc.cz</v>
      </c>
      <c r="I25" s="2" t="str">
        <f>_xlfn.CONCAT(LEFT(LOWER(Tabulka1[[#This Row],[Příjmení bez mezer]]),3),RIGHT(UPPER(Tabulka1[[#This Row],[Jméno bez mezer]]),2))</f>
        <v>dusUB</v>
      </c>
    </row>
    <row r="26" spans="1:9" ht="30">
      <c r="A26" s="2" t="s">
        <v>74</v>
      </c>
      <c r="B26" t="s">
        <v>75</v>
      </c>
      <c r="C26" t="s">
        <v>76</v>
      </c>
      <c r="D26" t="str">
        <f>TRIM(Tabulka1[[#This Row],[Jméno]])</f>
        <v>Daniel</v>
      </c>
      <c r="E26" t="str">
        <f>TRIM(Tabulka1[[#This Row],[Příjmení]])</f>
        <v>Janus</v>
      </c>
      <c r="F26" s="2" t="str">
        <f>MID(Tabulka1[[#This Row],[Adresa]],1,SEARCH(",",Tabulka1[[#This Row],[Adresa]])-1)</f>
        <v>Příční 1448</v>
      </c>
      <c r="G26" s="2" t="str">
        <f>RIGHT(Tabulka1[[#This Row],[Adresa]],LEN(Tabulka1[[#This Row],[Adresa]])-LEN(Tabulka1[[#This Row],[Ulice]])-1)</f>
        <v>Loucka u Valašského Mezirící</v>
      </c>
      <c r="H26" s="2" t="str">
        <f>_xlfn.CONCAT(LOWER(Tabulka1[[#This Row],[Příjmení bez mezer]]),".",LOWER(Tabulka1[[#This Row],[Jméno bez mezer]]),"@firmaabc.cz")</f>
        <v>janus.daniel@firmaabc.cz</v>
      </c>
      <c r="I26" s="2" t="str">
        <f>_xlfn.CONCAT(LEFT(LOWER(Tabulka1[[#This Row],[Příjmení bez mezer]]),3),RIGHT(UPPER(Tabulka1[[#This Row],[Jméno bez mezer]]),2))</f>
        <v>janEL</v>
      </c>
    </row>
    <row r="27" spans="1:9">
      <c r="A27" s="2" t="s">
        <v>77</v>
      </c>
      <c r="B27" t="s">
        <v>78</v>
      </c>
      <c r="C27" t="s">
        <v>79</v>
      </c>
      <c r="D27" t="str">
        <f>TRIM(Tabulka1[[#This Row],[Jméno]])</f>
        <v>Jitka</v>
      </c>
      <c r="E27" t="str">
        <f>TRIM(Tabulka1[[#This Row],[Příjmení]])</f>
        <v>Smejkalova</v>
      </c>
      <c r="F27" s="2" t="str">
        <f>MID(Tabulka1[[#This Row],[Adresa]],1,SEARCH(",",Tabulka1[[#This Row],[Adresa]])-1)</f>
        <v>Nová 691</v>
      </c>
      <c r="G27" s="2" t="str">
        <f>RIGHT(Tabulka1[[#This Row],[Adresa]],LEN(Tabulka1[[#This Row],[Adresa]])-LEN(Tabulka1[[#This Row],[Ulice]])-1)</f>
        <v>Velký Borek</v>
      </c>
      <c r="H27" s="2" t="str">
        <f>_xlfn.CONCAT(LOWER(Tabulka1[[#This Row],[Příjmení bez mezer]]),".",LOWER(Tabulka1[[#This Row],[Jméno bez mezer]]),"@firmaabc.cz")</f>
        <v>smejkalova.jitka@firmaabc.cz</v>
      </c>
      <c r="I27" s="2" t="str">
        <f>_xlfn.CONCAT(LEFT(LOWER(Tabulka1[[#This Row],[Příjmení bez mezer]]),3),RIGHT(UPPER(Tabulka1[[#This Row],[Jméno bez mezer]]),2))</f>
        <v>smeKA</v>
      </c>
    </row>
    <row r="28" spans="1:9" ht="30">
      <c r="A28" s="2" t="s">
        <v>80</v>
      </c>
      <c r="B28" t="s">
        <v>81</v>
      </c>
      <c r="C28" t="s">
        <v>82</v>
      </c>
      <c r="D28" t="str">
        <f>TRIM(Tabulka1[[#This Row],[Jméno]])</f>
        <v>Miroslav</v>
      </c>
      <c r="E28" t="str">
        <f>TRIM(Tabulka1[[#This Row],[Příjmení]])</f>
        <v>Uvira</v>
      </c>
      <c r="F28" s="2" t="str">
        <f>MID(Tabulka1[[#This Row],[Adresa]],1,SEARCH(",",Tabulka1[[#This Row],[Adresa]])-1)</f>
        <v>Větrník 1393</v>
      </c>
      <c r="G28" s="2" t="str">
        <f>RIGHT(Tabulka1[[#This Row],[Adresa]],LEN(Tabulka1[[#This Row],[Adresa]])-LEN(Tabulka1[[#This Row],[Ulice]])-1)</f>
        <v>Studnice u Náchoda</v>
      </c>
      <c r="H28" s="2" t="str">
        <f>_xlfn.CONCAT(LOWER(Tabulka1[[#This Row],[Příjmení bez mezer]]),".",LOWER(Tabulka1[[#This Row],[Jméno bez mezer]]),"@firmaabc.cz")</f>
        <v>uvira.miroslav@firmaabc.cz</v>
      </c>
      <c r="I28" s="2" t="str">
        <f>_xlfn.CONCAT(LEFT(LOWER(Tabulka1[[#This Row],[Příjmení bez mezer]]),3),RIGHT(UPPER(Tabulka1[[#This Row],[Jméno bez mezer]]),2))</f>
        <v>uviAV</v>
      </c>
    </row>
    <row r="29" spans="1:9">
      <c r="A29" s="2" t="s">
        <v>83</v>
      </c>
      <c r="B29" t="s">
        <v>84</v>
      </c>
      <c r="C29" t="s">
        <v>85</v>
      </c>
      <c r="D29" t="str">
        <f>TRIM(Tabulka1[[#This Row],[Jméno]])</f>
        <v>Katerina</v>
      </c>
      <c r="E29" t="str">
        <f>TRIM(Tabulka1[[#This Row],[Příjmení]])</f>
        <v>Skalska</v>
      </c>
      <c r="F29" s="2" t="str">
        <f>MID(Tabulka1[[#This Row],[Adresa]],1,SEARCH(",",Tabulka1[[#This Row],[Adresa]])-1)</f>
        <v>Jabloňová 497</v>
      </c>
      <c r="G29" s="2" t="str">
        <f>RIGHT(Tabulka1[[#This Row],[Adresa]],LEN(Tabulka1[[#This Row],[Adresa]])-LEN(Tabulka1[[#This Row],[Ulice]])-1)</f>
        <v>Luže</v>
      </c>
      <c r="H29" s="2" t="str">
        <f>_xlfn.CONCAT(LOWER(Tabulka1[[#This Row],[Příjmení bez mezer]]),".",LOWER(Tabulka1[[#This Row],[Jméno bez mezer]]),"@firmaabc.cz")</f>
        <v>skalska.katerina@firmaabc.cz</v>
      </c>
      <c r="I29" s="2" t="str">
        <f>_xlfn.CONCAT(LEFT(LOWER(Tabulka1[[#This Row],[Příjmení bez mezer]]),3),RIGHT(UPPER(Tabulka1[[#This Row],[Jméno bez mezer]]),2))</f>
        <v>skaNA</v>
      </c>
    </row>
    <row r="30" spans="1:9" ht="30">
      <c r="A30" s="2" t="s">
        <v>86</v>
      </c>
      <c r="B30" t="s">
        <v>87</v>
      </c>
      <c r="C30" t="s">
        <v>88</v>
      </c>
      <c r="D30" t="str">
        <f>TRIM(Tabulka1[[#This Row],[Jméno]])</f>
        <v>Martin</v>
      </c>
      <c r="E30" t="str">
        <f>TRIM(Tabulka1[[#This Row],[Příjmení]])</f>
        <v>Simunek</v>
      </c>
      <c r="F30" s="2" t="str">
        <f>MID(Tabulka1[[#This Row],[Adresa]],1,SEARCH(",",Tabulka1[[#This Row],[Adresa]])-1)</f>
        <v>Žerotínova 1547</v>
      </c>
      <c r="G30" s="2" t="str">
        <f>RIGHT(Tabulka1[[#This Row],[Adresa]],LEN(Tabulka1[[#This Row],[Adresa]])-LEN(Tabulka1[[#This Row],[Ulice]])-1)</f>
        <v>Havlíckuv Brod 1</v>
      </c>
      <c r="H30" s="2" t="str">
        <f>_xlfn.CONCAT(LOWER(Tabulka1[[#This Row],[Příjmení bez mezer]]),".",LOWER(Tabulka1[[#This Row],[Jméno bez mezer]]),"@firmaabc.cz")</f>
        <v>simunek.martin@firmaabc.cz</v>
      </c>
      <c r="I30" s="2" t="str">
        <f>_xlfn.CONCAT(LEFT(LOWER(Tabulka1[[#This Row],[Příjmení bez mezer]]),3),RIGHT(UPPER(Tabulka1[[#This Row],[Jméno bez mezer]]),2))</f>
        <v>simIN</v>
      </c>
    </row>
    <row r="31" spans="1:9" ht="30">
      <c r="A31" s="2" t="s">
        <v>89</v>
      </c>
      <c r="B31" t="s">
        <v>90</v>
      </c>
      <c r="C31" t="s">
        <v>91</v>
      </c>
      <c r="D31" t="str">
        <f>TRIM(Tabulka1[[#This Row],[Jméno]])</f>
        <v>Pavel</v>
      </c>
      <c r="E31" t="str">
        <f>TRIM(Tabulka1[[#This Row],[Příjmení]])</f>
        <v>Chlubna</v>
      </c>
      <c r="F31" s="2" t="str">
        <f>MID(Tabulka1[[#This Row],[Adresa]],1,SEARCH(",",Tabulka1[[#This Row],[Adresa]])-1)</f>
        <v>Ehrmannova 1496</v>
      </c>
      <c r="G31" s="2" t="str">
        <f>RIGHT(Tabulka1[[#This Row],[Adresa]],LEN(Tabulka1[[#This Row],[Adresa]])-LEN(Tabulka1[[#This Row],[Ulice]])-1)</f>
        <v>Zastávka u Brna</v>
      </c>
      <c r="H31" s="2" t="str">
        <f>_xlfn.CONCAT(LOWER(Tabulka1[[#This Row],[Příjmení bez mezer]]),".",LOWER(Tabulka1[[#This Row],[Jméno bez mezer]]),"@firmaabc.cz")</f>
        <v>chlubna.pavel@firmaabc.cz</v>
      </c>
      <c r="I31" s="2" t="str">
        <f>_xlfn.CONCAT(LEFT(LOWER(Tabulka1[[#This Row],[Příjmení bez mezer]]),3),RIGHT(UPPER(Tabulka1[[#This Row],[Jméno bez mezer]]),2))</f>
        <v>chlEL</v>
      </c>
    </row>
    <row r="32" spans="1:9">
      <c r="A32" s="2" t="s">
        <v>92</v>
      </c>
      <c r="B32" t="s">
        <v>93</v>
      </c>
      <c r="C32" t="s">
        <v>94</v>
      </c>
      <c r="D32" t="str">
        <f>TRIM(Tabulka1[[#This Row],[Jméno]])</f>
        <v>Vera</v>
      </c>
      <c r="E32" t="str">
        <f>TRIM(Tabulka1[[#This Row],[Příjmení]])</f>
        <v>Kubistova</v>
      </c>
      <c r="F32" s="2" t="str">
        <f>MID(Tabulka1[[#This Row],[Adresa]],1,SEARCH(",",Tabulka1[[#This Row],[Adresa]])-1)</f>
        <v>Teperova 190</v>
      </c>
      <c r="G32" s="2" t="str">
        <f>RIGHT(Tabulka1[[#This Row],[Adresa]],LEN(Tabulka1[[#This Row],[Adresa]])-LEN(Tabulka1[[#This Row],[Ulice]])-1)</f>
        <v>Modrice</v>
      </c>
      <c r="H32" s="2" t="str">
        <f>_xlfn.CONCAT(LOWER(Tabulka1[[#This Row],[Příjmení bez mezer]]),".",LOWER(Tabulka1[[#This Row],[Jméno bez mezer]]),"@firmaabc.cz")</f>
        <v>kubistova.vera@firmaabc.cz</v>
      </c>
      <c r="I32" s="2" t="str">
        <f>_xlfn.CONCAT(LEFT(LOWER(Tabulka1[[#This Row],[Příjmení bez mezer]]),3),RIGHT(UPPER(Tabulka1[[#This Row],[Jméno bez mezer]]),2))</f>
        <v>kubRA</v>
      </c>
    </row>
    <row r="33" spans="1:9" ht="30">
      <c r="A33" s="2" t="s">
        <v>95</v>
      </c>
      <c r="B33" t="s">
        <v>17</v>
      </c>
      <c r="C33" t="s">
        <v>96</v>
      </c>
      <c r="D33" t="str">
        <f>TRIM(Tabulka1[[#This Row],[Jméno]])</f>
        <v>Vladimir</v>
      </c>
      <c r="E33" t="str">
        <f>TRIM(Tabulka1[[#This Row],[Příjmení]])</f>
        <v>Hovorka</v>
      </c>
      <c r="F33" s="2" t="str">
        <f>MID(Tabulka1[[#This Row],[Adresa]],1,SEARCH(",",Tabulka1[[#This Row],[Adresa]])-1)</f>
        <v>Lomená 278</v>
      </c>
      <c r="G33" s="2" t="str">
        <f>RIGHT(Tabulka1[[#This Row],[Adresa]],LEN(Tabulka1[[#This Row],[Adresa]])-LEN(Tabulka1[[#This Row],[Ulice]])-1)</f>
        <v>Uhercice u Znojma</v>
      </c>
      <c r="H33" s="2" t="str">
        <f>_xlfn.CONCAT(LOWER(Tabulka1[[#This Row],[Příjmení bez mezer]]),".",LOWER(Tabulka1[[#This Row],[Jméno bez mezer]]),"@firmaabc.cz")</f>
        <v>hovorka.vladimir@firmaabc.cz</v>
      </c>
      <c r="I33" s="2" t="str">
        <f>_xlfn.CONCAT(LEFT(LOWER(Tabulka1[[#This Row],[Příjmení bez mezer]]),3),RIGHT(UPPER(Tabulka1[[#This Row],[Jméno bez mezer]]),2))</f>
        <v>hovIR</v>
      </c>
    </row>
    <row r="34" spans="1:9">
      <c r="A34" s="2" t="s">
        <v>97</v>
      </c>
      <c r="B34" t="s">
        <v>98</v>
      </c>
      <c r="C34" t="s">
        <v>99</v>
      </c>
      <c r="D34" t="str">
        <f>TRIM(Tabulka1[[#This Row],[Jméno]])</f>
        <v>Lukas</v>
      </c>
      <c r="E34" t="str">
        <f>TRIM(Tabulka1[[#This Row],[Příjmení]])</f>
        <v>Vesely</v>
      </c>
      <c r="F34" s="2" t="str">
        <f>MID(Tabulka1[[#This Row],[Adresa]],1,SEARCH(",",Tabulka1[[#This Row],[Adresa]])-1)</f>
        <v>Smetanova 291</v>
      </c>
      <c r="G34" s="2" t="str">
        <f>RIGHT(Tabulka1[[#This Row],[Adresa]],LEN(Tabulka1[[#This Row],[Adresa]])-LEN(Tabulka1[[#This Row],[Ulice]])-1)</f>
        <v>Prelouc</v>
      </c>
      <c r="H34" s="2" t="str">
        <f>_xlfn.CONCAT(LOWER(Tabulka1[[#This Row],[Příjmení bez mezer]]),".",LOWER(Tabulka1[[#This Row],[Jméno bez mezer]]),"@firmaabc.cz")</f>
        <v>vesely.lukas@firmaabc.cz</v>
      </c>
      <c r="I34" s="2" t="str">
        <f>_xlfn.CONCAT(LEFT(LOWER(Tabulka1[[#This Row],[Příjmení bez mezer]]),3),RIGHT(UPPER(Tabulka1[[#This Row],[Jméno bez mezer]]),2))</f>
        <v>vesAS</v>
      </c>
    </row>
    <row r="35" spans="1:9">
      <c r="A35" s="2" t="s">
        <v>100</v>
      </c>
      <c r="B35" t="s">
        <v>35</v>
      </c>
      <c r="C35" t="s">
        <v>101</v>
      </c>
      <c r="D35" t="str">
        <f>TRIM(Tabulka1[[#This Row],[Jméno]])</f>
        <v>Karolina</v>
      </c>
      <c r="E35" t="str">
        <f>TRIM(Tabulka1[[#This Row],[Příjmení]])</f>
        <v>Klingerova</v>
      </c>
      <c r="F35" s="2" t="str">
        <f>MID(Tabulka1[[#This Row],[Adresa]],1,SEARCH(",",Tabulka1[[#This Row],[Adresa]])-1)</f>
        <v>Strmá 494</v>
      </c>
      <c r="G35" s="2" t="str">
        <f>RIGHT(Tabulka1[[#This Row],[Adresa]],LEN(Tabulka1[[#This Row],[Adresa]])-LEN(Tabulka1[[#This Row],[Ulice]])-1)</f>
        <v>Baška</v>
      </c>
      <c r="H35" s="2" t="str">
        <f>_xlfn.CONCAT(LOWER(Tabulka1[[#This Row],[Příjmení bez mezer]]),".",LOWER(Tabulka1[[#This Row],[Jméno bez mezer]]),"@firmaabc.cz")</f>
        <v>klingerova.karolina@firmaabc.cz</v>
      </c>
      <c r="I35" s="2" t="str">
        <f>_xlfn.CONCAT(LEFT(LOWER(Tabulka1[[#This Row],[Příjmení bez mezer]]),3),RIGHT(UPPER(Tabulka1[[#This Row],[Jméno bez mezer]]),2))</f>
        <v>kliNA</v>
      </c>
    </row>
    <row r="36" spans="1:9" ht="30">
      <c r="A36" s="2" t="s">
        <v>102</v>
      </c>
      <c r="B36" t="s">
        <v>103</v>
      </c>
      <c r="C36" t="s">
        <v>104</v>
      </c>
      <c r="D36" t="str">
        <f>TRIM(Tabulka1[[#This Row],[Jméno]])</f>
        <v>Frantisek</v>
      </c>
      <c r="E36" t="str">
        <f>TRIM(Tabulka1[[#This Row],[Příjmení]])</f>
        <v>Tuma</v>
      </c>
      <c r="F36" s="2" t="str">
        <f>MID(Tabulka1[[#This Row],[Adresa]],1,SEARCH(",",Tabulka1[[#This Row],[Adresa]])-1)</f>
        <v>Ehrmannova 643</v>
      </c>
      <c r="G36" s="2" t="str">
        <f>RIGHT(Tabulka1[[#This Row],[Adresa]],LEN(Tabulka1[[#This Row],[Adresa]])-LEN(Tabulka1[[#This Row],[Ulice]])-1)</f>
        <v>Veverská Bítýška</v>
      </c>
      <c r="H36" s="2" t="str">
        <f>_xlfn.CONCAT(LOWER(Tabulka1[[#This Row],[Příjmení bez mezer]]),".",LOWER(Tabulka1[[#This Row],[Jméno bez mezer]]),"@firmaabc.cz")</f>
        <v>tuma.frantisek@firmaabc.cz</v>
      </c>
      <c r="I36" s="2" t="str">
        <f>_xlfn.CONCAT(LEFT(LOWER(Tabulka1[[#This Row],[Příjmení bez mezer]]),3),RIGHT(UPPER(Tabulka1[[#This Row],[Jméno bez mezer]]),2))</f>
        <v>tumEK</v>
      </c>
    </row>
    <row r="37" spans="1:9" ht="30">
      <c r="A37" s="2" t="s">
        <v>105</v>
      </c>
      <c r="B37" t="s">
        <v>106</v>
      </c>
      <c r="C37" t="s">
        <v>107</v>
      </c>
      <c r="D37" t="str">
        <f>TRIM(Tabulka1[[#This Row],[Jméno]])</f>
        <v>Alena</v>
      </c>
      <c r="E37" t="str">
        <f>TRIM(Tabulka1[[#This Row],[Příjmení]])</f>
        <v>Vasickova</v>
      </c>
      <c r="F37" s="2" t="str">
        <f>MID(Tabulka1[[#This Row],[Adresa]],1,SEARCH(",",Tabulka1[[#This Row],[Adresa]])-1)</f>
        <v>Větrná 1384</v>
      </c>
      <c r="G37" s="2" t="str">
        <f>RIGHT(Tabulka1[[#This Row],[Adresa]],LEN(Tabulka1[[#This Row],[Adresa]])-LEN(Tabulka1[[#This Row],[Ulice]])-1)</f>
        <v>Babice u Uherského Hradište</v>
      </c>
      <c r="H37" s="2" t="str">
        <f>_xlfn.CONCAT(LOWER(Tabulka1[[#This Row],[Příjmení bez mezer]]),".",LOWER(Tabulka1[[#This Row],[Jméno bez mezer]]),"@firmaabc.cz")</f>
        <v>vasickova.alena@firmaabc.cz</v>
      </c>
      <c r="I37" s="2" t="str">
        <f>_xlfn.CONCAT(LEFT(LOWER(Tabulka1[[#This Row],[Příjmení bez mezer]]),3),RIGHT(UPPER(Tabulka1[[#This Row],[Jméno bez mezer]]),2))</f>
        <v>vasNA</v>
      </c>
    </row>
    <row r="38" spans="1:9">
      <c r="A38" s="2" t="s">
        <v>108</v>
      </c>
      <c r="B38" t="s">
        <v>109</v>
      </c>
      <c r="C38" t="s">
        <v>110</v>
      </c>
      <c r="D38" t="str">
        <f>TRIM(Tabulka1[[#This Row],[Jméno]])</f>
        <v>Sarka</v>
      </c>
      <c r="E38" t="str">
        <f>TRIM(Tabulka1[[#This Row],[Příjmení]])</f>
        <v>Prihodova</v>
      </c>
      <c r="F38" s="2" t="str">
        <f>MID(Tabulka1[[#This Row],[Adresa]],1,SEARCH(",",Tabulka1[[#This Row],[Adresa]])-1)</f>
        <v>Tyršova 580</v>
      </c>
      <c r="G38" s="2" t="str">
        <f>RIGHT(Tabulka1[[#This Row],[Adresa]],LEN(Tabulka1[[#This Row],[Adresa]])-LEN(Tabulka1[[#This Row],[Ulice]])-1)</f>
        <v>Horaždovice</v>
      </c>
      <c r="H38" s="2" t="str">
        <f>_xlfn.CONCAT(LOWER(Tabulka1[[#This Row],[Příjmení bez mezer]]),".",LOWER(Tabulka1[[#This Row],[Jméno bez mezer]]),"@firmaabc.cz")</f>
        <v>prihodova.sarka@firmaabc.cz</v>
      </c>
      <c r="I38" s="2" t="str">
        <f>_xlfn.CONCAT(LEFT(LOWER(Tabulka1[[#This Row],[Příjmení bez mezer]]),3),RIGHT(UPPER(Tabulka1[[#This Row],[Jméno bez mezer]]),2))</f>
        <v>priKA</v>
      </c>
    </row>
    <row r="39" spans="1:9">
      <c r="A39" s="2" t="s">
        <v>111</v>
      </c>
      <c r="B39" t="s">
        <v>112</v>
      </c>
      <c r="C39" t="s">
        <v>113</v>
      </c>
      <c r="D39" t="str">
        <f>TRIM(Tabulka1[[#This Row],[Jméno]])</f>
        <v>Oldrich</v>
      </c>
      <c r="E39" t="str">
        <f>TRIM(Tabulka1[[#This Row],[Příjmení]])</f>
        <v>Sedlak</v>
      </c>
      <c r="F39" s="2" t="str">
        <f>MID(Tabulka1[[#This Row],[Adresa]],1,SEARCH(",",Tabulka1[[#This Row],[Adresa]])-1)</f>
        <v>Strmá 1852</v>
      </c>
      <c r="G39" s="2" t="str">
        <f>RIGHT(Tabulka1[[#This Row],[Adresa]],LEN(Tabulka1[[#This Row],[Adresa]])-LEN(Tabulka1[[#This Row],[Ulice]])-1)</f>
        <v>Celadná</v>
      </c>
      <c r="H39" s="2" t="str">
        <f>_xlfn.CONCAT(LOWER(Tabulka1[[#This Row],[Příjmení bez mezer]]),".",LOWER(Tabulka1[[#This Row],[Jméno bez mezer]]),"@firmaabc.cz")</f>
        <v>sedlak.oldrich@firmaabc.cz</v>
      </c>
      <c r="I39" s="2" t="str">
        <f>_xlfn.CONCAT(LEFT(LOWER(Tabulka1[[#This Row],[Příjmení bez mezer]]),3),RIGHT(UPPER(Tabulka1[[#This Row],[Jméno bez mezer]]),2))</f>
        <v>sedCH</v>
      </c>
    </row>
    <row r="40" spans="1:9">
      <c r="A40" s="2" t="s">
        <v>114</v>
      </c>
      <c r="B40" t="s">
        <v>115</v>
      </c>
      <c r="C40" t="s">
        <v>116</v>
      </c>
      <c r="D40" t="str">
        <f>TRIM(Tabulka1[[#This Row],[Jméno]])</f>
        <v>Jiri</v>
      </c>
      <c r="E40" t="str">
        <f>TRIM(Tabulka1[[#This Row],[Příjmení]])</f>
        <v>?Dvorak</v>
      </c>
      <c r="F40" s="2" t="str">
        <f>MID(Tabulka1[[#This Row],[Adresa]],1,SEARCH(",",Tabulka1[[#This Row],[Adresa]])-1)</f>
        <v>Tyršova 719</v>
      </c>
      <c r="G40" s="2" t="str">
        <f>RIGHT(Tabulka1[[#This Row],[Adresa]],LEN(Tabulka1[[#This Row],[Adresa]])-LEN(Tabulka1[[#This Row],[Ulice]])-1)</f>
        <v>Trebon</v>
      </c>
      <c r="H40" s="2" t="str">
        <f>_xlfn.CONCAT(LOWER(Tabulka1[[#This Row],[Příjmení bez mezer]]),".",LOWER(Tabulka1[[#This Row],[Jméno bez mezer]]),"@firmaabc.cz")</f>
        <v>?dvorak.jiri@firmaabc.cz</v>
      </c>
      <c r="I40" s="2" t="str">
        <f>_xlfn.CONCAT(LEFT(LOWER(Tabulka1[[#This Row],[Příjmení bez mezer]]),3),RIGHT(UPPER(Tabulka1[[#This Row],[Jméno bez mezer]]),2))</f>
        <v>?dvRI</v>
      </c>
    </row>
    <row r="41" spans="1:9">
      <c r="A41" s="2" t="s">
        <v>117</v>
      </c>
      <c r="B41" t="s">
        <v>118</v>
      </c>
      <c r="C41" t="s">
        <v>119</v>
      </c>
      <c r="D41" t="str">
        <f>TRIM(Tabulka1[[#This Row],[Jméno]])</f>
        <v>Radomila</v>
      </c>
      <c r="E41" t="str">
        <f>TRIM(Tabulka1[[#This Row],[Příjmení]])</f>
        <v>Dankova</v>
      </c>
      <c r="F41" s="2" t="str">
        <f>MID(Tabulka1[[#This Row],[Adresa]],1,SEARCH(",",Tabulka1[[#This Row],[Adresa]])-1)</f>
        <v>Nové Město 1256</v>
      </c>
      <c r="G41" s="2" t="str">
        <f>RIGHT(Tabulka1[[#This Row],[Adresa]],LEN(Tabulka1[[#This Row],[Adresa]])-LEN(Tabulka1[[#This Row],[Ulice]])-1)</f>
        <v>Dušejov</v>
      </c>
      <c r="H41" s="2" t="str">
        <f>_xlfn.CONCAT(LOWER(Tabulka1[[#This Row],[Příjmení bez mezer]]),".",LOWER(Tabulka1[[#This Row],[Jméno bez mezer]]),"@firmaabc.cz")</f>
        <v>dankova.radomila@firmaabc.cz</v>
      </c>
      <c r="I41" s="2" t="str">
        <f>_xlfn.CONCAT(LEFT(LOWER(Tabulka1[[#This Row],[Příjmení bez mezer]]),3),RIGHT(UPPER(Tabulka1[[#This Row],[Jméno bez mezer]]),2))</f>
        <v>danLA</v>
      </c>
    </row>
    <row r="42" spans="1:9" ht="30">
      <c r="A42" s="2" t="s">
        <v>120</v>
      </c>
      <c r="B42" t="s">
        <v>44</v>
      </c>
      <c r="C42" t="s">
        <v>121</v>
      </c>
      <c r="D42" t="str">
        <f>TRIM(Tabulka1[[#This Row],[Jméno]])</f>
        <v>Marie</v>
      </c>
      <c r="E42" t="str">
        <f>TRIM(Tabulka1[[#This Row],[Příjmení]])</f>
        <v>Bradacova</v>
      </c>
      <c r="F42" s="2" t="str">
        <f>MID(Tabulka1[[#This Row],[Adresa]],1,SEARCH(",",Tabulka1[[#This Row],[Adresa]])-1)</f>
        <v>Družstevní práce 620</v>
      </c>
      <c r="G42" s="2" t="str">
        <f>RIGHT(Tabulka1[[#This Row],[Adresa]],LEN(Tabulka1[[#This Row],[Adresa]])-LEN(Tabulka1[[#This Row],[Ulice]])-1)</f>
        <v>Lhota pod Libcany</v>
      </c>
      <c r="H42" s="2" t="str">
        <f>_xlfn.CONCAT(LOWER(Tabulka1[[#This Row],[Příjmení bez mezer]]),".",LOWER(Tabulka1[[#This Row],[Jméno bez mezer]]),"@firmaabc.cz")</f>
        <v>bradacova.marie@firmaabc.cz</v>
      </c>
      <c r="I42" s="2" t="str">
        <f>_xlfn.CONCAT(LEFT(LOWER(Tabulka1[[#This Row],[Příjmení bez mezer]]),3),RIGHT(UPPER(Tabulka1[[#This Row],[Jméno bez mezer]]),2))</f>
        <v>braIE</v>
      </c>
    </row>
    <row r="43" spans="1:9">
      <c r="A43" s="2" t="s">
        <v>122</v>
      </c>
      <c r="B43" t="s">
        <v>66</v>
      </c>
      <c r="C43" t="s">
        <v>123</v>
      </c>
      <c r="D43" t="str">
        <f>TRIM(Tabulka1[[#This Row],[Jméno]])</f>
        <v>Karel</v>
      </c>
      <c r="E43" t="str">
        <f>TRIM(Tabulka1[[#This Row],[Příjmení]])</f>
        <v>Skaloud</v>
      </c>
      <c r="F43" s="2" t="str">
        <f>MID(Tabulka1[[#This Row],[Adresa]],1,SEARCH(",",Tabulka1[[#This Row],[Adresa]])-1)</f>
        <v>K Pazderně 351</v>
      </c>
      <c r="G43" s="2" t="str">
        <f>RIGHT(Tabulka1[[#This Row],[Adresa]],LEN(Tabulka1[[#This Row],[Adresa]])-LEN(Tabulka1[[#This Row],[Ulice]])-1)</f>
        <v>Vlašim</v>
      </c>
      <c r="H43" s="2" t="str">
        <f>_xlfn.CONCAT(LOWER(Tabulka1[[#This Row],[Příjmení bez mezer]]),".",LOWER(Tabulka1[[#This Row],[Jméno bez mezer]]),"@firmaabc.cz")</f>
        <v>skaloud.karel@firmaabc.cz</v>
      </c>
      <c r="I43" s="2" t="str">
        <f>_xlfn.CONCAT(LEFT(LOWER(Tabulka1[[#This Row],[Příjmení bez mezer]]),3),RIGHT(UPPER(Tabulka1[[#This Row],[Jméno bez mezer]]),2))</f>
        <v>skaEL</v>
      </c>
    </row>
    <row r="44" spans="1:9">
      <c r="A44" s="2" t="s">
        <v>124</v>
      </c>
      <c r="B44" t="s">
        <v>125</v>
      </c>
      <c r="C44" t="s">
        <v>126</v>
      </c>
      <c r="D44" t="str">
        <f>TRIM(Tabulka1[[#This Row],[Jméno]])</f>
        <v>Veronika</v>
      </c>
      <c r="E44" t="str">
        <f>TRIM(Tabulka1[[#This Row],[Příjmení]])</f>
        <v>Mullerova</v>
      </c>
      <c r="F44" s="2" t="str">
        <f>MID(Tabulka1[[#This Row],[Adresa]],1,SEARCH(",",Tabulka1[[#This Row],[Adresa]])-1)</f>
        <v>Americká 1703</v>
      </c>
      <c r="G44" s="2" t="str">
        <f>RIGHT(Tabulka1[[#This Row],[Adresa]],LEN(Tabulka1[[#This Row],[Adresa]])-LEN(Tabulka1[[#This Row],[Ulice]])-1)</f>
        <v>Kdyne</v>
      </c>
      <c r="H44" s="2" t="str">
        <f>_xlfn.CONCAT(LOWER(Tabulka1[[#This Row],[Příjmení bez mezer]]),".",LOWER(Tabulka1[[#This Row],[Jméno bez mezer]]),"@firmaabc.cz")</f>
        <v>mullerova.veronika@firmaabc.cz</v>
      </c>
      <c r="I44" s="2" t="str">
        <f>_xlfn.CONCAT(LEFT(LOWER(Tabulka1[[#This Row],[Příjmení bez mezer]]),3),RIGHT(UPPER(Tabulka1[[#This Row],[Jméno bez mezer]]),2))</f>
        <v>mulKA</v>
      </c>
    </row>
    <row r="45" spans="1:9" ht="30">
      <c r="A45" s="2" t="s">
        <v>127</v>
      </c>
      <c r="B45" t="s">
        <v>128</v>
      </c>
      <c r="C45" t="s">
        <v>129</v>
      </c>
      <c r="D45" t="str">
        <f>TRIM(Tabulka1[[#This Row],[Jméno]])</f>
        <v>Filip</v>
      </c>
      <c r="E45" t="str">
        <f>TRIM(Tabulka1[[#This Row],[Příjmení]])</f>
        <v>Lukasek</v>
      </c>
      <c r="F45" s="2" t="str">
        <f>MID(Tabulka1[[#This Row],[Adresa]],1,SEARCH(",",Tabulka1[[#This Row],[Adresa]])-1)</f>
        <v>Nové Město 1745</v>
      </c>
      <c r="G45" s="2" t="str">
        <f>RIGHT(Tabulka1[[#This Row],[Adresa]],LEN(Tabulka1[[#This Row],[Adresa]])-LEN(Tabulka1[[#This Row],[Ulice]])-1)</f>
        <v>Ledec nad Sázavou</v>
      </c>
      <c r="H45" s="2" t="str">
        <f>_xlfn.CONCAT(LOWER(Tabulka1[[#This Row],[Příjmení bez mezer]]),".",LOWER(Tabulka1[[#This Row],[Jméno bez mezer]]),"@firmaabc.cz")</f>
        <v>lukasek.filip@firmaabc.cz</v>
      </c>
      <c r="I45" s="2" t="str">
        <f>_xlfn.CONCAT(LEFT(LOWER(Tabulka1[[#This Row],[Příjmení bez mezer]]),3),RIGHT(UPPER(Tabulka1[[#This Row],[Jméno bez mezer]]),2))</f>
        <v>lukIP</v>
      </c>
    </row>
    <row r="46" spans="1:9">
      <c r="A46" s="2" t="s">
        <v>130</v>
      </c>
      <c r="B46" t="s">
        <v>131</v>
      </c>
      <c r="C46" t="s">
        <v>132</v>
      </c>
      <c r="D46" t="str">
        <f>TRIM(Tabulka1[[#This Row],[Jméno]])</f>
        <v>Vladislav</v>
      </c>
      <c r="E46" t="str">
        <f>TRIM(Tabulka1[[#This Row],[Příjmení]])</f>
        <v>Bartos</v>
      </c>
      <c r="F46" s="2" t="str">
        <f>MID(Tabulka1[[#This Row],[Adresa]],1,SEARCH(",",Tabulka1[[#This Row],[Adresa]])-1)</f>
        <v>V Trávníkách 929</v>
      </c>
      <c r="G46" s="2" t="str">
        <f>RIGHT(Tabulka1[[#This Row],[Adresa]],LEN(Tabulka1[[#This Row],[Adresa]])-LEN(Tabulka1[[#This Row],[Ulice]])-1)</f>
        <v>Rádlo</v>
      </c>
      <c r="H46" s="2" t="str">
        <f>_xlfn.CONCAT(LOWER(Tabulka1[[#This Row],[Příjmení bez mezer]]),".",LOWER(Tabulka1[[#This Row],[Jméno bez mezer]]),"@firmaabc.cz")</f>
        <v>bartos.vladislav@firmaabc.cz</v>
      </c>
      <c r="I46" s="2" t="str">
        <f>_xlfn.CONCAT(LEFT(LOWER(Tabulka1[[#This Row],[Příjmení bez mezer]]),3),RIGHT(UPPER(Tabulka1[[#This Row],[Jméno bez mezer]]),2))</f>
        <v>barAV</v>
      </c>
    </row>
    <row r="47" spans="1:9">
      <c r="A47" s="2" t="s">
        <v>133</v>
      </c>
      <c r="B47" t="s">
        <v>134</v>
      </c>
      <c r="C47" t="s">
        <v>135</v>
      </c>
      <c r="D47" t="str">
        <f>TRIM(Tabulka1[[#This Row],[Jméno]])</f>
        <v>Dominika</v>
      </c>
      <c r="E47" t="str">
        <f>TRIM(Tabulka1[[#This Row],[Příjmení]])</f>
        <v>Platenikova</v>
      </c>
      <c r="F47" s="2" t="str">
        <f>MID(Tabulka1[[#This Row],[Adresa]],1,SEARCH(",",Tabulka1[[#This Row],[Adresa]])-1)</f>
        <v>Třebčínská 927</v>
      </c>
      <c r="G47" s="2" t="str">
        <f>RIGHT(Tabulka1[[#This Row],[Adresa]],LEN(Tabulka1[[#This Row],[Adresa]])-LEN(Tabulka1[[#This Row],[Ulice]])-1)</f>
        <v>Cholina</v>
      </c>
      <c r="H47" s="2" t="str">
        <f>_xlfn.CONCAT(LOWER(Tabulka1[[#This Row],[Příjmení bez mezer]]),".",LOWER(Tabulka1[[#This Row],[Jméno bez mezer]]),"@firmaabc.cz")</f>
        <v>platenikova.dominika@firmaabc.cz</v>
      </c>
      <c r="I47" s="2" t="str">
        <f>_xlfn.CONCAT(LEFT(LOWER(Tabulka1[[#This Row],[Příjmení bez mezer]]),3),RIGHT(UPPER(Tabulka1[[#This Row],[Jméno bez mezer]]),2))</f>
        <v>plaKA</v>
      </c>
    </row>
    <row r="48" spans="1:9">
      <c r="A48" s="2" t="s">
        <v>136</v>
      </c>
      <c r="B48" t="s">
        <v>137</v>
      </c>
      <c r="C48" t="s">
        <v>138</v>
      </c>
      <c r="D48" t="str">
        <f>TRIM(Tabulka1[[#This Row],[Jméno]])</f>
        <v>Ondrej</v>
      </c>
      <c r="E48" t="str">
        <f>TRIM(Tabulka1[[#This Row],[Příjmení]])</f>
        <v>Miksovsky</v>
      </c>
      <c r="F48" s="2" t="str">
        <f>MID(Tabulka1[[#This Row],[Adresa]],1,SEARCH(",",Tabulka1[[#This Row],[Adresa]])-1)</f>
        <v>Osvobození 515</v>
      </c>
      <c r="G48" s="2" t="str">
        <f>RIGHT(Tabulka1[[#This Row],[Adresa]],LEN(Tabulka1[[#This Row],[Adresa]])-LEN(Tabulka1[[#This Row],[Ulice]])-1)</f>
        <v>Bohumín 3</v>
      </c>
      <c r="H48" s="2" t="str">
        <f>_xlfn.CONCAT(LOWER(Tabulka1[[#This Row],[Příjmení bez mezer]]),".",LOWER(Tabulka1[[#This Row],[Jméno bez mezer]]),"@firmaabc.cz")</f>
        <v>miksovsky.ondrej@firmaabc.cz</v>
      </c>
      <c r="I48" s="2" t="str">
        <f>_xlfn.CONCAT(LEFT(LOWER(Tabulka1[[#This Row],[Příjmení bez mezer]]),3),RIGHT(UPPER(Tabulka1[[#This Row],[Jméno bez mezer]]),2))</f>
        <v>mikEJ</v>
      </c>
    </row>
    <row r="49" spans="1:9" ht="30">
      <c r="A49" s="2" t="s">
        <v>139</v>
      </c>
      <c r="B49" t="s">
        <v>140</v>
      </c>
      <c r="C49" t="s">
        <v>141</v>
      </c>
      <c r="D49" t="str">
        <f>TRIM(Tabulka1[[#This Row],[Jméno]])</f>
        <v>Iveta</v>
      </c>
      <c r="E49" t="str">
        <f>TRIM(Tabulka1[[#This Row],[Příjmení]])</f>
        <v>Janickova</v>
      </c>
      <c r="F49" s="2" t="str">
        <f>MID(Tabulka1[[#This Row],[Adresa]],1,SEARCH(",",Tabulka1[[#This Row],[Adresa]])-1)</f>
        <v>Českého odboje 992</v>
      </c>
      <c r="G49" s="2" t="str">
        <f>RIGHT(Tabulka1[[#This Row],[Adresa]],LEN(Tabulka1[[#This Row],[Adresa]])-LEN(Tabulka1[[#This Row],[Ulice]])-1)</f>
        <v>Dobruška</v>
      </c>
      <c r="H49" s="2" t="str">
        <f>_xlfn.CONCAT(LOWER(Tabulka1[[#This Row],[Příjmení bez mezer]]),".",LOWER(Tabulka1[[#This Row],[Jméno bez mezer]]),"@firmaabc.cz")</f>
        <v>janickova.iveta@firmaabc.cz</v>
      </c>
      <c r="I49" s="2" t="str">
        <f>_xlfn.CONCAT(LEFT(LOWER(Tabulka1[[#This Row],[Příjmení bez mezer]]),3),RIGHT(UPPER(Tabulka1[[#This Row],[Jméno bez mezer]]),2))</f>
        <v>janTA</v>
      </c>
    </row>
    <row r="50" spans="1:9">
      <c r="A50" s="2" t="s">
        <v>142</v>
      </c>
      <c r="B50" t="s">
        <v>84</v>
      </c>
      <c r="C50" t="s">
        <v>143</v>
      </c>
      <c r="D50" t="str">
        <f>TRIM(Tabulka1[[#This Row],[Jméno]])</f>
        <v>Katerina</v>
      </c>
      <c r="E50" t="str">
        <f>TRIM(Tabulka1[[#This Row],[Příjmení]])</f>
        <v>Kubatova</v>
      </c>
      <c r="F50" s="2" t="str">
        <f>MID(Tabulka1[[#This Row],[Adresa]],1,SEARCH(",",Tabulka1[[#This Row],[Adresa]])-1)</f>
        <v>Příční 1282</v>
      </c>
      <c r="G50" s="2" t="str">
        <f>RIGHT(Tabulka1[[#This Row],[Adresa]],LEN(Tabulka1[[#This Row],[Adresa]])-LEN(Tabulka1[[#This Row],[Ulice]])-1)</f>
        <v>Valašská Bystrice</v>
      </c>
      <c r="H50" s="2" t="str">
        <f>_xlfn.CONCAT(LOWER(Tabulka1[[#This Row],[Příjmení bez mezer]]),".",LOWER(Tabulka1[[#This Row],[Jméno bez mezer]]),"@firmaabc.cz")</f>
        <v>kubatova.katerina@firmaabc.cz</v>
      </c>
      <c r="I50" s="2" t="str">
        <f>_xlfn.CONCAT(LEFT(LOWER(Tabulka1[[#This Row],[Příjmení bez mezer]]),3),RIGHT(UPPER(Tabulka1[[#This Row],[Jméno bez mezer]]),2))</f>
        <v>kubNA</v>
      </c>
    </row>
    <row r="51" spans="1:9">
      <c r="A51" s="2" t="s">
        <v>144</v>
      </c>
      <c r="B51" t="s">
        <v>90</v>
      </c>
      <c r="C51" t="s">
        <v>145</v>
      </c>
      <c r="D51" t="str">
        <f>TRIM(Tabulka1[[#This Row],[Jméno]])</f>
        <v>Pavel</v>
      </c>
      <c r="E51" t="str">
        <f>TRIM(Tabulka1[[#This Row],[Příjmení]])</f>
        <v>Horvath</v>
      </c>
      <c r="F51" s="2" t="str">
        <f>MID(Tabulka1[[#This Row],[Adresa]],1,SEARCH(",",Tabulka1[[#This Row],[Adresa]])-1)</f>
        <v>Úzká 1118</v>
      </c>
      <c r="G51" s="2" t="str">
        <f>RIGHT(Tabulka1[[#This Row],[Adresa]],LEN(Tabulka1[[#This Row],[Adresa]])-LEN(Tabulka1[[#This Row],[Ulice]])-1)</f>
        <v>Brezí u Mikulova</v>
      </c>
      <c r="H51" s="2" t="str">
        <f>_xlfn.CONCAT(LOWER(Tabulka1[[#This Row],[Příjmení bez mezer]]),".",LOWER(Tabulka1[[#This Row],[Jméno bez mezer]]),"@firmaabc.cz")</f>
        <v>horvath.pavel@firmaabc.cz</v>
      </c>
      <c r="I51" s="2" t="str">
        <f>_xlfn.CONCAT(LEFT(LOWER(Tabulka1[[#This Row],[Příjmení bez mezer]]),3),RIGHT(UPPER(Tabulka1[[#This Row],[Jméno bez mezer]]),2))</f>
        <v>horEL</v>
      </c>
    </row>
    <row r="52" spans="1:9" ht="30">
      <c r="A52" s="2" t="s">
        <v>146</v>
      </c>
      <c r="B52" t="s">
        <v>147</v>
      </c>
      <c r="C52" t="s">
        <v>148</v>
      </c>
      <c r="D52" t="str">
        <f>TRIM(Tabulka1[[#This Row],[Jméno]])</f>
        <v>Hana</v>
      </c>
      <c r="E52" t="str">
        <f>TRIM(Tabulka1[[#This Row],[Příjmení]])</f>
        <v>Chudobova</v>
      </c>
      <c r="F52" s="2" t="str">
        <f>MID(Tabulka1[[#This Row],[Adresa]],1,SEARCH(",",Tabulka1[[#This Row],[Adresa]])-1)</f>
        <v>Na Výsluní 1524</v>
      </c>
      <c r="G52" s="2" t="str">
        <f>RIGHT(Tabulka1[[#This Row],[Adresa]],LEN(Tabulka1[[#This Row],[Adresa]])-LEN(Tabulka1[[#This Row],[Ulice]])-1)</f>
        <v>Dolní Brežany</v>
      </c>
      <c r="H52" s="2" t="str">
        <f>_xlfn.CONCAT(LOWER(Tabulka1[[#This Row],[Příjmení bez mezer]]),".",LOWER(Tabulka1[[#This Row],[Jméno bez mezer]]),"@firmaabc.cz")</f>
        <v>chudobova.hana@firmaabc.cz</v>
      </c>
      <c r="I52" s="2" t="str">
        <f>_xlfn.CONCAT(LEFT(LOWER(Tabulka1[[#This Row],[Příjmení bez mezer]]),3),RIGHT(UPPER(Tabulka1[[#This Row],[Jméno bez mezer]]),2))</f>
        <v>chuNA</v>
      </c>
    </row>
    <row r="53" spans="1:9">
      <c r="A53" s="2" t="s">
        <v>149</v>
      </c>
      <c r="B53" t="s">
        <v>150</v>
      </c>
      <c r="C53" t="s">
        <v>151</v>
      </c>
      <c r="D53" t="str">
        <f>TRIM(Tabulka1[[#This Row],[Jméno]])</f>
        <v>Josef</v>
      </c>
      <c r="E53" t="str">
        <f>TRIM(Tabulka1[[#This Row],[Příjmení]])</f>
        <v>Drahos</v>
      </c>
      <c r="F53" s="2" t="str">
        <f>MID(Tabulka1[[#This Row],[Adresa]],1,SEARCH(",",Tabulka1[[#This Row],[Adresa]])-1)</f>
        <v>Střední 965</v>
      </c>
      <c r="G53" s="2" t="str">
        <f>RIGHT(Tabulka1[[#This Row],[Adresa]],LEN(Tabulka1[[#This Row],[Adresa]])-LEN(Tabulka1[[#This Row],[Ulice]])-1)</f>
        <v>Kaznejov</v>
      </c>
      <c r="H53" s="2" t="str">
        <f>_xlfn.CONCAT(LOWER(Tabulka1[[#This Row],[Příjmení bez mezer]]),".",LOWER(Tabulka1[[#This Row],[Jméno bez mezer]]),"@firmaabc.cz")</f>
        <v>drahos.josef@firmaabc.cz</v>
      </c>
      <c r="I53" s="2" t="str">
        <f>_xlfn.CONCAT(LEFT(LOWER(Tabulka1[[#This Row],[Příjmení bez mezer]]),3),RIGHT(UPPER(Tabulka1[[#This Row],[Jméno bez mezer]]),2))</f>
        <v>draEF</v>
      </c>
    </row>
    <row r="54" spans="1:9">
      <c r="A54" s="2" t="s">
        <v>152</v>
      </c>
      <c r="B54" t="s">
        <v>137</v>
      </c>
      <c r="C54" t="s">
        <v>153</v>
      </c>
      <c r="D54" t="str">
        <f>TRIM(Tabulka1[[#This Row],[Jméno]])</f>
        <v>Ondrej</v>
      </c>
      <c r="E54" t="str">
        <f>TRIM(Tabulka1[[#This Row],[Příjmení]])</f>
        <v>Neoral</v>
      </c>
      <c r="F54" s="2" t="str">
        <f>MID(Tabulka1[[#This Row],[Adresa]],1,SEARCH(",",Tabulka1[[#This Row],[Adresa]])-1)</f>
        <v>Osnická 1885</v>
      </c>
      <c r="G54" s="2" t="str">
        <f>RIGHT(Tabulka1[[#This Row],[Adresa]],LEN(Tabulka1[[#This Row],[Adresa]])-LEN(Tabulka1[[#This Row],[Ulice]])-1)</f>
        <v>Praha 411</v>
      </c>
      <c r="H54" s="2" t="str">
        <f>_xlfn.CONCAT(LOWER(Tabulka1[[#This Row],[Příjmení bez mezer]]),".",LOWER(Tabulka1[[#This Row],[Jméno bez mezer]]),"@firmaabc.cz")</f>
        <v>neoral.ondrej@firmaabc.cz</v>
      </c>
      <c r="I54" s="2" t="str">
        <f>_xlfn.CONCAT(LEFT(LOWER(Tabulka1[[#This Row],[Příjmení bez mezer]]),3),RIGHT(UPPER(Tabulka1[[#This Row],[Jméno bez mezer]]),2))</f>
        <v>neoEJ</v>
      </c>
    </row>
    <row r="55" spans="1:9" ht="30">
      <c r="A55" s="2" t="s">
        <v>154</v>
      </c>
      <c r="B55" t="s">
        <v>26</v>
      </c>
      <c r="C55" t="s">
        <v>155</v>
      </c>
      <c r="D55" t="str">
        <f>TRIM(Tabulka1[[#This Row],[Jméno]])</f>
        <v>Jan</v>
      </c>
      <c r="E55" t="str">
        <f>TRIM(Tabulka1[[#This Row],[Příjmení]])</f>
        <v>Kubica</v>
      </c>
      <c r="F55" s="2" t="str">
        <f>MID(Tabulka1[[#This Row],[Adresa]],1,SEARCH(",",Tabulka1[[#This Row],[Adresa]])-1)</f>
        <v>Dobrovského 1381</v>
      </c>
      <c r="G55" s="2" t="str">
        <f>RIGHT(Tabulka1[[#This Row],[Adresa]],LEN(Tabulka1[[#This Row],[Adresa]])-LEN(Tabulka1[[#This Row],[Ulice]])-1)</f>
        <v>Kostelec nad Cernými Lesy</v>
      </c>
      <c r="H55" s="2" t="str">
        <f>_xlfn.CONCAT(LOWER(Tabulka1[[#This Row],[Příjmení bez mezer]]),".",LOWER(Tabulka1[[#This Row],[Jméno bez mezer]]),"@firmaabc.cz")</f>
        <v>kubica.jan@firmaabc.cz</v>
      </c>
      <c r="I55" s="2" t="str">
        <f>_xlfn.CONCAT(LEFT(LOWER(Tabulka1[[#This Row],[Příjmení bez mezer]]),3),RIGHT(UPPER(Tabulka1[[#This Row],[Jméno bez mezer]]),2))</f>
        <v>kubAN</v>
      </c>
    </row>
    <row r="56" spans="1:9" ht="30">
      <c r="A56" s="2" t="s">
        <v>156</v>
      </c>
      <c r="B56" t="s">
        <v>157</v>
      </c>
      <c r="C56" t="s">
        <v>158</v>
      </c>
      <c r="D56" t="str">
        <f>TRIM(Tabulka1[[#This Row],[Jméno]])</f>
        <v>Stepan</v>
      </c>
      <c r="E56" t="str">
        <f>TRIM(Tabulka1[[#This Row],[Příjmení]])</f>
        <v>Hluchnik</v>
      </c>
      <c r="F56" s="2" t="str">
        <f>MID(Tabulka1[[#This Row],[Adresa]],1,SEARCH(",",Tabulka1[[#This Row],[Adresa]])-1)</f>
        <v>Jana Šťastného 813</v>
      </c>
      <c r="G56" s="2" t="str">
        <f>RIGHT(Tabulka1[[#This Row],[Adresa]],LEN(Tabulka1[[#This Row],[Adresa]])-LEN(Tabulka1[[#This Row],[Ulice]])-1)</f>
        <v>Kamenice</v>
      </c>
      <c r="H56" s="2" t="str">
        <f>_xlfn.CONCAT(LOWER(Tabulka1[[#This Row],[Příjmení bez mezer]]),".",LOWER(Tabulka1[[#This Row],[Jméno bez mezer]]),"@firmaabc.cz")</f>
        <v>hluchnik.stepan@firmaabc.cz</v>
      </c>
      <c r="I56" s="2" t="str">
        <f>_xlfn.CONCAT(LEFT(LOWER(Tabulka1[[#This Row],[Příjmení bez mezer]]),3),RIGHT(UPPER(Tabulka1[[#This Row],[Jméno bez mezer]]),2))</f>
        <v>hluAN</v>
      </c>
    </row>
    <row r="57" spans="1:9">
      <c r="A57" s="2" t="s">
        <v>159</v>
      </c>
      <c r="B57" t="s">
        <v>140</v>
      </c>
      <c r="C57" t="s">
        <v>160</v>
      </c>
      <c r="D57" t="str">
        <f>TRIM(Tabulka1[[#This Row],[Jméno]])</f>
        <v>Iveta</v>
      </c>
      <c r="E57" t="str">
        <f>TRIM(Tabulka1[[#This Row],[Příjmení]])</f>
        <v>Svedova</v>
      </c>
      <c r="F57" s="2" t="str">
        <f>MID(Tabulka1[[#This Row],[Adresa]],1,SEARCH(",",Tabulka1[[#This Row],[Adresa]])-1)</f>
        <v>Jiráskova 969</v>
      </c>
      <c r="G57" s="2" t="str">
        <f>RIGHT(Tabulka1[[#This Row],[Adresa]],LEN(Tabulka1[[#This Row],[Adresa]])-LEN(Tabulka1[[#This Row],[Ulice]])-1)</f>
        <v>Nasavrky</v>
      </c>
      <c r="H57" s="2" t="str">
        <f>_xlfn.CONCAT(LOWER(Tabulka1[[#This Row],[Příjmení bez mezer]]),".",LOWER(Tabulka1[[#This Row],[Jméno bez mezer]]),"@firmaabc.cz")</f>
        <v>svedova.iveta@firmaabc.cz</v>
      </c>
      <c r="I57" s="2" t="str">
        <f>_xlfn.CONCAT(LEFT(LOWER(Tabulka1[[#This Row],[Příjmení bez mezer]]),3),RIGHT(UPPER(Tabulka1[[#This Row],[Jméno bez mezer]]),2))</f>
        <v>sveTA</v>
      </c>
    </row>
    <row r="58" spans="1:9">
      <c r="A58" s="2" t="s">
        <v>161</v>
      </c>
      <c r="B58" t="s">
        <v>162</v>
      </c>
      <c r="C58" t="s">
        <v>163</v>
      </c>
      <c r="D58" t="str">
        <f>TRIM(Tabulka1[[#This Row],[Jméno]])</f>
        <v>Jaroslava</v>
      </c>
      <c r="E58" t="str">
        <f>TRIM(Tabulka1[[#This Row],[Příjmení]])</f>
        <v>Cerna</v>
      </c>
      <c r="F58" s="2" t="str">
        <f>MID(Tabulka1[[#This Row],[Adresa]],1,SEARCH(",",Tabulka1[[#This Row],[Adresa]])-1)</f>
        <v>Na Výsluní 515</v>
      </c>
      <c r="G58" s="2" t="str">
        <f>RIGHT(Tabulka1[[#This Row],[Adresa]],LEN(Tabulka1[[#This Row],[Adresa]])-LEN(Tabulka1[[#This Row],[Ulice]])-1)</f>
        <v>Velké Prílepy</v>
      </c>
      <c r="H58" s="2" t="str">
        <f>_xlfn.CONCAT(LOWER(Tabulka1[[#This Row],[Příjmení bez mezer]]),".",LOWER(Tabulka1[[#This Row],[Jméno bez mezer]]),"@firmaabc.cz")</f>
        <v>cerna.jaroslava@firmaabc.cz</v>
      </c>
      <c r="I58" s="2" t="str">
        <f>_xlfn.CONCAT(LEFT(LOWER(Tabulka1[[#This Row],[Příjmení bez mezer]]),3),RIGHT(UPPER(Tabulka1[[#This Row],[Jméno bez mezer]]),2))</f>
        <v>cerVA</v>
      </c>
    </row>
    <row r="59" spans="1:9">
      <c r="A59" s="2" t="s">
        <v>164</v>
      </c>
      <c r="B59" t="s">
        <v>103</v>
      </c>
      <c r="C59" t="s">
        <v>165</v>
      </c>
      <c r="D59" t="str">
        <f>TRIM(Tabulka1[[#This Row],[Jméno]])</f>
        <v>Frantisek</v>
      </c>
      <c r="E59" t="str">
        <f>TRIM(Tabulka1[[#This Row],[Příjmení]])</f>
        <v>Novak</v>
      </c>
      <c r="F59" s="2" t="str">
        <f>MID(Tabulka1[[#This Row],[Adresa]],1,SEARCH(",",Tabulka1[[#This Row],[Adresa]])-1)</f>
        <v>Nová 1483</v>
      </c>
      <c r="G59" s="2" t="str">
        <f>RIGHT(Tabulka1[[#This Row],[Adresa]],LEN(Tabulka1[[#This Row],[Adresa]])-LEN(Tabulka1[[#This Row],[Ulice]])-1)</f>
        <v>Strakonice 1</v>
      </c>
      <c r="H59" s="2" t="str">
        <f>_xlfn.CONCAT(LOWER(Tabulka1[[#This Row],[Příjmení bez mezer]]),".",LOWER(Tabulka1[[#This Row],[Jméno bez mezer]]),"@firmaabc.cz")</f>
        <v>novak.frantisek@firmaabc.cz</v>
      </c>
      <c r="I59" s="2" t="str">
        <f>_xlfn.CONCAT(LEFT(LOWER(Tabulka1[[#This Row],[Příjmení bez mezer]]),3),RIGHT(UPPER(Tabulka1[[#This Row],[Jméno bez mezer]]),2))</f>
        <v>novEK</v>
      </c>
    </row>
    <row r="60" spans="1:9" ht="30">
      <c r="A60" s="2" t="s">
        <v>166</v>
      </c>
      <c r="B60" t="s">
        <v>167</v>
      </c>
      <c r="C60" t="s">
        <v>168</v>
      </c>
      <c r="D60" t="str">
        <f>TRIM(Tabulka1[[#This Row],[Jméno]])</f>
        <v>Zdenka</v>
      </c>
      <c r="E60" t="str">
        <f>TRIM(Tabulka1[[#This Row],[Příjmení]])</f>
        <v>Soukupova</v>
      </c>
      <c r="F60" s="2" t="str">
        <f>MID(Tabulka1[[#This Row],[Adresa]],1,SEARCH(",",Tabulka1[[#This Row],[Adresa]])-1)</f>
        <v>Nové Město 1128</v>
      </c>
      <c r="G60" s="2" t="str">
        <f>RIGHT(Tabulka1[[#This Row],[Adresa]],LEN(Tabulka1[[#This Row],[Adresa]])-LEN(Tabulka1[[#This Row],[Ulice]])-1)</f>
        <v>Ledec nad Sázavou</v>
      </c>
      <c r="H60" s="2" t="str">
        <f>_xlfn.CONCAT(LOWER(Tabulka1[[#This Row],[Příjmení bez mezer]]),".",LOWER(Tabulka1[[#This Row],[Jméno bez mezer]]),"@firmaabc.cz")</f>
        <v>soukupova.zdenka@firmaabc.cz</v>
      </c>
      <c r="I60" s="2" t="str">
        <f>_xlfn.CONCAT(LEFT(LOWER(Tabulka1[[#This Row],[Příjmení bez mezer]]),3),RIGHT(UPPER(Tabulka1[[#This Row],[Jméno bez mezer]]),2))</f>
        <v>souKA</v>
      </c>
    </row>
    <row r="61" spans="1:9">
      <c r="A61" s="2" t="s">
        <v>169</v>
      </c>
      <c r="B61" t="s">
        <v>17</v>
      </c>
      <c r="C61" t="s">
        <v>170</v>
      </c>
      <c r="D61" t="str">
        <f>TRIM(Tabulka1[[#This Row],[Jméno]])</f>
        <v>Vladimir</v>
      </c>
      <c r="E61" t="str">
        <f>TRIM(Tabulka1[[#This Row],[Příjmení]])</f>
        <v>Horacek</v>
      </c>
      <c r="F61" s="2" t="str">
        <f>MID(Tabulka1[[#This Row],[Adresa]],1,SEARCH(",",Tabulka1[[#This Row],[Adresa]])-1)</f>
        <v>Jabloňová 187</v>
      </c>
      <c r="G61" s="2" t="str">
        <f>RIGHT(Tabulka1[[#This Row],[Adresa]],LEN(Tabulka1[[#This Row],[Adresa]])-LEN(Tabulka1[[#This Row],[Ulice]])-1)</f>
        <v>Tremošnice</v>
      </c>
      <c r="H61" s="2" t="str">
        <f>_xlfn.CONCAT(LOWER(Tabulka1[[#This Row],[Příjmení bez mezer]]),".",LOWER(Tabulka1[[#This Row],[Jméno bez mezer]]),"@firmaabc.cz")</f>
        <v>horacek.vladimir@firmaabc.cz</v>
      </c>
      <c r="I61" s="2" t="str">
        <f>_xlfn.CONCAT(LEFT(LOWER(Tabulka1[[#This Row],[Příjmení bez mezer]]),3),RIGHT(UPPER(Tabulka1[[#This Row],[Jméno bez mezer]]),2))</f>
        <v>horIR</v>
      </c>
    </row>
    <row r="62" spans="1:9">
      <c r="A62" s="2" t="s">
        <v>171</v>
      </c>
      <c r="B62" t="s">
        <v>172</v>
      </c>
      <c r="C62" t="s">
        <v>173</v>
      </c>
      <c r="D62" t="str">
        <f>TRIM(Tabulka1[[#This Row],[Jméno]])</f>
        <v>David</v>
      </c>
      <c r="E62" t="str">
        <f>TRIM(Tabulka1[[#This Row],[Příjmení]])</f>
        <v>Tesarik</v>
      </c>
      <c r="F62" s="2" t="str">
        <f>MID(Tabulka1[[#This Row],[Adresa]],1,SEARCH(",",Tabulka1[[#This Row],[Adresa]])-1)</f>
        <v>Pod Strání 1439</v>
      </c>
      <c r="G62" s="2" t="str">
        <f>RIGHT(Tabulka1[[#This Row],[Adresa]],LEN(Tabulka1[[#This Row],[Adresa]])-LEN(Tabulka1[[#This Row],[Ulice]])-1)</f>
        <v>Hostinné</v>
      </c>
      <c r="H62" s="2" t="str">
        <f>_xlfn.CONCAT(LOWER(Tabulka1[[#This Row],[Příjmení bez mezer]]),".",LOWER(Tabulka1[[#This Row],[Jméno bez mezer]]),"@firmaabc.cz")</f>
        <v>tesarik.david@firmaabc.cz</v>
      </c>
      <c r="I62" s="2" t="str">
        <f>_xlfn.CONCAT(LEFT(LOWER(Tabulka1[[#This Row],[Příjmení bez mezer]]),3),RIGHT(UPPER(Tabulka1[[#This Row],[Jméno bez mezer]]),2))</f>
        <v>tesID</v>
      </c>
    </row>
    <row r="63" spans="1:9" ht="30">
      <c r="A63" s="2" t="s">
        <v>174</v>
      </c>
      <c r="B63" t="s">
        <v>32</v>
      </c>
      <c r="C63" t="s">
        <v>175</v>
      </c>
      <c r="D63" t="str">
        <f>TRIM(Tabulka1[[#This Row],[Jméno]])</f>
        <v>Michal</v>
      </c>
      <c r="E63" t="str">
        <f>TRIM(Tabulka1[[#This Row],[Příjmení]])</f>
        <v>Plachy</v>
      </c>
      <c r="F63" s="2" t="str">
        <f>MID(Tabulka1[[#This Row],[Adresa]],1,SEARCH(",",Tabulka1[[#This Row],[Adresa]])-1)</f>
        <v>Ehrmannova 1661</v>
      </c>
      <c r="G63" s="2" t="str">
        <f>RIGHT(Tabulka1[[#This Row],[Adresa]],LEN(Tabulka1[[#This Row],[Adresa]])-LEN(Tabulka1[[#This Row],[Ulice]])-1)</f>
        <v>Domašov u Brna</v>
      </c>
      <c r="H63" s="2" t="str">
        <f>_xlfn.CONCAT(LOWER(Tabulka1[[#This Row],[Příjmení bez mezer]]),".",LOWER(Tabulka1[[#This Row],[Jméno bez mezer]]),"@firmaabc.cz")</f>
        <v>plachy.michal@firmaabc.cz</v>
      </c>
      <c r="I63" s="2" t="str">
        <f>_xlfn.CONCAT(LEFT(LOWER(Tabulka1[[#This Row],[Příjmení bez mezer]]),3),RIGHT(UPPER(Tabulka1[[#This Row],[Jméno bez mezer]]),2))</f>
        <v>plaAL</v>
      </c>
    </row>
    <row r="64" spans="1:9">
      <c r="A64" s="2" t="s">
        <v>176</v>
      </c>
      <c r="B64" t="s">
        <v>26</v>
      </c>
      <c r="C64" t="s">
        <v>177</v>
      </c>
      <c r="D64" t="str">
        <f>TRIM(Tabulka1[[#This Row],[Jméno]])</f>
        <v>Jan</v>
      </c>
      <c r="E64" t="str">
        <f>TRIM(Tabulka1[[#This Row],[Příjmení]])</f>
        <v>Helesic</v>
      </c>
      <c r="F64" s="2" t="str">
        <f>MID(Tabulka1[[#This Row],[Adresa]],1,SEARCH(",",Tabulka1[[#This Row],[Adresa]])-1)</f>
        <v>Hamerská 395</v>
      </c>
      <c r="G64" s="2" t="str">
        <f>RIGHT(Tabulka1[[#This Row],[Adresa]],LEN(Tabulka1[[#This Row],[Adresa]])-LEN(Tabulka1[[#This Row],[Ulice]])-1)</f>
        <v>Rozsochatec</v>
      </c>
      <c r="H64" s="2" t="str">
        <f>_xlfn.CONCAT(LOWER(Tabulka1[[#This Row],[Příjmení bez mezer]]),".",LOWER(Tabulka1[[#This Row],[Jméno bez mezer]]),"@firmaabc.cz")</f>
        <v>helesic.jan@firmaabc.cz</v>
      </c>
      <c r="I64" s="2" t="str">
        <f>_xlfn.CONCAT(LEFT(LOWER(Tabulka1[[#This Row],[Příjmení bez mezer]]),3),RIGHT(UPPER(Tabulka1[[#This Row],[Jméno bez mezer]]),2))</f>
        <v>helAN</v>
      </c>
    </row>
    <row r="65" spans="1:9">
      <c r="A65" s="2" t="s">
        <v>178</v>
      </c>
      <c r="B65" t="s">
        <v>147</v>
      </c>
      <c r="C65" t="s">
        <v>143</v>
      </c>
      <c r="D65" t="str">
        <f>TRIM(Tabulka1[[#This Row],[Jméno]])</f>
        <v>Hana</v>
      </c>
      <c r="E65" t="str">
        <f>TRIM(Tabulka1[[#This Row],[Příjmení]])</f>
        <v>Kubatova</v>
      </c>
      <c r="F65" s="2" t="str">
        <f>MID(Tabulka1[[#This Row],[Adresa]],1,SEARCH(",",Tabulka1[[#This Row],[Adresa]])-1)</f>
        <v>Družstevní 139</v>
      </c>
      <c r="G65" s="2" t="str">
        <f>RIGHT(Tabulka1[[#This Row],[Adresa]],LEN(Tabulka1[[#This Row],[Adresa]])-LEN(Tabulka1[[#This Row],[Ulice]])-1)</f>
        <v>Brandýsek</v>
      </c>
      <c r="H65" s="2" t="str">
        <f>_xlfn.CONCAT(LOWER(Tabulka1[[#This Row],[Příjmení bez mezer]]),".",LOWER(Tabulka1[[#This Row],[Jméno bez mezer]]),"@firmaabc.cz")</f>
        <v>kubatova.hana@firmaabc.cz</v>
      </c>
      <c r="I65" s="2" t="str">
        <f>_xlfn.CONCAT(LEFT(LOWER(Tabulka1[[#This Row],[Příjmení bez mezer]]),3),RIGHT(UPPER(Tabulka1[[#This Row],[Jméno bez mezer]]),2))</f>
        <v>kubNA</v>
      </c>
    </row>
    <row r="66" spans="1:9">
      <c r="A66" s="2" t="s">
        <v>179</v>
      </c>
      <c r="B66" t="s">
        <v>180</v>
      </c>
      <c r="C66" t="s">
        <v>181</v>
      </c>
      <c r="D66" t="str">
        <f>TRIM(Tabulka1[[#This Row],[Jméno]])</f>
        <v>Jaroslav</v>
      </c>
      <c r="E66" t="str">
        <f>TRIM(Tabulka1[[#This Row],[Příjmení]])</f>
        <v>Matejcek</v>
      </c>
      <c r="F66" s="2" t="str">
        <f>MID(Tabulka1[[#This Row],[Adresa]],1,SEARCH(",",Tabulka1[[#This Row],[Adresa]])-1)</f>
        <v>Pivovarská 1809</v>
      </c>
      <c r="G66" s="2" t="str">
        <f>RIGHT(Tabulka1[[#This Row],[Adresa]],LEN(Tabulka1[[#This Row],[Adresa]])-LEN(Tabulka1[[#This Row],[Ulice]])-1)</f>
        <v>Lovosice 2</v>
      </c>
      <c r="H66" s="2" t="str">
        <f>_xlfn.CONCAT(LOWER(Tabulka1[[#This Row],[Příjmení bez mezer]]),".",LOWER(Tabulka1[[#This Row],[Jméno bez mezer]]),"@firmaabc.cz")</f>
        <v>matejcek.jaroslav@firmaabc.cz</v>
      </c>
      <c r="I66" s="2" t="str">
        <f>_xlfn.CONCAT(LEFT(LOWER(Tabulka1[[#This Row],[Příjmení bez mezer]]),3),RIGHT(UPPER(Tabulka1[[#This Row],[Jméno bez mezer]]),2))</f>
        <v>matAV</v>
      </c>
    </row>
    <row r="67" spans="1:9">
      <c r="A67" s="2" t="s">
        <v>182</v>
      </c>
      <c r="B67" t="s">
        <v>183</v>
      </c>
      <c r="C67" t="s">
        <v>184</v>
      </c>
      <c r="D67" t="str">
        <f>TRIM(Tabulka1[[#This Row],[Jméno]])</f>
        <v>Kamil</v>
      </c>
      <c r="E67" t="str">
        <f>TRIM(Tabulka1[[#This Row],[Příjmení]])</f>
        <v>Janecek</v>
      </c>
      <c r="F67" s="2" t="str">
        <f>MID(Tabulka1[[#This Row],[Adresa]],1,SEARCH(",",Tabulka1[[#This Row],[Adresa]])-1)</f>
        <v>Palackého 693</v>
      </c>
      <c r="G67" s="2" t="str">
        <f>RIGHT(Tabulka1[[#This Row],[Adresa]],LEN(Tabulka1[[#This Row],[Adresa]])-LEN(Tabulka1[[#This Row],[Ulice]])-1)</f>
        <v>Holešov</v>
      </c>
      <c r="H67" s="2" t="str">
        <f>_xlfn.CONCAT(LOWER(Tabulka1[[#This Row],[Příjmení bez mezer]]),".",LOWER(Tabulka1[[#This Row],[Jméno bez mezer]]),"@firmaabc.cz")</f>
        <v>janecek.kamil@firmaabc.cz</v>
      </c>
      <c r="I67" s="2" t="str">
        <f>_xlfn.CONCAT(LEFT(LOWER(Tabulka1[[#This Row],[Příjmení bez mezer]]),3),RIGHT(UPPER(Tabulka1[[#This Row],[Jméno bez mezer]]),2))</f>
        <v>janIL</v>
      </c>
    </row>
    <row r="68" spans="1:9">
      <c r="A68" s="2" t="s">
        <v>185</v>
      </c>
      <c r="B68" t="s">
        <v>147</v>
      </c>
      <c r="C68" t="s">
        <v>186</v>
      </c>
      <c r="D68" t="str">
        <f>TRIM(Tabulka1[[#This Row],[Jméno]])</f>
        <v>Hana</v>
      </c>
      <c r="E68" t="str">
        <f>TRIM(Tabulka1[[#This Row],[Příjmení]])</f>
        <v>Prusova</v>
      </c>
      <c r="F68" s="2" t="str">
        <f>MID(Tabulka1[[#This Row],[Adresa]],1,SEARCH(",",Tabulka1[[#This Row],[Adresa]])-1)</f>
        <v>Palackého 537</v>
      </c>
      <c r="G68" s="2" t="str">
        <f>RIGHT(Tabulka1[[#This Row],[Adresa]],LEN(Tabulka1[[#This Row],[Adresa]])-LEN(Tabulka1[[#This Row],[Ulice]])-1)</f>
        <v>Holešov</v>
      </c>
      <c r="H68" s="2" t="str">
        <f>_xlfn.CONCAT(LOWER(Tabulka1[[#This Row],[Příjmení bez mezer]]),".",LOWER(Tabulka1[[#This Row],[Jméno bez mezer]]),"@firmaabc.cz")</f>
        <v>prusova.hana@firmaabc.cz</v>
      </c>
      <c r="I68" s="2" t="str">
        <f>_xlfn.CONCAT(LEFT(LOWER(Tabulka1[[#This Row],[Příjmení bez mezer]]),3),RIGHT(UPPER(Tabulka1[[#This Row],[Jméno bez mezer]]),2))</f>
        <v>pruNA</v>
      </c>
    </row>
    <row r="69" spans="1:9" ht="30">
      <c r="A69" s="2" t="s">
        <v>187</v>
      </c>
      <c r="B69" t="s">
        <v>188</v>
      </c>
      <c r="C69" t="s">
        <v>189</v>
      </c>
      <c r="D69" t="str">
        <f>TRIM(Tabulka1[[#This Row],[Jméno]])</f>
        <v>Radek</v>
      </c>
      <c r="E69" t="str">
        <f>TRIM(Tabulka1[[#This Row],[Příjmení]])</f>
        <v>Jelinek</v>
      </c>
      <c r="F69" s="2" t="str">
        <f>MID(Tabulka1[[#This Row],[Adresa]],1,SEARCH(",",Tabulka1[[#This Row],[Adresa]])-1)</f>
        <v>Bedřicha Smetany 1206</v>
      </c>
      <c r="G69" s="2" t="str">
        <f>RIGHT(Tabulka1[[#This Row],[Adresa]],LEN(Tabulka1[[#This Row],[Adresa]])-LEN(Tabulka1[[#This Row],[Ulice]])-1)</f>
        <v>Jalubí</v>
      </c>
      <c r="H69" s="2" t="str">
        <f>_xlfn.CONCAT(LOWER(Tabulka1[[#This Row],[Příjmení bez mezer]]),".",LOWER(Tabulka1[[#This Row],[Jméno bez mezer]]),"@firmaabc.cz")</f>
        <v>jelinek.radek@firmaabc.cz</v>
      </c>
      <c r="I69" s="2" t="str">
        <f>_xlfn.CONCAT(LEFT(LOWER(Tabulka1[[#This Row],[Příjmení bez mezer]]),3),RIGHT(UPPER(Tabulka1[[#This Row],[Jméno bez mezer]]),2))</f>
        <v>jelEK</v>
      </c>
    </row>
    <row r="70" spans="1:9">
      <c r="A70" s="2" t="s">
        <v>190</v>
      </c>
      <c r="B70" t="s">
        <v>191</v>
      </c>
      <c r="C70" t="s">
        <v>192</v>
      </c>
      <c r="D70" t="str">
        <f>TRIM(Tabulka1[[#This Row],[Jméno]])</f>
        <v>Jana</v>
      </c>
      <c r="E70" t="str">
        <f>TRIM(Tabulka1[[#This Row],[Příjmení]])</f>
        <v>Moravcova</v>
      </c>
      <c r="F70" s="2" t="str">
        <f>MID(Tabulka1[[#This Row],[Adresa]],1,SEARCH(",",Tabulka1[[#This Row],[Adresa]])-1)</f>
        <v>K Lukárně 1529</v>
      </c>
      <c r="G70" s="2" t="str">
        <f>RIGHT(Tabulka1[[#This Row],[Adresa]],LEN(Tabulka1[[#This Row],[Adresa]])-LEN(Tabulka1[[#This Row],[Ulice]])-1)</f>
        <v>Zajecov</v>
      </c>
      <c r="H70" s="2" t="str">
        <f>_xlfn.CONCAT(LOWER(Tabulka1[[#This Row],[Příjmení bez mezer]]),".",LOWER(Tabulka1[[#This Row],[Jméno bez mezer]]),"@firmaabc.cz")</f>
        <v>moravcova.jana@firmaabc.cz</v>
      </c>
      <c r="I70" s="2" t="str">
        <f>_xlfn.CONCAT(LEFT(LOWER(Tabulka1[[#This Row],[Příjmení bez mezer]]),3),RIGHT(UPPER(Tabulka1[[#This Row],[Jméno bez mezer]]),2))</f>
        <v>morNA</v>
      </c>
    </row>
    <row r="71" spans="1:9">
      <c r="A71" s="2" t="s">
        <v>193</v>
      </c>
      <c r="B71" t="s">
        <v>72</v>
      </c>
      <c r="C71" t="s">
        <v>194</v>
      </c>
      <c r="D71" t="str">
        <f>TRIM(Tabulka1[[#This Row],[Jméno]])</f>
        <v>Jakub</v>
      </c>
      <c r="E71" t="str">
        <f>TRIM(Tabulka1[[#This Row],[Příjmení]])</f>
        <v>Komarek</v>
      </c>
      <c r="F71" s="2" t="str">
        <f>MID(Tabulka1[[#This Row],[Adresa]],1,SEARCH(",",Tabulka1[[#This Row],[Adresa]])-1)</f>
        <v>Partyzánská 31</v>
      </c>
      <c r="G71" s="2" t="str">
        <f>RIGHT(Tabulka1[[#This Row],[Adresa]],LEN(Tabulka1[[#This Row],[Adresa]])-LEN(Tabulka1[[#This Row],[Ulice]])-1)</f>
        <v>Nesovice</v>
      </c>
      <c r="H71" s="2" t="str">
        <f>_xlfn.CONCAT(LOWER(Tabulka1[[#This Row],[Příjmení bez mezer]]),".",LOWER(Tabulka1[[#This Row],[Jméno bez mezer]]),"@firmaabc.cz")</f>
        <v>komarek.jakub@firmaabc.cz</v>
      </c>
      <c r="I71" s="2" t="str">
        <f>_xlfn.CONCAT(LEFT(LOWER(Tabulka1[[#This Row],[Příjmení bez mezer]]),3),RIGHT(UPPER(Tabulka1[[#This Row],[Jméno bez mezer]]),2))</f>
        <v>komUB</v>
      </c>
    </row>
    <row r="72" spans="1:9">
      <c r="A72" s="2" t="s">
        <v>195</v>
      </c>
      <c r="B72" t="s">
        <v>147</v>
      </c>
      <c r="C72" t="s">
        <v>196</v>
      </c>
      <c r="D72" t="str">
        <f>TRIM(Tabulka1[[#This Row],[Jméno]])</f>
        <v>Hana</v>
      </c>
      <c r="E72" t="str">
        <f>TRIM(Tabulka1[[#This Row],[Příjmení]])</f>
        <v>Miklikova</v>
      </c>
      <c r="F72" s="2" t="str">
        <f>MID(Tabulka1[[#This Row],[Adresa]],1,SEARCH(",",Tabulka1[[#This Row],[Adresa]])-1)</f>
        <v>Školní 1013</v>
      </c>
      <c r="G72" s="2" t="str">
        <f>RIGHT(Tabulka1[[#This Row],[Adresa]],LEN(Tabulka1[[#This Row],[Adresa]])-LEN(Tabulka1[[#This Row],[Ulice]])-1)</f>
        <v>Kaplice 1</v>
      </c>
      <c r="H72" s="2" t="str">
        <f>_xlfn.CONCAT(LOWER(Tabulka1[[#This Row],[Příjmení bez mezer]]),".",LOWER(Tabulka1[[#This Row],[Jméno bez mezer]]),"@firmaabc.cz")</f>
        <v>miklikova.hana@firmaabc.cz</v>
      </c>
      <c r="I72" s="2" t="str">
        <f>_xlfn.CONCAT(LEFT(LOWER(Tabulka1[[#This Row],[Příjmení bez mezer]]),3),RIGHT(UPPER(Tabulka1[[#This Row],[Jméno bez mezer]]),2))</f>
        <v>mikNA</v>
      </c>
    </row>
    <row r="73" spans="1:9" ht="30">
      <c r="A73" s="2" t="s">
        <v>197</v>
      </c>
      <c r="B73" t="s">
        <v>90</v>
      </c>
      <c r="C73" t="s">
        <v>198</v>
      </c>
      <c r="D73" t="str">
        <f>TRIM(Tabulka1[[#This Row],[Jméno]])</f>
        <v>Pavel</v>
      </c>
      <c r="E73" t="str">
        <f>TRIM(Tabulka1[[#This Row],[Příjmení]])</f>
        <v>Stursa</v>
      </c>
      <c r="F73" s="2" t="str">
        <f>MID(Tabulka1[[#This Row],[Adresa]],1,SEARCH(",",Tabulka1[[#This Row],[Adresa]])-1)</f>
        <v>Spojovací 703</v>
      </c>
      <c r="G73" s="2" t="str">
        <f>RIGHT(Tabulka1[[#This Row],[Adresa]],LEN(Tabulka1[[#This Row],[Adresa]])-LEN(Tabulka1[[#This Row],[Ulice]])-1)</f>
        <v>Knežice u Trebíce</v>
      </c>
      <c r="H73" s="2" t="str">
        <f>_xlfn.CONCAT(LOWER(Tabulka1[[#This Row],[Příjmení bez mezer]]),".",LOWER(Tabulka1[[#This Row],[Jméno bez mezer]]),"@firmaabc.cz")</f>
        <v>stursa.pavel@firmaabc.cz</v>
      </c>
      <c r="I73" s="2" t="str">
        <f>_xlfn.CONCAT(LEFT(LOWER(Tabulka1[[#This Row],[Příjmení bez mezer]]),3),RIGHT(UPPER(Tabulka1[[#This Row],[Jméno bez mezer]]),2))</f>
        <v>stuEL</v>
      </c>
    </row>
    <row r="74" spans="1:9" ht="30">
      <c r="A74" s="2" t="s">
        <v>199</v>
      </c>
      <c r="B74" t="s">
        <v>98</v>
      </c>
      <c r="C74" t="s">
        <v>200</v>
      </c>
      <c r="D74" t="str">
        <f>TRIM(Tabulka1[[#This Row],[Jméno]])</f>
        <v>Lukas</v>
      </c>
      <c r="E74" t="str">
        <f>TRIM(Tabulka1[[#This Row],[Příjmení]])</f>
        <v>Trcka</v>
      </c>
      <c r="F74" s="2" t="str">
        <f>MID(Tabulka1[[#This Row],[Adresa]],1,SEARCH(",",Tabulka1[[#This Row],[Adresa]])-1)</f>
        <v>U Křížku 1246</v>
      </c>
      <c r="G74" s="2" t="str">
        <f>RIGHT(Tabulka1[[#This Row],[Adresa]],LEN(Tabulka1[[#This Row],[Adresa]])-LEN(Tabulka1[[#This Row],[Ulice]])-1)</f>
        <v>Pencín u Liberce</v>
      </c>
      <c r="H74" s="2" t="str">
        <f>_xlfn.CONCAT(LOWER(Tabulka1[[#This Row],[Příjmení bez mezer]]),".",LOWER(Tabulka1[[#This Row],[Jméno bez mezer]]),"@firmaabc.cz")</f>
        <v>trcka.lukas@firmaabc.cz</v>
      </c>
      <c r="I74" s="2" t="str">
        <f>_xlfn.CONCAT(LEFT(LOWER(Tabulka1[[#This Row],[Příjmení bez mezer]]),3),RIGHT(UPPER(Tabulka1[[#This Row],[Jméno bez mezer]]),2))</f>
        <v>trcAS</v>
      </c>
    </row>
    <row r="75" spans="1:9">
      <c r="A75" s="2" t="s">
        <v>201</v>
      </c>
      <c r="B75" t="s">
        <v>87</v>
      </c>
      <c r="C75" t="s">
        <v>202</v>
      </c>
      <c r="D75" t="str">
        <f>TRIM(Tabulka1[[#This Row],[Jméno]])</f>
        <v>Martin</v>
      </c>
      <c r="E75" t="str">
        <f>TRIM(Tabulka1[[#This Row],[Příjmení]])</f>
        <v>?Novak</v>
      </c>
      <c r="F75" s="2" t="str">
        <f>MID(Tabulka1[[#This Row],[Adresa]],1,SEARCH(",",Tabulka1[[#This Row],[Adresa]])-1)</f>
        <v>V Trávníkách 1081</v>
      </c>
      <c r="G75" s="2" t="str">
        <f>RIGHT(Tabulka1[[#This Row],[Adresa]],LEN(Tabulka1[[#This Row],[Adresa]])-LEN(Tabulka1[[#This Row],[Ulice]])-1)</f>
        <v>Tanvald</v>
      </c>
      <c r="H75" s="2" t="str">
        <f>_xlfn.CONCAT(LOWER(Tabulka1[[#This Row],[Příjmení bez mezer]]),".",LOWER(Tabulka1[[#This Row],[Jméno bez mezer]]),"@firmaabc.cz")</f>
        <v>?novak.martin@firmaabc.cz</v>
      </c>
      <c r="I75" s="2" t="str">
        <f>_xlfn.CONCAT(LEFT(LOWER(Tabulka1[[#This Row],[Příjmení bez mezer]]),3),RIGHT(UPPER(Tabulka1[[#This Row],[Jméno bez mezer]]),2))</f>
        <v>?noIN</v>
      </c>
    </row>
    <row r="76" spans="1:9">
      <c r="A76" s="2" t="s">
        <v>203</v>
      </c>
      <c r="B76" t="s">
        <v>204</v>
      </c>
      <c r="C76" t="s">
        <v>205</v>
      </c>
      <c r="D76" t="str">
        <f>TRIM(Tabulka1[[#This Row],[Jméno]])</f>
        <v>Regina</v>
      </c>
      <c r="E76" t="str">
        <f>TRIM(Tabulka1[[#This Row],[Příjmení]])</f>
        <v>Martinkova</v>
      </c>
      <c r="F76" s="2" t="str">
        <f>MID(Tabulka1[[#This Row],[Adresa]],1,SEARCH(",",Tabulka1[[#This Row],[Adresa]])-1)</f>
        <v>Na Výsluní 202</v>
      </c>
      <c r="G76" s="2" t="str">
        <f>RIGHT(Tabulka1[[#This Row],[Adresa]],LEN(Tabulka1[[#This Row],[Adresa]])-LEN(Tabulka1[[#This Row],[Ulice]])-1)</f>
        <v>Stríbro</v>
      </c>
      <c r="H76" s="2" t="str">
        <f>_xlfn.CONCAT(LOWER(Tabulka1[[#This Row],[Příjmení bez mezer]]),".",LOWER(Tabulka1[[#This Row],[Jméno bez mezer]]),"@firmaabc.cz")</f>
        <v>martinkova.regina@firmaabc.cz</v>
      </c>
      <c r="I76" s="2" t="str">
        <f>_xlfn.CONCAT(LEFT(LOWER(Tabulka1[[#This Row],[Příjmení bez mezer]]),3),RIGHT(UPPER(Tabulka1[[#This Row],[Jméno bez mezer]]),2))</f>
        <v>marNA</v>
      </c>
    </row>
    <row r="77" spans="1:9" ht="30">
      <c r="A77" s="2" t="s">
        <v>206</v>
      </c>
      <c r="B77" t="s">
        <v>207</v>
      </c>
      <c r="C77" t="s">
        <v>208</v>
      </c>
      <c r="D77" t="str">
        <f>TRIM(Tabulka1[[#This Row],[Jméno]])</f>
        <v>Rudolf</v>
      </c>
      <c r="E77" t="str">
        <f>TRIM(Tabulka1[[#This Row],[Příjmení]])</f>
        <v>Polach</v>
      </c>
      <c r="F77" s="2" t="str">
        <f>MID(Tabulka1[[#This Row],[Adresa]],1,SEARCH(",",Tabulka1[[#This Row],[Adresa]])-1)</f>
        <v>Matiegkova 615</v>
      </c>
      <c r="G77" s="2" t="str">
        <f>RIGHT(Tabulka1[[#This Row],[Adresa]],LEN(Tabulka1[[#This Row],[Adresa]])-LEN(Tabulka1[[#This Row],[Ulice]])-1)</f>
        <v>Porící nad Sázavou</v>
      </c>
      <c r="H77" s="2" t="str">
        <f>_xlfn.CONCAT(LOWER(Tabulka1[[#This Row],[Příjmení bez mezer]]),".",LOWER(Tabulka1[[#This Row],[Jméno bez mezer]]),"@firmaabc.cz")</f>
        <v>polach.rudolf@firmaabc.cz</v>
      </c>
      <c r="I77" s="2" t="str">
        <f>_xlfn.CONCAT(LEFT(LOWER(Tabulka1[[#This Row],[Příjmení bez mezer]]),3),RIGHT(UPPER(Tabulka1[[#This Row],[Jméno bez mezer]]),2))</f>
        <v>polLF</v>
      </c>
    </row>
    <row r="78" spans="1:9">
      <c r="A78" s="2" t="s">
        <v>209</v>
      </c>
      <c r="B78" t="s">
        <v>75</v>
      </c>
      <c r="C78" t="s">
        <v>210</v>
      </c>
      <c r="D78" t="str">
        <f>TRIM(Tabulka1[[#This Row],[Jméno]])</f>
        <v>Daniel</v>
      </c>
      <c r="E78" t="str">
        <f>TRIM(Tabulka1[[#This Row],[Příjmení]])</f>
        <v>Palek</v>
      </c>
      <c r="F78" s="2" t="str">
        <f>MID(Tabulka1[[#This Row],[Adresa]],1,SEARCH(",",Tabulka1[[#This Row],[Adresa]])-1)</f>
        <v>Dělnická 1705</v>
      </c>
      <c r="G78" s="2" t="str">
        <f>RIGHT(Tabulka1[[#This Row],[Adresa]],LEN(Tabulka1[[#This Row],[Adresa]])-LEN(Tabulka1[[#This Row],[Ulice]])-1)</f>
        <v>Zdechov</v>
      </c>
      <c r="H78" s="2" t="str">
        <f>_xlfn.CONCAT(LOWER(Tabulka1[[#This Row],[Příjmení bez mezer]]),".",LOWER(Tabulka1[[#This Row],[Jméno bez mezer]]),"@firmaabc.cz")</f>
        <v>palek.daniel@firmaabc.cz</v>
      </c>
      <c r="I78" s="2" t="str">
        <f>_xlfn.CONCAT(LEFT(LOWER(Tabulka1[[#This Row],[Příjmení bez mezer]]),3),RIGHT(UPPER(Tabulka1[[#This Row],[Jméno bez mezer]]),2))</f>
        <v>palEL</v>
      </c>
    </row>
    <row r="79" spans="1:9" ht="30">
      <c r="A79" s="2" t="s">
        <v>211</v>
      </c>
      <c r="B79" t="s">
        <v>212</v>
      </c>
      <c r="C79" t="s">
        <v>213</v>
      </c>
      <c r="D79" t="str">
        <f>TRIM(Tabulka1[[#This Row],[Jméno]])</f>
        <v>Petr</v>
      </c>
      <c r="E79" t="str">
        <f>TRIM(Tabulka1[[#This Row],[Příjmení]])</f>
        <v>?Kucera</v>
      </c>
      <c r="F79" s="2" t="str">
        <f>MID(Tabulka1[[#This Row],[Adresa]],1,SEARCH(",",Tabulka1[[#This Row],[Adresa]])-1)</f>
        <v>Na Výsluní 1896</v>
      </c>
      <c r="G79" s="2" t="str">
        <f>RIGHT(Tabulka1[[#This Row],[Adresa]],LEN(Tabulka1[[#This Row],[Adresa]])-LEN(Tabulka1[[#This Row],[Ulice]])-1)</f>
        <v>Vrané nad Vltavou</v>
      </c>
      <c r="H79" s="2" t="str">
        <f>_xlfn.CONCAT(LOWER(Tabulka1[[#This Row],[Příjmení bez mezer]]),".",LOWER(Tabulka1[[#This Row],[Jméno bez mezer]]),"@firmaabc.cz")</f>
        <v>?kucera.petr@firmaabc.cz</v>
      </c>
      <c r="I79" s="2" t="str">
        <f>_xlfn.CONCAT(LEFT(LOWER(Tabulka1[[#This Row],[Příjmení bez mezer]]),3),RIGHT(UPPER(Tabulka1[[#This Row],[Jméno bez mezer]]),2))</f>
        <v>?kuTR</v>
      </c>
    </row>
    <row r="80" spans="1:9" ht="30">
      <c r="A80" s="2" t="s">
        <v>214</v>
      </c>
      <c r="B80" t="s">
        <v>172</v>
      </c>
      <c r="C80" t="s">
        <v>215</v>
      </c>
      <c r="D80" t="str">
        <f>TRIM(Tabulka1[[#This Row],[Jméno]])</f>
        <v>David</v>
      </c>
      <c r="E80" t="str">
        <f>TRIM(Tabulka1[[#This Row],[Příjmení]])</f>
        <v>Kratochvil</v>
      </c>
      <c r="F80" s="2" t="str">
        <f>MID(Tabulka1[[#This Row],[Adresa]],1,SEARCH(",",Tabulka1[[#This Row],[Adresa]])-1)</f>
        <v>Jiřího z Poděbrad 562</v>
      </c>
      <c r="G80" s="2" t="str">
        <f>RIGHT(Tabulka1[[#This Row],[Adresa]],LEN(Tabulka1[[#This Row],[Adresa]])-LEN(Tabulka1[[#This Row],[Ulice]])-1)</f>
        <v>Jiretín pod Jedlovou</v>
      </c>
      <c r="H80" s="2" t="str">
        <f>_xlfn.CONCAT(LOWER(Tabulka1[[#This Row],[Příjmení bez mezer]]),".",LOWER(Tabulka1[[#This Row],[Jméno bez mezer]]),"@firmaabc.cz")</f>
        <v>kratochvil.david@firmaabc.cz</v>
      </c>
      <c r="I80" s="2" t="str">
        <f>_xlfn.CONCAT(LEFT(LOWER(Tabulka1[[#This Row],[Příjmení bez mezer]]),3),RIGHT(UPPER(Tabulka1[[#This Row],[Jméno bez mezer]]),2))</f>
        <v>kraID</v>
      </c>
    </row>
    <row r="81" spans="1:9">
      <c r="A81" s="2" t="s">
        <v>216</v>
      </c>
      <c r="B81" t="s">
        <v>162</v>
      </c>
      <c r="C81" t="s">
        <v>217</v>
      </c>
      <c r="D81" t="str">
        <f>TRIM(Tabulka1[[#This Row],[Jméno]])</f>
        <v>Jaroslava</v>
      </c>
      <c r="E81" t="str">
        <f>TRIM(Tabulka1[[#This Row],[Příjmení]])</f>
        <v>Ruzickova</v>
      </c>
      <c r="F81" s="2" t="str">
        <f>MID(Tabulka1[[#This Row],[Adresa]],1,SEARCH(",",Tabulka1[[#This Row],[Adresa]])-1)</f>
        <v>Bártova 1719</v>
      </c>
      <c r="G81" s="2" t="str">
        <f>RIGHT(Tabulka1[[#This Row],[Adresa]],LEN(Tabulka1[[#This Row],[Adresa]])-LEN(Tabulka1[[#This Row],[Ulice]])-1)</f>
        <v>Svitávka</v>
      </c>
      <c r="H81" s="2" t="str">
        <f>_xlfn.CONCAT(LOWER(Tabulka1[[#This Row],[Příjmení bez mezer]]),".",LOWER(Tabulka1[[#This Row],[Jméno bez mezer]]),"@firmaabc.cz")</f>
        <v>ruzickova.jaroslava@firmaabc.cz</v>
      </c>
      <c r="I81" s="2" t="str">
        <f>_xlfn.CONCAT(LEFT(LOWER(Tabulka1[[#This Row],[Příjmení bez mezer]]),3),RIGHT(UPPER(Tabulka1[[#This Row],[Jméno bez mezer]]),2))</f>
        <v>ruzVA</v>
      </c>
    </row>
    <row r="82" spans="1:9" ht="30">
      <c r="A82" s="2" t="s">
        <v>218</v>
      </c>
      <c r="B82" t="s">
        <v>219</v>
      </c>
      <c r="C82" t="s">
        <v>220</v>
      </c>
      <c r="D82" t="str">
        <f>TRIM(Tabulka1[[#This Row],[Jméno]])</f>
        <v>Marek</v>
      </c>
      <c r="E82" t="str">
        <f>TRIM(Tabulka1[[#This Row],[Příjmení]])</f>
        <v>Volf</v>
      </c>
      <c r="F82" s="2" t="str">
        <f>MID(Tabulka1[[#This Row],[Adresa]],1,SEARCH(",",Tabulka1[[#This Row],[Adresa]])-1)</f>
        <v>Dobrovského 1514</v>
      </c>
      <c r="G82" s="2" t="str">
        <f>RIGHT(Tabulka1[[#This Row],[Adresa]],LEN(Tabulka1[[#This Row],[Adresa]])-LEN(Tabulka1[[#This Row],[Ulice]])-1)</f>
        <v>Moravský Krumlov</v>
      </c>
      <c r="H82" s="2" t="str">
        <f>_xlfn.CONCAT(LOWER(Tabulka1[[#This Row],[Příjmení bez mezer]]),".",LOWER(Tabulka1[[#This Row],[Jméno bez mezer]]),"@firmaabc.cz")</f>
        <v>volf.marek@firmaabc.cz</v>
      </c>
      <c r="I82" s="2" t="str">
        <f>_xlfn.CONCAT(LEFT(LOWER(Tabulka1[[#This Row],[Příjmení bez mezer]]),3),RIGHT(UPPER(Tabulka1[[#This Row],[Jméno bez mezer]]),2))</f>
        <v>volEK</v>
      </c>
    </row>
    <row r="83" spans="1:9" ht="30">
      <c r="A83" s="2" t="s">
        <v>221</v>
      </c>
      <c r="B83" t="s">
        <v>44</v>
      </c>
      <c r="C83" t="s">
        <v>222</v>
      </c>
      <c r="D83" t="str">
        <f>TRIM(Tabulka1[[#This Row],[Jméno]])</f>
        <v>Marie</v>
      </c>
      <c r="E83" t="str">
        <f>TRIM(Tabulka1[[#This Row],[Příjmení]])</f>
        <v>Cahlikova</v>
      </c>
      <c r="F83" s="2" t="str">
        <f>MID(Tabulka1[[#This Row],[Adresa]],1,SEARCH(",",Tabulka1[[#This Row],[Adresa]])-1)</f>
        <v>Hrubínova 1533</v>
      </c>
      <c r="G83" s="2" t="str">
        <f>RIGHT(Tabulka1[[#This Row],[Adresa]],LEN(Tabulka1[[#This Row],[Adresa]])-LEN(Tabulka1[[#This Row],[Ulice]])-1)</f>
        <v>Vrchotovy Janovice</v>
      </c>
      <c r="H83" s="2" t="str">
        <f>_xlfn.CONCAT(LOWER(Tabulka1[[#This Row],[Příjmení bez mezer]]),".",LOWER(Tabulka1[[#This Row],[Jméno bez mezer]]),"@firmaabc.cz")</f>
        <v>cahlikova.marie@firmaabc.cz</v>
      </c>
      <c r="I83" s="2" t="str">
        <f>_xlfn.CONCAT(LEFT(LOWER(Tabulka1[[#This Row],[Příjmení bez mezer]]),3),RIGHT(UPPER(Tabulka1[[#This Row],[Jméno bez mezer]]),2))</f>
        <v>cahIE</v>
      </c>
    </row>
    <row r="84" spans="1:9" ht="30">
      <c r="A84" s="2" t="s">
        <v>223</v>
      </c>
      <c r="B84" t="s">
        <v>224</v>
      </c>
      <c r="C84" t="s">
        <v>225</v>
      </c>
      <c r="D84" t="str">
        <f>TRIM(Tabulka1[[#This Row],[Jméno]])</f>
        <v>Nada</v>
      </c>
      <c r="E84" t="str">
        <f>TRIM(Tabulka1[[#This Row],[Příjmení]])</f>
        <v>Mudrova</v>
      </c>
      <c r="F84" s="2" t="str">
        <f>MID(Tabulka1[[#This Row],[Adresa]],1,SEARCH(",",Tabulka1[[#This Row],[Adresa]])-1)</f>
        <v>Vrchlického 1487</v>
      </c>
      <c r="G84" s="2" t="str">
        <f>RIGHT(Tabulka1[[#This Row],[Adresa]],LEN(Tabulka1[[#This Row],[Adresa]])-LEN(Tabulka1[[#This Row],[Ulice]])-1)</f>
        <v>Predklášterí</v>
      </c>
      <c r="H84" s="2" t="str">
        <f>_xlfn.CONCAT(LOWER(Tabulka1[[#This Row],[Příjmení bez mezer]]),".",LOWER(Tabulka1[[#This Row],[Jméno bez mezer]]),"@firmaabc.cz")</f>
        <v>mudrova.nada@firmaabc.cz</v>
      </c>
      <c r="I84" s="2" t="str">
        <f>_xlfn.CONCAT(LEFT(LOWER(Tabulka1[[#This Row],[Příjmení bez mezer]]),3),RIGHT(UPPER(Tabulka1[[#This Row],[Jméno bez mezer]]),2))</f>
        <v>mudDA</v>
      </c>
    </row>
    <row r="85" spans="1:9" ht="30">
      <c r="A85" s="2" t="s">
        <v>226</v>
      </c>
      <c r="B85" t="s">
        <v>115</v>
      </c>
      <c r="C85" t="s">
        <v>227</v>
      </c>
      <c r="D85" t="str">
        <f>TRIM(Tabulka1[[#This Row],[Jméno]])</f>
        <v>Jiri</v>
      </c>
      <c r="E85" t="str">
        <f>TRIM(Tabulka1[[#This Row],[Příjmení]])</f>
        <v>Pazourek</v>
      </c>
      <c r="F85" s="2" t="str">
        <f>MID(Tabulka1[[#This Row],[Adresa]],1,SEARCH(",",Tabulka1[[#This Row],[Adresa]])-1)</f>
        <v>Václava Haňky 1168</v>
      </c>
      <c r="G85" s="2" t="str">
        <f>RIGHT(Tabulka1[[#This Row],[Adresa]],LEN(Tabulka1[[#This Row],[Adresa]])-LEN(Tabulka1[[#This Row],[Ulice]])-1)</f>
        <v>Šlapanice u Brna</v>
      </c>
      <c r="H85" s="2" t="str">
        <f>_xlfn.CONCAT(LOWER(Tabulka1[[#This Row],[Příjmení bez mezer]]),".",LOWER(Tabulka1[[#This Row],[Jméno bez mezer]]),"@firmaabc.cz")</f>
        <v>pazourek.jiri@firmaabc.cz</v>
      </c>
      <c r="I85" s="2" t="str">
        <f>_xlfn.CONCAT(LEFT(LOWER(Tabulka1[[#This Row],[Příjmení bez mezer]]),3),RIGHT(UPPER(Tabulka1[[#This Row],[Jméno bez mezer]]),2))</f>
        <v>pazRI</v>
      </c>
    </row>
    <row r="86" spans="1:9">
      <c r="A86" s="2" t="s">
        <v>228</v>
      </c>
      <c r="B86" t="s">
        <v>229</v>
      </c>
      <c r="C86" t="s">
        <v>230</v>
      </c>
      <c r="D86" t="str">
        <f>TRIM(Tabulka1[[#This Row],[Jméno]])</f>
        <v>Silvie</v>
      </c>
      <c r="E86" t="str">
        <f>TRIM(Tabulka1[[#This Row],[Příjmení]])</f>
        <v>Polakova</v>
      </c>
      <c r="F86" s="2" t="str">
        <f>MID(Tabulka1[[#This Row],[Adresa]],1,SEARCH(",",Tabulka1[[#This Row],[Adresa]])-1)</f>
        <v>Dašická 292</v>
      </c>
      <c r="G86" s="2" t="str">
        <f>RIGHT(Tabulka1[[#This Row],[Adresa]],LEN(Tabulka1[[#This Row],[Adresa]])-LEN(Tabulka1[[#This Row],[Ulice]])-1)</f>
        <v>Choltice</v>
      </c>
      <c r="H86" s="2" t="str">
        <f>_xlfn.CONCAT(LOWER(Tabulka1[[#This Row],[Příjmení bez mezer]]),".",LOWER(Tabulka1[[#This Row],[Jméno bez mezer]]),"@firmaabc.cz")</f>
        <v>polakova.silvie@firmaabc.cz</v>
      </c>
      <c r="I86" s="2" t="str">
        <f>_xlfn.CONCAT(LEFT(LOWER(Tabulka1[[#This Row],[Příjmení bez mezer]]),3),RIGHT(UPPER(Tabulka1[[#This Row],[Jméno bez mezer]]),2))</f>
        <v>polIE</v>
      </c>
    </row>
    <row r="87" spans="1:9" ht="30">
      <c r="A87" s="2" t="s">
        <v>231</v>
      </c>
      <c r="B87" t="s">
        <v>44</v>
      </c>
      <c r="C87" t="s">
        <v>232</v>
      </c>
      <c r="D87" t="str">
        <f>TRIM(Tabulka1[[#This Row],[Jméno]])</f>
        <v>Marie</v>
      </c>
      <c r="E87" t="str">
        <f>TRIM(Tabulka1[[#This Row],[Příjmení]])</f>
        <v>Kurkova</v>
      </c>
      <c r="F87" s="2" t="str">
        <f>MID(Tabulka1[[#This Row],[Adresa]],1,SEARCH(",",Tabulka1[[#This Row],[Adresa]])-1)</f>
        <v>Hamerská 1137</v>
      </c>
      <c r="G87" s="2" t="str">
        <f>RIGHT(Tabulka1[[#This Row],[Adresa]],LEN(Tabulka1[[#This Row],[Adresa]])-LEN(Tabulka1[[#This Row],[Ulice]])-1)</f>
        <v>Ždírec nad Doubravou</v>
      </c>
      <c r="H87" s="2" t="str">
        <f>_xlfn.CONCAT(LOWER(Tabulka1[[#This Row],[Příjmení bez mezer]]),".",LOWER(Tabulka1[[#This Row],[Jméno bez mezer]]),"@firmaabc.cz")</f>
        <v>kurkova.marie@firmaabc.cz</v>
      </c>
      <c r="I87" s="2" t="str">
        <f>_xlfn.CONCAT(LEFT(LOWER(Tabulka1[[#This Row],[Příjmení bez mezer]]),3),RIGHT(UPPER(Tabulka1[[#This Row],[Jméno bez mezer]]),2))</f>
        <v>kurIE</v>
      </c>
    </row>
    <row r="88" spans="1:9">
      <c r="A88" s="2" t="s">
        <v>233</v>
      </c>
      <c r="B88" t="s">
        <v>234</v>
      </c>
      <c r="C88" t="s">
        <v>235</v>
      </c>
      <c r="D88" t="str">
        <f>TRIM(Tabulka1[[#This Row],[Jméno]])</f>
        <v>Zdenek</v>
      </c>
      <c r="E88" t="str">
        <f>TRIM(Tabulka1[[#This Row],[Příjmení]])</f>
        <v>Vala</v>
      </c>
      <c r="F88" s="2" t="str">
        <f>MID(Tabulka1[[#This Row],[Adresa]],1,SEARCH(",",Tabulka1[[#This Row],[Adresa]])-1)</f>
        <v>Palackého 1892</v>
      </c>
      <c r="G88" s="2" t="str">
        <f>RIGHT(Tabulka1[[#This Row],[Adresa]],LEN(Tabulka1[[#This Row],[Adresa]])-LEN(Tabulka1[[#This Row],[Ulice]])-1)</f>
        <v>Kalište</v>
      </c>
      <c r="H88" s="2" t="str">
        <f>_xlfn.CONCAT(LOWER(Tabulka1[[#This Row],[Příjmení bez mezer]]),".",LOWER(Tabulka1[[#This Row],[Jméno bez mezer]]),"@firmaabc.cz")</f>
        <v>vala.zdenek@firmaabc.cz</v>
      </c>
      <c r="I88" s="2" t="str">
        <f>_xlfn.CONCAT(LEFT(LOWER(Tabulka1[[#This Row],[Příjmení bez mezer]]),3),RIGHT(UPPER(Tabulka1[[#This Row],[Jméno bez mezer]]),2))</f>
        <v>valEK</v>
      </c>
    </row>
    <row r="89" spans="1:9">
      <c r="A89" s="2" t="s">
        <v>236</v>
      </c>
      <c r="B89" t="s">
        <v>87</v>
      </c>
      <c r="C89" t="s">
        <v>237</v>
      </c>
      <c r="D89" t="str">
        <f>TRIM(Tabulka1[[#This Row],[Jméno]])</f>
        <v>Martin</v>
      </c>
      <c r="E89" t="str">
        <f>TRIM(Tabulka1[[#This Row],[Příjmení]])</f>
        <v>Macku</v>
      </c>
      <c r="F89" s="2" t="str">
        <f>MID(Tabulka1[[#This Row],[Adresa]],1,SEARCH(",",Tabulka1[[#This Row],[Adresa]])-1)</f>
        <v>Jeronýmova 895</v>
      </c>
      <c r="G89" s="2" t="str">
        <f>RIGHT(Tabulka1[[#This Row],[Adresa]],LEN(Tabulka1[[#This Row],[Adresa]])-LEN(Tabulka1[[#This Row],[Ulice]])-1)</f>
        <v>Polná</v>
      </c>
      <c r="H89" s="2" t="str">
        <f>_xlfn.CONCAT(LOWER(Tabulka1[[#This Row],[Příjmení bez mezer]]),".",LOWER(Tabulka1[[#This Row],[Jméno bez mezer]]),"@firmaabc.cz")</f>
        <v>macku.martin@firmaabc.cz</v>
      </c>
      <c r="I89" s="2" t="str">
        <f>_xlfn.CONCAT(LEFT(LOWER(Tabulka1[[#This Row],[Příjmení bez mezer]]),3),RIGHT(UPPER(Tabulka1[[#This Row],[Jméno bez mezer]]),2))</f>
        <v>macIN</v>
      </c>
    </row>
    <row r="90" spans="1:9">
      <c r="A90" s="2" t="s">
        <v>238</v>
      </c>
      <c r="B90" t="s">
        <v>38</v>
      </c>
      <c r="C90" t="s">
        <v>239</v>
      </c>
      <c r="D90" t="str">
        <f>TRIM(Tabulka1[[#This Row],[Jméno]])</f>
        <v>Miroslava</v>
      </c>
      <c r="E90" t="str">
        <f>TRIM(Tabulka1[[#This Row],[Příjmení]])</f>
        <v>Tuckova</v>
      </c>
      <c r="F90" s="2" t="str">
        <f>MID(Tabulka1[[#This Row],[Adresa]],1,SEARCH(",",Tabulka1[[#This Row],[Adresa]])-1)</f>
        <v>Mírová 276</v>
      </c>
      <c r="G90" s="2" t="str">
        <f>RIGHT(Tabulka1[[#This Row],[Adresa]],LEN(Tabulka1[[#This Row],[Adresa]])-LEN(Tabulka1[[#This Row],[Ulice]])-1)</f>
        <v>Strážek</v>
      </c>
      <c r="H90" s="2" t="str">
        <f>_xlfn.CONCAT(LOWER(Tabulka1[[#This Row],[Příjmení bez mezer]]),".",LOWER(Tabulka1[[#This Row],[Jméno bez mezer]]),"@firmaabc.cz")</f>
        <v>tuckova.miroslava@firmaabc.cz</v>
      </c>
      <c r="I90" s="2" t="str">
        <f>_xlfn.CONCAT(LEFT(LOWER(Tabulka1[[#This Row],[Příjmení bez mezer]]),3),RIGHT(UPPER(Tabulka1[[#This Row],[Jméno bez mezer]]),2))</f>
        <v>tucVA</v>
      </c>
    </row>
    <row r="91" spans="1:9" ht="30">
      <c r="A91" s="2" t="s">
        <v>240</v>
      </c>
      <c r="B91" t="s">
        <v>241</v>
      </c>
      <c r="C91" t="s">
        <v>242</v>
      </c>
      <c r="D91" t="str">
        <f>TRIM(Tabulka1[[#This Row],[Jméno]])</f>
        <v>Antonin</v>
      </c>
      <c r="E91" t="str">
        <f>TRIM(Tabulka1[[#This Row],[Příjmení]])</f>
        <v>Kopal</v>
      </c>
      <c r="F91" s="2" t="str">
        <f>MID(Tabulka1[[#This Row],[Adresa]],1,SEARCH(",",Tabulka1[[#This Row],[Adresa]])-1)</f>
        <v>Bavorovská 607</v>
      </c>
      <c r="G91" s="2" t="str">
        <f>RIGHT(Tabulka1[[#This Row],[Adresa]],LEN(Tabulka1[[#This Row],[Adresa]])-LEN(Tabulka1[[#This Row],[Ulice]])-1)</f>
        <v>Vlachovo Brezí</v>
      </c>
      <c r="H91" s="2" t="str">
        <f>_xlfn.CONCAT(LOWER(Tabulka1[[#This Row],[Příjmení bez mezer]]),".",LOWER(Tabulka1[[#This Row],[Jméno bez mezer]]),"@firmaabc.cz")</f>
        <v>kopal.antonin@firmaabc.cz</v>
      </c>
      <c r="I91" s="2" t="str">
        <f>_xlfn.CONCAT(LEFT(LOWER(Tabulka1[[#This Row],[Příjmení bez mezer]]),3),RIGHT(UPPER(Tabulka1[[#This Row],[Jméno bez mezer]]),2))</f>
        <v>kopIN</v>
      </c>
    </row>
    <row r="92" spans="1:9">
      <c r="A92" s="2" t="s">
        <v>243</v>
      </c>
      <c r="B92" t="s">
        <v>244</v>
      </c>
      <c r="C92" t="s">
        <v>245</v>
      </c>
      <c r="D92" t="str">
        <f>TRIM(Tabulka1[[#This Row],[Jméno]])</f>
        <v>Roman</v>
      </c>
      <c r="E92" t="str">
        <f>TRIM(Tabulka1[[#This Row],[Příjmení]])</f>
        <v>Ostadal</v>
      </c>
      <c r="F92" s="2" t="str">
        <f>MID(Tabulka1[[#This Row],[Adresa]],1,SEARCH(",",Tabulka1[[#This Row],[Adresa]])-1)</f>
        <v>Prokopská 1831</v>
      </c>
      <c r="G92" s="2" t="str">
        <f>RIGHT(Tabulka1[[#This Row],[Adresa]],LEN(Tabulka1[[#This Row],[Adresa]])-LEN(Tabulka1[[#This Row],[Ulice]])-1)</f>
        <v>Necín</v>
      </c>
      <c r="H92" s="2" t="str">
        <f>_xlfn.CONCAT(LOWER(Tabulka1[[#This Row],[Příjmení bez mezer]]),".",LOWER(Tabulka1[[#This Row],[Jméno bez mezer]]),"@firmaabc.cz")</f>
        <v>ostadal.roman@firmaabc.cz</v>
      </c>
      <c r="I92" s="2" t="str">
        <f>_xlfn.CONCAT(LEFT(LOWER(Tabulka1[[#This Row],[Příjmení bez mezer]]),3),RIGHT(UPPER(Tabulka1[[#This Row],[Jméno bez mezer]]),2))</f>
        <v>ostAN</v>
      </c>
    </row>
    <row r="93" spans="1:9" ht="30">
      <c r="A93" s="2" t="s">
        <v>246</v>
      </c>
      <c r="B93" t="s">
        <v>247</v>
      </c>
      <c r="C93" t="s">
        <v>248</v>
      </c>
      <c r="D93" t="str">
        <f>TRIM(Tabulka1[[#This Row],[Jméno]])</f>
        <v>Oto</v>
      </c>
      <c r="E93" t="str">
        <f>TRIM(Tabulka1[[#This Row],[Příjmení]])</f>
        <v>Bartosek</v>
      </c>
      <c r="F93" s="2" t="str">
        <f>MID(Tabulka1[[#This Row],[Adresa]],1,SEARCH(",",Tabulka1[[#This Row],[Adresa]])-1)</f>
        <v>Vostelčická 1179</v>
      </c>
      <c r="G93" s="2" t="str">
        <f>RIGHT(Tabulka1[[#This Row],[Adresa]],LEN(Tabulka1[[#This Row],[Adresa]])-LEN(Tabulka1[[#This Row],[Ulice]])-1)</f>
        <v>Vysoké Mýto</v>
      </c>
      <c r="H93" s="2" t="str">
        <f>_xlfn.CONCAT(LOWER(Tabulka1[[#This Row],[Příjmení bez mezer]]),".",LOWER(Tabulka1[[#This Row],[Jméno bez mezer]]),"@firmaabc.cz")</f>
        <v>bartosek.oto@firmaabc.cz</v>
      </c>
      <c r="I93" s="2" t="str">
        <f>_xlfn.CONCAT(LEFT(LOWER(Tabulka1[[#This Row],[Příjmení bez mezer]]),3),RIGHT(UPPER(Tabulka1[[#This Row],[Jméno bez mezer]]),2))</f>
        <v>barTO</v>
      </c>
    </row>
    <row r="94" spans="1:9">
      <c r="A94" s="2" t="s">
        <v>249</v>
      </c>
      <c r="B94" t="s">
        <v>250</v>
      </c>
      <c r="C94" t="s">
        <v>251</v>
      </c>
      <c r="D94" t="str">
        <f>TRIM(Tabulka1[[#This Row],[Jméno]])</f>
        <v>Miloslav</v>
      </c>
      <c r="E94" t="str">
        <f>TRIM(Tabulka1[[#This Row],[Příjmení]])</f>
        <v>Huml</v>
      </c>
      <c r="F94" s="2" t="str">
        <f>MID(Tabulka1[[#This Row],[Adresa]],1,SEARCH(",",Tabulka1[[#This Row],[Adresa]])-1)</f>
        <v>Alšova 1339</v>
      </c>
      <c r="G94" s="2" t="str">
        <f>RIGHT(Tabulka1[[#This Row],[Adresa]],LEN(Tabulka1[[#This Row],[Adresa]])-LEN(Tabulka1[[#This Row],[Ulice]])-1)</f>
        <v>Cimelice</v>
      </c>
      <c r="H94" s="2" t="str">
        <f>_xlfn.CONCAT(LOWER(Tabulka1[[#This Row],[Příjmení bez mezer]]),".",LOWER(Tabulka1[[#This Row],[Jméno bez mezer]]),"@firmaabc.cz")</f>
        <v>huml.miloslav@firmaabc.cz</v>
      </c>
      <c r="I94" s="2" t="str">
        <f>_xlfn.CONCAT(LEFT(LOWER(Tabulka1[[#This Row],[Příjmení bez mezer]]),3),RIGHT(UPPER(Tabulka1[[#This Row],[Jméno bez mezer]]),2))</f>
        <v>humAV</v>
      </c>
    </row>
    <row r="95" spans="1:9" ht="30">
      <c r="A95" s="2" t="s">
        <v>252</v>
      </c>
      <c r="B95" t="s">
        <v>78</v>
      </c>
      <c r="C95" t="s">
        <v>253</v>
      </c>
      <c r="D95" t="str">
        <f>TRIM(Tabulka1[[#This Row],[Jméno]])</f>
        <v>Jitka</v>
      </c>
      <c r="E95" t="str">
        <f>TRIM(Tabulka1[[#This Row],[Příjmení]])</f>
        <v>Roznovska</v>
      </c>
      <c r="F95" s="2" t="str">
        <f>MID(Tabulka1[[#This Row],[Adresa]],1,SEARCH(",",Tabulka1[[#This Row],[Adresa]])-1)</f>
        <v>Dobrovského 1092</v>
      </c>
      <c r="G95" s="2" t="str">
        <f>RIGHT(Tabulka1[[#This Row],[Adresa]],LEN(Tabulka1[[#This Row],[Adresa]])-LEN(Tabulka1[[#This Row],[Ulice]])-1)</f>
        <v>Kostelec nad Cernými Lesy</v>
      </c>
      <c r="H95" s="2" t="str">
        <f>_xlfn.CONCAT(LOWER(Tabulka1[[#This Row],[Příjmení bez mezer]]),".",LOWER(Tabulka1[[#This Row],[Jméno bez mezer]]),"@firmaabc.cz")</f>
        <v>roznovska.jitka@firmaabc.cz</v>
      </c>
      <c r="I95" s="2" t="str">
        <f>_xlfn.CONCAT(LEFT(LOWER(Tabulka1[[#This Row],[Příjmení bez mezer]]),3),RIGHT(UPPER(Tabulka1[[#This Row],[Jméno bez mezer]]),2))</f>
        <v>rozKA</v>
      </c>
    </row>
    <row r="96" spans="1:9">
      <c r="A96" s="2" t="s">
        <v>254</v>
      </c>
      <c r="B96" t="s">
        <v>255</v>
      </c>
      <c r="C96" t="s">
        <v>256</v>
      </c>
      <c r="D96" t="str">
        <f>TRIM(Tabulka1[[#This Row],[Jméno]])</f>
        <v>Eva</v>
      </c>
      <c r="E96" t="str">
        <f>TRIM(Tabulka1[[#This Row],[Příjmení]])</f>
        <v>Plackova</v>
      </c>
      <c r="F96" s="2" t="str">
        <f>MID(Tabulka1[[#This Row],[Adresa]],1,SEARCH(",",Tabulka1[[#This Row],[Adresa]])-1)</f>
        <v>Luční 1153</v>
      </c>
      <c r="G96" s="2" t="str">
        <f>RIGHT(Tabulka1[[#This Row],[Adresa]],LEN(Tabulka1[[#This Row],[Adresa]])-LEN(Tabulka1[[#This Row],[Ulice]])-1)</f>
        <v>Rovecné</v>
      </c>
      <c r="H96" s="2" t="str">
        <f>_xlfn.CONCAT(LOWER(Tabulka1[[#This Row],[Příjmení bez mezer]]),".",LOWER(Tabulka1[[#This Row],[Jméno bez mezer]]),"@firmaabc.cz")</f>
        <v>plackova.eva@firmaabc.cz</v>
      </c>
      <c r="I96" s="2" t="str">
        <f>_xlfn.CONCAT(LEFT(LOWER(Tabulka1[[#This Row],[Příjmení bez mezer]]),3),RIGHT(UPPER(Tabulka1[[#This Row],[Jméno bez mezer]]),2))</f>
        <v>plaVA</v>
      </c>
    </row>
    <row r="97" spans="1:9">
      <c r="A97" s="2" t="s">
        <v>257</v>
      </c>
      <c r="B97" t="s">
        <v>87</v>
      </c>
      <c r="C97" t="s">
        <v>258</v>
      </c>
      <c r="D97" t="str">
        <f>TRIM(Tabulka1[[#This Row],[Jméno]])</f>
        <v>Martin</v>
      </c>
      <c r="E97" t="str">
        <f>TRIM(Tabulka1[[#This Row],[Příjmení]])</f>
        <v>Fridrich</v>
      </c>
      <c r="F97" s="2" t="str">
        <f>MID(Tabulka1[[#This Row],[Adresa]],1,SEARCH(",",Tabulka1[[#This Row],[Adresa]])-1)</f>
        <v>Masarykova 1713</v>
      </c>
      <c r="G97" s="2" t="str">
        <f>RIGHT(Tabulka1[[#This Row],[Adresa]],LEN(Tabulka1[[#This Row],[Adresa]])-LEN(Tabulka1[[#This Row],[Ulice]])-1)</f>
        <v>Breznice</v>
      </c>
      <c r="H97" s="2" t="str">
        <f>_xlfn.CONCAT(LOWER(Tabulka1[[#This Row],[Příjmení bez mezer]]),".",LOWER(Tabulka1[[#This Row],[Jméno bez mezer]]),"@firmaabc.cz")</f>
        <v>fridrich.martin@firmaabc.cz</v>
      </c>
      <c r="I97" s="2" t="str">
        <f>_xlfn.CONCAT(LEFT(LOWER(Tabulka1[[#This Row],[Příjmení bez mezer]]),3),RIGHT(UPPER(Tabulka1[[#This Row],[Jméno bez mezer]]),2))</f>
        <v>friIN</v>
      </c>
    </row>
    <row r="98" spans="1:9">
      <c r="A98" s="2" t="s">
        <v>259</v>
      </c>
      <c r="B98" t="s">
        <v>260</v>
      </c>
      <c r="C98" t="s">
        <v>261</v>
      </c>
      <c r="D98" t="str">
        <f>TRIM(Tabulka1[[#This Row],[Jméno]])</f>
        <v>Bohuslav</v>
      </c>
      <c r="E98" t="str">
        <f>TRIM(Tabulka1[[#This Row],[Příjmení]])</f>
        <v>Hrbac</v>
      </c>
      <c r="F98" s="2" t="str">
        <f>MID(Tabulka1[[#This Row],[Adresa]],1,SEARCH(",",Tabulka1[[#This Row],[Adresa]])-1)</f>
        <v>Hálkova 723</v>
      </c>
      <c r="G98" s="2" t="str">
        <f>RIGHT(Tabulka1[[#This Row],[Adresa]],LEN(Tabulka1[[#This Row],[Adresa]])-LEN(Tabulka1[[#This Row],[Ulice]])-1)</f>
        <v>Ceská Lípa 2</v>
      </c>
      <c r="H98" s="2" t="str">
        <f>_xlfn.CONCAT(LOWER(Tabulka1[[#This Row],[Příjmení bez mezer]]),".",LOWER(Tabulka1[[#This Row],[Jméno bez mezer]]),"@firmaabc.cz")</f>
        <v>hrbac.bohuslav@firmaabc.cz</v>
      </c>
      <c r="I98" s="2" t="str">
        <f>_xlfn.CONCAT(LEFT(LOWER(Tabulka1[[#This Row],[Příjmení bez mezer]]),3),RIGHT(UPPER(Tabulka1[[#This Row],[Jméno bez mezer]]),2))</f>
        <v>hrbAV</v>
      </c>
    </row>
    <row r="99" spans="1:9">
      <c r="A99" s="2" t="s">
        <v>262</v>
      </c>
      <c r="B99" t="s">
        <v>87</v>
      </c>
      <c r="C99" t="s">
        <v>263</v>
      </c>
      <c r="D99" t="str">
        <f>TRIM(Tabulka1[[#This Row],[Jméno]])</f>
        <v>Martin</v>
      </c>
      <c r="E99" t="str">
        <f>TRIM(Tabulka1[[#This Row],[Příjmení]])</f>
        <v>Koznar</v>
      </c>
      <c r="F99" s="2" t="str">
        <f>MID(Tabulka1[[#This Row],[Adresa]],1,SEARCH(",",Tabulka1[[#This Row],[Adresa]])-1)</f>
        <v>Bezručova 1422</v>
      </c>
      <c r="G99" s="2" t="str">
        <f>RIGHT(Tabulka1[[#This Row],[Adresa]],LEN(Tabulka1[[#This Row],[Adresa]])-LEN(Tabulka1[[#This Row],[Ulice]])-1)</f>
        <v>Šternberk 1</v>
      </c>
      <c r="H99" s="2" t="str">
        <f>_xlfn.CONCAT(LOWER(Tabulka1[[#This Row],[Příjmení bez mezer]]),".",LOWER(Tabulka1[[#This Row],[Jméno bez mezer]]),"@firmaabc.cz")</f>
        <v>koznar.martin@firmaabc.cz</v>
      </c>
      <c r="I99" s="2" t="str">
        <f>_xlfn.CONCAT(LEFT(LOWER(Tabulka1[[#This Row],[Příjmení bez mezer]]),3),RIGHT(UPPER(Tabulka1[[#This Row],[Jméno bez mezer]]),2))</f>
        <v>kozIN</v>
      </c>
    </row>
    <row r="100" spans="1:9">
      <c r="A100" s="2" t="s">
        <v>264</v>
      </c>
      <c r="B100" t="s">
        <v>265</v>
      </c>
      <c r="C100" t="s">
        <v>266</v>
      </c>
      <c r="D100" t="str">
        <f>TRIM(Tabulka1[[#This Row],[Jméno]])</f>
        <v>Robert</v>
      </c>
      <c r="E100" t="str">
        <f>TRIM(Tabulka1[[#This Row],[Příjmení]])</f>
        <v>Horak</v>
      </c>
      <c r="F100" s="2" t="str">
        <f>MID(Tabulka1[[#This Row],[Adresa]],1,SEARCH(",",Tabulka1[[#This Row],[Adresa]])-1)</f>
        <v>Školní 1619</v>
      </c>
      <c r="G100" s="2" t="str">
        <f>RIGHT(Tabulka1[[#This Row],[Adresa]],LEN(Tabulka1[[#This Row],[Adresa]])-LEN(Tabulka1[[#This Row],[Ulice]])-1)</f>
        <v>Kaplice 1</v>
      </c>
      <c r="H100" s="2" t="str">
        <f>_xlfn.CONCAT(LOWER(Tabulka1[[#This Row],[Příjmení bez mezer]]),".",LOWER(Tabulka1[[#This Row],[Jméno bez mezer]]),"@firmaabc.cz")</f>
        <v>horak.robert@firmaabc.cz</v>
      </c>
      <c r="I100" s="2" t="str">
        <f>_xlfn.CONCAT(LEFT(LOWER(Tabulka1[[#This Row],[Příjmení bez mezer]]),3),RIGHT(UPPER(Tabulka1[[#This Row],[Jméno bez mezer]]),2))</f>
        <v>horRT</v>
      </c>
    </row>
    <row r="101" spans="1:9">
      <c r="A101" s="2" t="s">
        <v>267</v>
      </c>
      <c r="B101" t="s">
        <v>44</v>
      </c>
      <c r="C101" t="s">
        <v>268</v>
      </c>
      <c r="D101" t="str">
        <f>TRIM(Tabulka1[[#This Row],[Jméno]])</f>
        <v>Marie</v>
      </c>
      <c r="E101" t="str">
        <f>TRIM(Tabulka1[[#This Row],[Příjmení]])</f>
        <v>Kockova</v>
      </c>
      <c r="F101" s="2" t="str">
        <f>MID(Tabulka1[[#This Row],[Adresa]],1,SEARCH(",",Tabulka1[[#This Row],[Adresa]])-1)</f>
        <v>Osnická 856</v>
      </c>
      <c r="G101" s="2" t="str">
        <f>RIGHT(Tabulka1[[#This Row],[Adresa]],LEN(Tabulka1[[#This Row],[Adresa]])-LEN(Tabulka1[[#This Row],[Ulice]])-1)</f>
        <v>Praha 111</v>
      </c>
      <c r="H101" s="2" t="str">
        <f>_xlfn.CONCAT(LOWER(Tabulka1[[#This Row],[Příjmení bez mezer]]),".",LOWER(Tabulka1[[#This Row],[Jméno bez mezer]]),"@firmaabc.cz")</f>
        <v>kockova.marie@firmaabc.cz</v>
      </c>
      <c r="I101" s="2" t="str">
        <f>_xlfn.CONCAT(LEFT(LOWER(Tabulka1[[#This Row],[Příjmení bez mezer]]),3),RIGHT(UPPER(Tabulka1[[#This Row],[Jméno bez mezer]]),2))</f>
        <v>kocIE</v>
      </c>
    </row>
    <row r="102" spans="1:9" ht="30">
      <c r="A102" s="2" t="s">
        <v>269</v>
      </c>
      <c r="B102" t="s">
        <v>270</v>
      </c>
      <c r="C102" t="s">
        <v>271</v>
      </c>
      <c r="D102" t="str">
        <f>TRIM(Tabulka1[[#This Row],[Jméno]])</f>
        <v>Anna</v>
      </c>
      <c r="E102" t="str">
        <f>TRIM(Tabulka1[[#This Row],[Příjmení]])</f>
        <v>Lerchova</v>
      </c>
      <c r="F102" s="2" t="str">
        <f>MID(Tabulka1[[#This Row],[Adresa]],1,SEARCH(",",Tabulka1[[#This Row],[Adresa]])-1)</f>
        <v>Dašická 1054</v>
      </c>
      <c r="G102" s="2" t="str">
        <f>RIGHT(Tabulka1[[#This Row],[Adresa]],LEN(Tabulka1[[#This Row],[Adresa]])-LEN(Tabulka1[[#This Row],[Ulice]])-1)</f>
        <v>Holice v Cechách</v>
      </c>
      <c r="H102" s="2" t="str">
        <f>_xlfn.CONCAT(LOWER(Tabulka1[[#This Row],[Příjmení bez mezer]]),".",LOWER(Tabulka1[[#This Row],[Jméno bez mezer]]),"@firmaabc.cz")</f>
        <v>lerchova.anna@firmaabc.cz</v>
      </c>
      <c r="I102" s="2" t="str">
        <f>_xlfn.CONCAT(LEFT(LOWER(Tabulka1[[#This Row],[Příjmení bez mezer]]),3),RIGHT(UPPER(Tabulka1[[#This Row],[Jméno bez mezer]]),2))</f>
        <v>lerNA</v>
      </c>
    </row>
    <row r="103" spans="1:9">
      <c r="A103" s="2" t="s">
        <v>272</v>
      </c>
      <c r="B103" t="s">
        <v>147</v>
      </c>
      <c r="C103" t="s">
        <v>273</v>
      </c>
      <c r="D103" t="str">
        <f>TRIM(Tabulka1[[#This Row],[Jméno]])</f>
        <v>Hana</v>
      </c>
      <c r="E103" t="str">
        <f>TRIM(Tabulka1[[#This Row],[Příjmení]])</f>
        <v>Bartosova</v>
      </c>
      <c r="F103" s="2" t="str">
        <f>MID(Tabulka1[[#This Row],[Adresa]],1,SEARCH(",",Tabulka1[[#This Row],[Adresa]])-1)</f>
        <v>Družstevní 1150</v>
      </c>
      <c r="G103" s="2" t="str">
        <f>RIGHT(Tabulka1[[#This Row],[Adresa]],LEN(Tabulka1[[#This Row],[Adresa]])-LEN(Tabulka1[[#This Row],[Ulice]])-1)</f>
        <v>Hostim</v>
      </c>
      <c r="H103" s="2" t="str">
        <f>_xlfn.CONCAT(LOWER(Tabulka1[[#This Row],[Příjmení bez mezer]]),".",LOWER(Tabulka1[[#This Row],[Jméno bez mezer]]),"@firmaabc.cz")</f>
        <v>bartosova.hana@firmaabc.cz</v>
      </c>
      <c r="I103" s="2" t="str">
        <f>_xlfn.CONCAT(LEFT(LOWER(Tabulka1[[#This Row],[Příjmení bez mezer]]),3),RIGHT(UPPER(Tabulka1[[#This Row],[Jméno bez mezer]]),2))</f>
        <v>barNA</v>
      </c>
    </row>
    <row r="104" spans="1:9" ht="30">
      <c r="A104" s="2" t="s">
        <v>274</v>
      </c>
      <c r="B104" t="s">
        <v>180</v>
      </c>
      <c r="C104" t="s">
        <v>275</v>
      </c>
      <c r="D104" t="str">
        <f>TRIM(Tabulka1[[#This Row],[Jméno]])</f>
        <v>Jaroslav</v>
      </c>
      <c r="E104" t="str">
        <f>TRIM(Tabulka1[[#This Row],[Příjmení]])</f>
        <v>Dohnal</v>
      </c>
      <c r="F104" s="2" t="str">
        <f>MID(Tabulka1[[#This Row],[Adresa]],1,SEARCH(",",Tabulka1[[#This Row],[Adresa]])-1)</f>
        <v>Československé legií 842</v>
      </c>
      <c r="G104" s="2" t="str">
        <f>RIGHT(Tabulka1[[#This Row],[Adresa]],LEN(Tabulka1[[#This Row],[Adresa]])-LEN(Tabulka1[[#This Row],[Ulice]])-1)</f>
        <v>Kojetín</v>
      </c>
      <c r="H104" s="2" t="str">
        <f>_xlfn.CONCAT(LOWER(Tabulka1[[#This Row],[Příjmení bez mezer]]),".",LOWER(Tabulka1[[#This Row],[Jméno bez mezer]]),"@firmaabc.cz")</f>
        <v>dohnal.jaroslav@firmaabc.cz</v>
      </c>
      <c r="I104" s="2" t="str">
        <f>_xlfn.CONCAT(LEFT(LOWER(Tabulka1[[#This Row],[Příjmení bez mezer]]),3),RIGHT(UPPER(Tabulka1[[#This Row],[Jméno bez mezer]]),2))</f>
        <v>dohAV</v>
      </c>
    </row>
    <row r="105" spans="1:9" ht="30">
      <c r="A105" s="2" t="s">
        <v>276</v>
      </c>
      <c r="B105" t="s">
        <v>17</v>
      </c>
      <c r="C105" t="s">
        <v>277</v>
      </c>
      <c r="D105" t="str">
        <f>TRIM(Tabulka1[[#This Row],[Jméno]])</f>
        <v>Vladimir</v>
      </c>
      <c r="E105" t="str">
        <f>TRIM(Tabulka1[[#This Row],[Příjmení]])</f>
        <v>Gabriel</v>
      </c>
      <c r="F105" s="2" t="str">
        <f>MID(Tabulka1[[#This Row],[Adresa]],1,SEARCH(",",Tabulka1[[#This Row],[Adresa]])-1)</f>
        <v>Alšova 596</v>
      </c>
      <c r="G105" s="2" t="str">
        <f>RIGHT(Tabulka1[[#This Row],[Adresa]],LEN(Tabulka1[[#This Row],[Adresa]])-LEN(Tabulka1[[#This Row],[Ulice]])-1)</f>
        <v>Herálec u Havlíckova Brodu</v>
      </c>
      <c r="H105" s="2" t="str">
        <f>_xlfn.CONCAT(LOWER(Tabulka1[[#This Row],[Příjmení bez mezer]]),".",LOWER(Tabulka1[[#This Row],[Jméno bez mezer]]),"@firmaabc.cz")</f>
        <v>gabriel.vladimir@firmaabc.cz</v>
      </c>
      <c r="I105" s="2" t="str">
        <f>_xlfn.CONCAT(LEFT(LOWER(Tabulka1[[#This Row],[Příjmení bez mezer]]),3),RIGHT(UPPER(Tabulka1[[#This Row],[Jméno bez mezer]]),2))</f>
        <v>gabIR</v>
      </c>
    </row>
    <row r="106" spans="1:9" ht="30">
      <c r="A106" s="2" t="s">
        <v>278</v>
      </c>
      <c r="B106" t="s">
        <v>150</v>
      </c>
      <c r="C106" t="s">
        <v>279</v>
      </c>
      <c r="D106" t="str">
        <f>TRIM(Tabulka1[[#This Row],[Jméno]])</f>
        <v>Josef</v>
      </c>
      <c r="E106" t="str">
        <f>TRIM(Tabulka1[[#This Row],[Příjmení]])</f>
        <v>Gorol</v>
      </c>
      <c r="F106" s="2" t="str">
        <f>MID(Tabulka1[[#This Row],[Adresa]],1,SEARCH(",",Tabulka1[[#This Row],[Adresa]])-1)</f>
        <v>Opltova 239</v>
      </c>
      <c r="G106" s="2" t="str">
        <f>RIGHT(Tabulka1[[#This Row],[Adresa]],LEN(Tabulka1[[#This Row],[Adresa]])-LEN(Tabulka1[[#This Row],[Ulice]])-1)</f>
        <v>Hora Svaté Kateriny</v>
      </c>
      <c r="H106" s="2" t="str">
        <f>_xlfn.CONCAT(LOWER(Tabulka1[[#This Row],[Příjmení bez mezer]]),".",LOWER(Tabulka1[[#This Row],[Jméno bez mezer]]),"@firmaabc.cz")</f>
        <v>gorol.josef@firmaabc.cz</v>
      </c>
      <c r="I106" s="2" t="str">
        <f>_xlfn.CONCAT(LEFT(LOWER(Tabulka1[[#This Row],[Příjmení bez mezer]]),3),RIGHT(UPPER(Tabulka1[[#This Row],[Jméno bez mezer]]),2))</f>
        <v>gorEF</v>
      </c>
    </row>
    <row r="107" spans="1:9">
      <c r="A107" s="2" t="s">
        <v>280</v>
      </c>
      <c r="B107" t="s">
        <v>281</v>
      </c>
      <c r="C107" t="s">
        <v>282</v>
      </c>
      <c r="D107" t="str">
        <f>TRIM(Tabulka1[[#This Row],[Jméno]])</f>
        <v>Zaneta</v>
      </c>
      <c r="E107" t="str">
        <f>TRIM(Tabulka1[[#This Row],[Příjmení]])</f>
        <v>Mayerova</v>
      </c>
      <c r="F107" s="2" t="str">
        <f>MID(Tabulka1[[#This Row],[Adresa]],1,SEARCH(",",Tabulka1[[#This Row],[Adresa]])-1)</f>
        <v>Hřbitovní 1471</v>
      </c>
      <c r="G107" s="2" t="str">
        <f>RIGHT(Tabulka1[[#This Row],[Adresa]],LEN(Tabulka1[[#This Row],[Adresa]])-LEN(Tabulka1[[#This Row],[Ulice]])-1)</f>
        <v>Luhacovice</v>
      </c>
      <c r="H107" s="2" t="str">
        <f>_xlfn.CONCAT(LOWER(Tabulka1[[#This Row],[Příjmení bez mezer]]),".",LOWER(Tabulka1[[#This Row],[Jméno bez mezer]]),"@firmaabc.cz")</f>
        <v>mayerova.zaneta@firmaabc.cz</v>
      </c>
      <c r="I107" s="2" t="str">
        <f>_xlfn.CONCAT(LEFT(LOWER(Tabulka1[[#This Row],[Příjmení bez mezer]]),3),RIGHT(UPPER(Tabulka1[[#This Row],[Jméno bez mezer]]),2))</f>
        <v>mayTA</v>
      </c>
    </row>
    <row r="108" spans="1:9">
      <c r="A108" s="2" t="s">
        <v>283</v>
      </c>
      <c r="B108" t="s">
        <v>26</v>
      </c>
      <c r="C108" t="s">
        <v>284</v>
      </c>
      <c r="D108" t="str">
        <f>TRIM(Tabulka1[[#This Row],[Jméno]])</f>
        <v>Jan</v>
      </c>
      <c r="E108" t="str">
        <f>TRIM(Tabulka1[[#This Row],[Příjmení]])</f>
        <v>Vondrasek</v>
      </c>
      <c r="F108" s="2" t="str">
        <f>MID(Tabulka1[[#This Row],[Adresa]],1,SEARCH(",",Tabulka1[[#This Row],[Adresa]])-1)</f>
        <v>Luční 63</v>
      </c>
      <c r="G108" s="2" t="str">
        <f>RIGHT(Tabulka1[[#This Row],[Adresa]],LEN(Tabulka1[[#This Row],[Adresa]])-LEN(Tabulka1[[#This Row],[Ulice]])-1)</f>
        <v>Velké Mezirící</v>
      </c>
      <c r="H108" s="2" t="str">
        <f>_xlfn.CONCAT(LOWER(Tabulka1[[#This Row],[Příjmení bez mezer]]),".",LOWER(Tabulka1[[#This Row],[Jméno bez mezer]]),"@firmaabc.cz")</f>
        <v>vondrasek.jan@firmaabc.cz</v>
      </c>
      <c r="I108" s="2" t="str">
        <f>_xlfn.CONCAT(LEFT(LOWER(Tabulka1[[#This Row],[Příjmení bez mezer]]),3),RIGHT(UPPER(Tabulka1[[#This Row],[Jméno bez mezer]]),2))</f>
        <v>vonAN</v>
      </c>
    </row>
    <row r="109" spans="1:9">
      <c r="A109" s="2" t="s">
        <v>285</v>
      </c>
      <c r="B109" t="s">
        <v>286</v>
      </c>
      <c r="C109" t="s">
        <v>287</v>
      </c>
      <c r="D109" t="str">
        <f>TRIM(Tabulka1[[#This Row],[Jméno]])</f>
        <v>Jindriska</v>
      </c>
      <c r="E109" t="str">
        <f>TRIM(Tabulka1[[#This Row],[Příjmení]])</f>
        <v>Rapantova</v>
      </c>
      <c r="F109" s="2" t="str">
        <f>MID(Tabulka1[[#This Row],[Adresa]],1,SEARCH(",",Tabulka1[[#This Row],[Adresa]])-1)</f>
        <v>Jabloňová 554</v>
      </c>
      <c r="G109" s="2" t="str">
        <f>RIGHT(Tabulka1[[#This Row],[Adresa]],LEN(Tabulka1[[#This Row],[Adresa]])-LEN(Tabulka1[[#This Row],[Ulice]])-1)</f>
        <v>Chroustovice</v>
      </c>
      <c r="H109" s="2" t="str">
        <f>_xlfn.CONCAT(LOWER(Tabulka1[[#This Row],[Příjmení bez mezer]]),".",LOWER(Tabulka1[[#This Row],[Jméno bez mezer]]),"@firmaabc.cz")</f>
        <v>rapantova.jindriska@firmaabc.cz</v>
      </c>
      <c r="I109" s="2" t="str">
        <f>_xlfn.CONCAT(LEFT(LOWER(Tabulka1[[#This Row],[Příjmení bez mezer]]),3),RIGHT(UPPER(Tabulka1[[#This Row],[Jméno bez mezer]]),2))</f>
        <v>rapKA</v>
      </c>
    </row>
    <row r="110" spans="1:9">
      <c r="A110" s="2" t="s">
        <v>288</v>
      </c>
      <c r="B110" t="s">
        <v>289</v>
      </c>
      <c r="C110" t="s">
        <v>290</v>
      </c>
      <c r="D110" t="str">
        <f>TRIM(Tabulka1[[#This Row],[Jméno]])</f>
        <v>Petr</v>
      </c>
      <c r="E110" t="str">
        <f>TRIM(Tabulka1[[#This Row],[Příjmení]])</f>
        <v>Konecny</v>
      </c>
      <c r="F110" s="2" t="str">
        <f>MID(Tabulka1[[#This Row],[Adresa]],1,SEARCH(",",Tabulka1[[#This Row],[Adresa]])-1)</f>
        <v>Kovářská 900</v>
      </c>
      <c r="G110" s="2" t="str">
        <f>RIGHT(Tabulka1[[#This Row],[Adresa]],LEN(Tabulka1[[#This Row],[Adresa]])-LEN(Tabulka1[[#This Row],[Ulice]])-1)</f>
        <v>Tisá</v>
      </c>
      <c r="H110" s="2" t="str">
        <f>_xlfn.CONCAT(LOWER(Tabulka1[[#This Row],[Příjmení bez mezer]]),".",LOWER(Tabulka1[[#This Row],[Jméno bez mezer]]),"@firmaabc.cz")</f>
        <v>konecny.petr@firmaabc.cz</v>
      </c>
      <c r="I110" s="2" t="str">
        <f>_xlfn.CONCAT(LEFT(LOWER(Tabulka1[[#This Row],[Příjmení bez mezer]]),3),RIGHT(UPPER(Tabulka1[[#This Row],[Jméno bez mezer]]),2))</f>
        <v>konTR</v>
      </c>
    </row>
    <row r="111" spans="1:9" ht="30">
      <c r="A111" s="2" t="s">
        <v>291</v>
      </c>
      <c r="B111" t="s">
        <v>115</v>
      </c>
      <c r="C111" t="s">
        <v>132</v>
      </c>
      <c r="D111" t="str">
        <f>TRIM(Tabulka1[[#This Row],[Jméno]])</f>
        <v>Jiri</v>
      </c>
      <c r="E111" t="str">
        <f>TRIM(Tabulka1[[#This Row],[Příjmení]])</f>
        <v>Bartos</v>
      </c>
      <c r="F111" s="2" t="str">
        <f>MID(Tabulka1[[#This Row],[Adresa]],1,SEARCH(",",Tabulka1[[#This Row],[Adresa]])-1)</f>
        <v>Žižkova 826</v>
      </c>
      <c r="G111" s="2" t="str">
        <f>RIGHT(Tabulka1[[#This Row],[Adresa]],LEN(Tabulka1[[#This Row],[Adresa]])-LEN(Tabulka1[[#This Row],[Ulice]])-1)</f>
        <v>Nezamyslice u Prostejova</v>
      </c>
      <c r="H111" s="2" t="str">
        <f>_xlfn.CONCAT(LOWER(Tabulka1[[#This Row],[Příjmení bez mezer]]),".",LOWER(Tabulka1[[#This Row],[Jméno bez mezer]]),"@firmaabc.cz")</f>
        <v>bartos.jiri@firmaabc.cz</v>
      </c>
      <c r="I111" s="2" t="str">
        <f>_xlfn.CONCAT(LEFT(LOWER(Tabulka1[[#This Row],[Příjmení bez mezer]]),3),RIGHT(UPPER(Tabulka1[[#This Row],[Jméno bez mezer]]),2))</f>
        <v>barRI</v>
      </c>
    </row>
    <row r="112" spans="1:9">
      <c r="A112" s="2" t="s">
        <v>292</v>
      </c>
      <c r="B112" t="s">
        <v>293</v>
      </c>
      <c r="C112" t="s">
        <v>294</v>
      </c>
      <c r="D112" t="str">
        <f>TRIM(Tabulka1[[#This Row],[Jméno]])</f>
        <v>Jirina</v>
      </c>
      <c r="E112" t="str">
        <f>TRIM(Tabulka1[[#This Row],[Příjmení]])</f>
        <v>Cernohousova</v>
      </c>
      <c r="F112" s="2" t="str">
        <f>MID(Tabulka1[[#This Row],[Adresa]],1,SEARCH(",",Tabulka1[[#This Row],[Adresa]])-1)</f>
        <v>Mlýnská 541</v>
      </c>
      <c r="G112" s="2" t="str">
        <f>RIGHT(Tabulka1[[#This Row],[Adresa]],LEN(Tabulka1[[#This Row],[Adresa]])-LEN(Tabulka1[[#This Row],[Ulice]])-1)</f>
        <v>Trešt</v>
      </c>
      <c r="H112" s="2" t="str">
        <f>_xlfn.CONCAT(LOWER(Tabulka1[[#This Row],[Příjmení bez mezer]]),".",LOWER(Tabulka1[[#This Row],[Jméno bez mezer]]),"@firmaabc.cz")</f>
        <v>cernohousova.jirina@firmaabc.cz</v>
      </c>
      <c r="I112" s="2" t="str">
        <f>_xlfn.CONCAT(LEFT(LOWER(Tabulka1[[#This Row],[Příjmení bez mezer]]),3),RIGHT(UPPER(Tabulka1[[#This Row],[Jméno bez mezer]]),2))</f>
        <v>cerNA</v>
      </c>
    </row>
    <row r="113" spans="1:9">
      <c r="A113" s="2" t="s">
        <v>295</v>
      </c>
      <c r="B113" t="s">
        <v>296</v>
      </c>
      <c r="C113" t="s">
        <v>297</v>
      </c>
      <c r="D113" t="str">
        <f>TRIM(Tabulka1[[#This Row],[Jméno]])</f>
        <v>Margit</v>
      </c>
      <c r="E113" t="str">
        <f>TRIM(Tabulka1[[#This Row],[Příjmení]])</f>
        <v>Salova</v>
      </c>
      <c r="F113" s="2" t="str">
        <f>MID(Tabulka1[[#This Row],[Adresa]],1,SEARCH(",",Tabulka1[[#This Row],[Adresa]])-1)</f>
        <v>Za Školou 1143</v>
      </c>
      <c r="G113" s="2" t="str">
        <f>RIGHT(Tabulka1[[#This Row],[Adresa]],LEN(Tabulka1[[#This Row],[Adresa]])-LEN(Tabulka1[[#This Row],[Ulice]])-1)</f>
        <v>Brno 21</v>
      </c>
      <c r="H113" s="2" t="str">
        <f>_xlfn.CONCAT(LOWER(Tabulka1[[#This Row],[Příjmení bez mezer]]),".",LOWER(Tabulka1[[#This Row],[Jméno bez mezer]]),"@firmaabc.cz")</f>
        <v>salova.margit@firmaabc.cz</v>
      </c>
      <c r="I113" s="2" t="str">
        <f>_xlfn.CONCAT(LEFT(LOWER(Tabulka1[[#This Row],[Příjmení bez mezer]]),3),RIGHT(UPPER(Tabulka1[[#This Row],[Jméno bez mezer]]),2))</f>
        <v>salIT</v>
      </c>
    </row>
    <row r="114" spans="1:9">
      <c r="A114" s="2" t="s">
        <v>298</v>
      </c>
      <c r="B114" t="s">
        <v>289</v>
      </c>
      <c r="C114" t="s">
        <v>299</v>
      </c>
      <c r="D114" t="str">
        <f>TRIM(Tabulka1[[#This Row],[Jméno]])</f>
        <v>Petr</v>
      </c>
      <c r="E114" t="str">
        <f>TRIM(Tabulka1[[#This Row],[Příjmení]])</f>
        <v>Stoudek</v>
      </c>
      <c r="F114" s="2" t="str">
        <f>MID(Tabulka1[[#This Row],[Adresa]],1,SEARCH(",",Tabulka1[[#This Row],[Adresa]])-1)</f>
        <v>Masarykova 15</v>
      </c>
      <c r="G114" s="2" t="str">
        <f>RIGHT(Tabulka1[[#This Row],[Adresa]],LEN(Tabulka1[[#This Row],[Adresa]])-LEN(Tabulka1[[#This Row],[Ulice]])-1)</f>
        <v>Zábreh</v>
      </c>
      <c r="H114" s="2" t="str">
        <f>_xlfn.CONCAT(LOWER(Tabulka1[[#This Row],[Příjmení bez mezer]]),".",LOWER(Tabulka1[[#This Row],[Jméno bez mezer]]),"@firmaabc.cz")</f>
        <v>stoudek.petr@firmaabc.cz</v>
      </c>
      <c r="I114" s="2" t="str">
        <f>_xlfn.CONCAT(LEFT(LOWER(Tabulka1[[#This Row],[Příjmení bez mezer]]),3),RIGHT(UPPER(Tabulka1[[#This Row],[Jméno bez mezer]]),2))</f>
        <v>stoTR</v>
      </c>
    </row>
    <row r="115" spans="1:9">
      <c r="A115" s="2" t="s">
        <v>300</v>
      </c>
      <c r="B115" t="s">
        <v>90</v>
      </c>
      <c r="C115" t="s">
        <v>215</v>
      </c>
      <c r="D115" t="str">
        <f>TRIM(Tabulka1[[#This Row],[Jméno]])</f>
        <v>Pavel</v>
      </c>
      <c r="E115" t="str">
        <f>TRIM(Tabulka1[[#This Row],[Příjmení]])</f>
        <v>Kratochvil</v>
      </c>
      <c r="F115" s="2" t="str">
        <f>MID(Tabulka1[[#This Row],[Adresa]],1,SEARCH(",",Tabulka1[[#This Row],[Adresa]])-1)</f>
        <v>Družstevní 1260</v>
      </c>
      <c r="G115" s="2" t="str">
        <f>RIGHT(Tabulka1[[#This Row],[Adresa]],LEN(Tabulka1[[#This Row],[Adresa]])-LEN(Tabulka1[[#This Row],[Ulice]])-1)</f>
        <v>Zbiroh</v>
      </c>
      <c r="H115" s="2" t="str">
        <f>_xlfn.CONCAT(LOWER(Tabulka1[[#This Row],[Příjmení bez mezer]]),".",LOWER(Tabulka1[[#This Row],[Jméno bez mezer]]),"@firmaabc.cz")</f>
        <v>kratochvil.pavel@firmaabc.cz</v>
      </c>
      <c r="I115" s="2" t="str">
        <f>_xlfn.CONCAT(LEFT(LOWER(Tabulka1[[#This Row],[Příjmení bez mezer]]),3),RIGHT(UPPER(Tabulka1[[#This Row],[Jméno bez mezer]]),2))</f>
        <v>kraEL</v>
      </c>
    </row>
    <row r="116" spans="1:9">
      <c r="A116" s="2" t="s">
        <v>301</v>
      </c>
      <c r="B116" t="s">
        <v>302</v>
      </c>
      <c r="C116" t="s">
        <v>303</v>
      </c>
      <c r="D116" t="str">
        <f>TRIM(Tabulka1[[#This Row],[Jméno]])</f>
        <v>Sergii</v>
      </c>
      <c r="E116" t="str">
        <f>TRIM(Tabulka1[[#This Row],[Příjmení]])</f>
        <v>Silhan</v>
      </c>
      <c r="F116" s="2" t="str">
        <f>MID(Tabulka1[[#This Row],[Adresa]],1,SEARCH(",",Tabulka1[[#This Row],[Adresa]])-1)</f>
        <v>Pod Strání 236</v>
      </c>
      <c r="G116" s="2" t="str">
        <f>RIGHT(Tabulka1[[#This Row],[Adresa]],LEN(Tabulka1[[#This Row],[Adresa]])-LEN(Tabulka1[[#This Row],[Ulice]])-1)</f>
        <v>Hostinné</v>
      </c>
      <c r="H116" s="2" t="str">
        <f>_xlfn.CONCAT(LOWER(Tabulka1[[#This Row],[Příjmení bez mezer]]),".",LOWER(Tabulka1[[#This Row],[Jméno bez mezer]]),"@firmaabc.cz")</f>
        <v>silhan.sergii@firmaabc.cz</v>
      </c>
      <c r="I116" s="2" t="str">
        <f>_xlfn.CONCAT(LEFT(LOWER(Tabulka1[[#This Row],[Příjmení bez mezer]]),3),RIGHT(UPPER(Tabulka1[[#This Row],[Jméno bez mezer]]),2))</f>
        <v>silII</v>
      </c>
    </row>
    <row r="117" spans="1:9" ht="30">
      <c r="A117" s="2" t="s">
        <v>304</v>
      </c>
      <c r="B117" t="s">
        <v>305</v>
      </c>
      <c r="C117" t="s">
        <v>306</v>
      </c>
      <c r="D117" t="str">
        <f>TRIM(Tabulka1[[#This Row],[Jméno]])</f>
        <v>Lenka</v>
      </c>
      <c r="E117" t="str">
        <f>TRIM(Tabulka1[[#This Row],[Příjmení]])</f>
        <v>Dolezalova</v>
      </c>
      <c r="F117" s="2" t="str">
        <f>MID(Tabulka1[[#This Row],[Adresa]],1,SEARCH(",",Tabulka1[[#This Row],[Adresa]])-1)</f>
        <v>Klimenta Čermáka 1026</v>
      </c>
      <c r="G117" s="2" t="str">
        <f>RIGHT(Tabulka1[[#This Row],[Adresa]],LEN(Tabulka1[[#This Row],[Adresa]])-LEN(Tabulka1[[#This Row],[Ulice]])-1)</f>
        <v>Cáslav</v>
      </c>
      <c r="H117" s="2" t="str">
        <f>_xlfn.CONCAT(LOWER(Tabulka1[[#This Row],[Příjmení bez mezer]]),".",LOWER(Tabulka1[[#This Row],[Jméno bez mezer]]),"@firmaabc.cz")</f>
        <v>dolezalova.lenka@firmaabc.cz</v>
      </c>
      <c r="I117" s="2" t="str">
        <f>_xlfn.CONCAT(LEFT(LOWER(Tabulka1[[#This Row],[Příjmení bez mezer]]),3),RIGHT(UPPER(Tabulka1[[#This Row],[Jméno bez mezer]]),2))</f>
        <v>dolKA</v>
      </c>
    </row>
    <row r="118" spans="1:9">
      <c r="A118" s="2" t="s">
        <v>307</v>
      </c>
      <c r="B118" t="s">
        <v>98</v>
      </c>
      <c r="C118" t="s">
        <v>308</v>
      </c>
      <c r="D118" t="str">
        <f>TRIM(Tabulka1[[#This Row],[Jméno]])</f>
        <v>Lukas</v>
      </c>
      <c r="E118" t="str">
        <f>TRIM(Tabulka1[[#This Row],[Příjmení]])</f>
        <v>Conka</v>
      </c>
      <c r="F118" s="2" t="str">
        <f>MID(Tabulka1[[#This Row],[Adresa]],1,SEARCH(",",Tabulka1[[#This Row],[Adresa]])-1)</f>
        <v>Příkopy 1635</v>
      </c>
      <c r="G118" s="2" t="str">
        <f>RIGHT(Tabulka1[[#This Row],[Adresa]],LEN(Tabulka1[[#This Row],[Adresa]])-LEN(Tabulka1[[#This Row],[Ulice]])-1)</f>
        <v>Ústí nad Orlicí 1</v>
      </c>
      <c r="H118" s="2" t="str">
        <f>_xlfn.CONCAT(LOWER(Tabulka1[[#This Row],[Příjmení bez mezer]]),".",LOWER(Tabulka1[[#This Row],[Jméno bez mezer]]),"@firmaabc.cz")</f>
        <v>conka.lukas@firmaabc.cz</v>
      </c>
      <c r="I118" s="2" t="str">
        <f>_xlfn.CONCAT(LEFT(LOWER(Tabulka1[[#This Row],[Příjmení bez mezer]]),3),RIGHT(UPPER(Tabulka1[[#This Row],[Jméno bez mezer]]),2))</f>
        <v>conAS</v>
      </c>
    </row>
    <row r="119" spans="1:9">
      <c r="A119" s="2" t="s">
        <v>309</v>
      </c>
      <c r="B119" t="s">
        <v>310</v>
      </c>
      <c r="C119" t="s">
        <v>311</v>
      </c>
      <c r="D119" t="str">
        <f>TRIM(Tabulka1[[#This Row],[Jméno]])</f>
        <v>Stanislav</v>
      </c>
      <c r="E119" t="str">
        <f>TRIM(Tabulka1[[#This Row],[Příjmení]])</f>
        <v>Slavicek</v>
      </c>
      <c r="F119" s="2" t="str">
        <f>MID(Tabulka1[[#This Row],[Adresa]],1,SEARCH(",",Tabulka1[[#This Row],[Adresa]])-1)</f>
        <v>Zahradní 1384</v>
      </c>
      <c r="G119" s="2" t="str">
        <f>RIGHT(Tabulka1[[#This Row],[Adresa]],LEN(Tabulka1[[#This Row],[Adresa]])-LEN(Tabulka1[[#This Row],[Ulice]])-1)</f>
        <v>Cechtín</v>
      </c>
      <c r="H119" s="2" t="str">
        <f>_xlfn.CONCAT(LOWER(Tabulka1[[#This Row],[Příjmení bez mezer]]),".",LOWER(Tabulka1[[#This Row],[Jméno bez mezer]]),"@firmaabc.cz")</f>
        <v>slavicek.stanislav@firmaabc.cz</v>
      </c>
      <c r="I119" s="2" t="str">
        <f>_xlfn.CONCAT(LEFT(LOWER(Tabulka1[[#This Row],[Příjmení bez mezer]]),3),RIGHT(UPPER(Tabulka1[[#This Row],[Jméno bez mezer]]),2))</f>
        <v>slaAV</v>
      </c>
    </row>
    <row r="120" spans="1:9">
      <c r="A120" s="2" t="s">
        <v>312</v>
      </c>
      <c r="B120" t="s">
        <v>313</v>
      </c>
      <c r="C120" t="s">
        <v>314</v>
      </c>
      <c r="D120" t="str">
        <f>TRIM(Tabulka1[[#This Row],[Jméno]])</f>
        <v>Lucie</v>
      </c>
      <c r="E120" t="str">
        <f>TRIM(Tabulka1[[#This Row],[Příjmení]])</f>
        <v>Kratochvilova</v>
      </c>
      <c r="F120" s="2" t="str">
        <f>MID(Tabulka1[[#This Row],[Adresa]],1,SEARCH(",",Tabulka1[[#This Row],[Adresa]])-1)</f>
        <v>Za učilištěm 734</v>
      </c>
      <c r="G120" s="2" t="str">
        <f>RIGHT(Tabulka1[[#This Row],[Adresa]],LEN(Tabulka1[[#This Row],[Adresa]])-LEN(Tabulka1[[#This Row],[Ulice]])-1)</f>
        <v>Dobrá</v>
      </c>
      <c r="H120" s="2" t="str">
        <f>_xlfn.CONCAT(LOWER(Tabulka1[[#This Row],[Příjmení bez mezer]]),".",LOWER(Tabulka1[[#This Row],[Jméno bez mezer]]),"@firmaabc.cz")</f>
        <v>kratochvilova.lucie@firmaabc.cz</v>
      </c>
      <c r="I120" s="2" t="str">
        <f>_xlfn.CONCAT(LEFT(LOWER(Tabulka1[[#This Row],[Příjmení bez mezer]]),3),RIGHT(UPPER(Tabulka1[[#This Row],[Jméno bez mezer]]),2))</f>
        <v>kraIE</v>
      </c>
    </row>
    <row r="121" spans="1:9">
      <c r="A121" s="2" t="s">
        <v>315</v>
      </c>
      <c r="B121" t="s">
        <v>47</v>
      </c>
      <c r="C121" t="s">
        <v>316</v>
      </c>
      <c r="D121" t="str">
        <f>TRIM(Tabulka1[[#This Row],[Jméno]])</f>
        <v>Tomas</v>
      </c>
      <c r="E121" t="str">
        <f>TRIM(Tabulka1[[#This Row],[Příjmení]])</f>
        <v>Kubasek</v>
      </c>
      <c r="F121" s="2" t="str">
        <f>MID(Tabulka1[[#This Row],[Adresa]],1,SEARCH(",",Tabulka1[[#This Row],[Adresa]])-1)</f>
        <v>Švermova 1852</v>
      </c>
      <c r="G121" s="2" t="str">
        <f>RIGHT(Tabulka1[[#This Row],[Adresa]],LEN(Tabulka1[[#This Row],[Adresa]])-LEN(Tabulka1[[#This Row],[Ulice]])-1)</f>
        <v>Liberec 6</v>
      </c>
      <c r="H121" s="2" t="str">
        <f>_xlfn.CONCAT(LOWER(Tabulka1[[#This Row],[Příjmení bez mezer]]),".",LOWER(Tabulka1[[#This Row],[Jméno bez mezer]]),"@firmaabc.cz")</f>
        <v>kubasek.tomas@firmaabc.cz</v>
      </c>
      <c r="I121" s="2" t="str">
        <f>_xlfn.CONCAT(LEFT(LOWER(Tabulka1[[#This Row],[Příjmení bez mezer]]),3),RIGHT(UPPER(Tabulka1[[#This Row],[Jméno bez mezer]]),2))</f>
        <v>kubAS</v>
      </c>
    </row>
    <row r="122" spans="1:9" ht="30">
      <c r="A122" s="2" t="s">
        <v>317</v>
      </c>
      <c r="B122" t="s">
        <v>162</v>
      </c>
      <c r="C122" t="s">
        <v>318</v>
      </c>
      <c r="D122" t="str">
        <f>TRIM(Tabulka1[[#This Row],[Jméno]])</f>
        <v>Jaroslava</v>
      </c>
      <c r="E122" t="str">
        <f>TRIM(Tabulka1[[#This Row],[Příjmení]])</f>
        <v>Krejci</v>
      </c>
      <c r="F122" s="2" t="str">
        <f>MID(Tabulka1[[#This Row],[Adresa]],1,SEARCH(",",Tabulka1[[#This Row],[Adresa]])-1)</f>
        <v>Klimenta Čermáka 100</v>
      </c>
      <c r="G122" s="2" t="str">
        <f>RIGHT(Tabulka1[[#This Row],[Adresa]],LEN(Tabulka1[[#This Row],[Adresa]])-LEN(Tabulka1[[#This Row],[Ulice]])-1)</f>
        <v>Cáslav</v>
      </c>
      <c r="H122" s="2" t="str">
        <f>_xlfn.CONCAT(LOWER(Tabulka1[[#This Row],[Příjmení bez mezer]]),".",LOWER(Tabulka1[[#This Row],[Jméno bez mezer]]),"@firmaabc.cz")</f>
        <v>krejci.jaroslava@firmaabc.cz</v>
      </c>
      <c r="I122" s="2" t="str">
        <f>_xlfn.CONCAT(LEFT(LOWER(Tabulka1[[#This Row],[Příjmení bez mezer]]),3),RIGHT(UPPER(Tabulka1[[#This Row],[Jméno bez mezer]]),2))</f>
        <v>kreVA</v>
      </c>
    </row>
    <row r="123" spans="1:9">
      <c r="A123" s="2" t="s">
        <v>319</v>
      </c>
      <c r="B123" t="s">
        <v>72</v>
      </c>
      <c r="C123" t="s">
        <v>320</v>
      </c>
      <c r="D123" t="str">
        <f>TRIM(Tabulka1[[#This Row],[Jméno]])</f>
        <v>Jakub</v>
      </c>
      <c r="E123" t="str">
        <f>TRIM(Tabulka1[[#This Row],[Příjmení]])</f>
        <v>?Svoboda</v>
      </c>
      <c r="F123" s="2" t="str">
        <f>MID(Tabulka1[[#This Row],[Adresa]],1,SEARCH(",",Tabulka1[[#This Row],[Adresa]])-1)</f>
        <v>V Zahradách 1552</v>
      </c>
      <c r="G123" s="2" t="str">
        <f>RIGHT(Tabulka1[[#This Row],[Adresa]],LEN(Tabulka1[[#This Row],[Adresa]])-LEN(Tabulka1[[#This Row],[Ulice]])-1)</f>
        <v>Prerov 2</v>
      </c>
      <c r="H123" s="2" t="str">
        <f>_xlfn.CONCAT(LOWER(Tabulka1[[#This Row],[Příjmení bez mezer]]),".",LOWER(Tabulka1[[#This Row],[Jméno bez mezer]]),"@firmaabc.cz")</f>
        <v>?svoboda.jakub@firmaabc.cz</v>
      </c>
      <c r="I123" s="2" t="str">
        <f>_xlfn.CONCAT(LEFT(LOWER(Tabulka1[[#This Row],[Příjmení bez mezer]]),3),RIGHT(UPPER(Tabulka1[[#This Row],[Jméno bez mezer]]),2))</f>
        <v>?svUB</v>
      </c>
    </row>
    <row r="124" spans="1:9" ht="30">
      <c r="A124" s="2" t="s">
        <v>321</v>
      </c>
      <c r="B124" t="s">
        <v>322</v>
      </c>
      <c r="C124" t="s">
        <v>323</v>
      </c>
      <c r="D124" t="str">
        <f>TRIM(Tabulka1[[#This Row],[Jméno]])</f>
        <v>Helena</v>
      </c>
      <c r="E124" t="str">
        <f>TRIM(Tabulka1[[#This Row],[Příjmení]])</f>
        <v>Borovickova</v>
      </c>
      <c r="F124" s="2" t="str">
        <f>MID(Tabulka1[[#This Row],[Adresa]],1,SEARCH(",",Tabulka1[[#This Row],[Adresa]])-1)</f>
        <v>Sokolská 1923</v>
      </c>
      <c r="G124" s="2" t="str">
        <f>RIGHT(Tabulka1[[#This Row],[Adresa]],LEN(Tabulka1[[#This Row],[Adresa]])-LEN(Tabulka1[[#This Row],[Ulice]])-1)</f>
        <v>Dukovany-elektrárna</v>
      </c>
      <c r="H124" s="2" t="str">
        <f>_xlfn.CONCAT(LOWER(Tabulka1[[#This Row],[Příjmení bez mezer]]),".",LOWER(Tabulka1[[#This Row],[Jméno bez mezer]]),"@firmaabc.cz")</f>
        <v>borovickova.helena@firmaabc.cz</v>
      </c>
      <c r="I124" s="2" t="str">
        <f>_xlfn.CONCAT(LEFT(LOWER(Tabulka1[[#This Row],[Příjmení bez mezer]]),3),RIGHT(UPPER(Tabulka1[[#This Row],[Jméno bez mezer]]),2))</f>
        <v>borNA</v>
      </c>
    </row>
    <row r="125" spans="1:9">
      <c r="A125" s="2" t="s">
        <v>324</v>
      </c>
      <c r="B125" t="s">
        <v>26</v>
      </c>
      <c r="C125" t="s">
        <v>289</v>
      </c>
      <c r="D125" t="str">
        <f>TRIM(Tabulka1[[#This Row],[Jméno]])</f>
        <v>Jan</v>
      </c>
      <c r="E125" t="str">
        <f>TRIM(Tabulka1[[#This Row],[Příjmení]])</f>
        <v>Petr</v>
      </c>
      <c r="F125" s="2" t="str">
        <f>MID(Tabulka1[[#This Row],[Adresa]],1,SEARCH(",",Tabulka1[[#This Row],[Adresa]])-1)</f>
        <v>Truhlářská 788</v>
      </c>
      <c r="G125" s="2" t="str">
        <f>RIGHT(Tabulka1[[#This Row],[Adresa]],LEN(Tabulka1[[#This Row],[Adresa]])-LEN(Tabulka1[[#This Row],[Ulice]])-1)</f>
        <v>Pacov</v>
      </c>
      <c r="H125" s="2" t="str">
        <f>_xlfn.CONCAT(LOWER(Tabulka1[[#This Row],[Příjmení bez mezer]]),".",LOWER(Tabulka1[[#This Row],[Jméno bez mezer]]),"@firmaabc.cz")</f>
        <v>petr.jan@firmaabc.cz</v>
      </c>
      <c r="I125" s="2" t="str">
        <f>_xlfn.CONCAT(LEFT(LOWER(Tabulka1[[#This Row],[Příjmení bez mezer]]),3),RIGHT(UPPER(Tabulka1[[#This Row],[Jméno bez mezer]]),2))</f>
        <v>petAN</v>
      </c>
    </row>
    <row r="126" spans="1:9">
      <c r="A126" s="2" t="s">
        <v>325</v>
      </c>
      <c r="B126" t="s">
        <v>326</v>
      </c>
      <c r="C126" t="s">
        <v>327</v>
      </c>
      <c r="D126" t="str">
        <f>TRIM(Tabulka1[[#This Row],[Jméno]])</f>
        <v>Milan</v>
      </c>
      <c r="E126" t="str">
        <f>TRIM(Tabulka1[[#This Row],[Příjmení]])</f>
        <v>Hegr</v>
      </c>
      <c r="F126" s="2" t="str">
        <f>MID(Tabulka1[[#This Row],[Adresa]],1,SEARCH(",",Tabulka1[[#This Row],[Adresa]])-1)</f>
        <v>Tylova 918</v>
      </c>
      <c r="G126" s="2" t="str">
        <f>RIGHT(Tabulka1[[#This Row],[Adresa]],LEN(Tabulka1[[#This Row],[Adresa]])-LEN(Tabulka1[[#This Row],[Ulice]])-1)</f>
        <v>Ostrov nad Ohrí</v>
      </c>
      <c r="H126" s="2" t="str">
        <f>_xlfn.CONCAT(LOWER(Tabulka1[[#This Row],[Příjmení bez mezer]]),".",LOWER(Tabulka1[[#This Row],[Jméno bez mezer]]),"@firmaabc.cz")</f>
        <v>hegr.milan@firmaabc.cz</v>
      </c>
      <c r="I126" s="2" t="str">
        <f>_xlfn.CONCAT(LEFT(LOWER(Tabulka1[[#This Row],[Příjmení bez mezer]]),3),RIGHT(UPPER(Tabulka1[[#This Row],[Jméno bez mezer]]),2))</f>
        <v>hegAN</v>
      </c>
    </row>
    <row r="127" spans="1:9">
      <c r="A127" s="2" t="s">
        <v>328</v>
      </c>
      <c r="B127" t="s">
        <v>26</v>
      </c>
      <c r="C127" t="s">
        <v>329</v>
      </c>
      <c r="D127" t="str">
        <f>TRIM(Tabulka1[[#This Row],[Jméno]])</f>
        <v>Jan</v>
      </c>
      <c r="E127" t="str">
        <f>TRIM(Tabulka1[[#This Row],[Příjmení]])</f>
        <v>Zdarsky</v>
      </c>
      <c r="F127" s="2" t="str">
        <f>MID(Tabulka1[[#This Row],[Adresa]],1,SEARCH(",",Tabulka1[[#This Row],[Adresa]])-1)</f>
        <v>Na Kopečku 241</v>
      </c>
      <c r="G127" s="2" t="str">
        <f>RIGHT(Tabulka1[[#This Row],[Adresa]],LEN(Tabulka1[[#This Row],[Adresa]])-LEN(Tabulka1[[#This Row],[Ulice]])-1)</f>
        <v>Nechanice</v>
      </c>
      <c r="H127" s="2" t="str">
        <f>_xlfn.CONCAT(LOWER(Tabulka1[[#This Row],[Příjmení bez mezer]]),".",LOWER(Tabulka1[[#This Row],[Jméno bez mezer]]),"@firmaabc.cz")</f>
        <v>zdarsky.jan@firmaabc.cz</v>
      </c>
      <c r="I127" s="2" t="str">
        <f>_xlfn.CONCAT(LEFT(LOWER(Tabulka1[[#This Row],[Příjmení bez mezer]]),3),RIGHT(UPPER(Tabulka1[[#This Row],[Jméno bez mezer]]),2))</f>
        <v>zdaAN</v>
      </c>
    </row>
    <row r="128" spans="1:9">
      <c r="A128" s="2" t="s">
        <v>330</v>
      </c>
      <c r="B128" t="s">
        <v>331</v>
      </c>
      <c r="C128" t="s">
        <v>332</v>
      </c>
      <c r="D128" t="str">
        <f>TRIM(Tabulka1[[#This Row],[Jméno]])</f>
        <v>Klaudie</v>
      </c>
      <c r="E128" t="str">
        <f>TRIM(Tabulka1[[#This Row],[Příjmení]])</f>
        <v>Kureckova</v>
      </c>
      <c r="F128" s="2" t="str">
        <f>MID(Tabulka1[[#This Row],[Adresa]],1,SEARCH(",",Tabulka1[[#This Row],[Adresa]])-1)</f>
        <v>Barákova 619</v>
      </c>
      <c r="G128" s="2" t="str">
        <f>RIGHT(Tabulka1[[#This Row],[Adresa]],LEN(Tabulka1[[#This Row],[Adresa]])-LEN(Tabulka1[[#This Row],[Ulice]])-1)</f>
        <v>Škvorec</v>
      </c>
      <c r="H128" s="2" t="str">
        <f>_xlfn.CONCAT(LOWER(Tabulka1[[#This Row],[Příjmení bez mezer]]),".",LOWER(Tabulka1[[#This Row],[Jméno bez mezer]]),"@firmaabc.cz")</f>
        <v>kureckova.klaudie@firmaabc.cz</v>
      </c>
      <c r="I128" s="2" t="str">
        <f>_xlfn.CONCAT(LEFT(LOWER(Tabulka1[[#This Row],[Příjmení bez mezer]]),3),RIGHT(UPPER(Tabulka1[[#This Row],[Jméno bez mezer]]),2))</f>
        <v>kurIE</v>
      </c>
    </row>
    <row r="129" spans="1:9">
      <c r="A129" s="2" t="s">
        <v>333</v>
      </c>
      <c r="B129" t="s">
        <v>150</v>
      </c>
      <c r="C129" t="s">
        <v>334</v>
      </c>
      <c r="D129" t="str">
        <f>TRIM(Tabulka1[[#This Row],[Jméno]])</f>
        <v>Josef</v>
      </c>
      <c r="E129" t="str">
        <f>TRIM(Tabulka1[[#This Row],[Příjmení]])</f>
        <v>?Prochazka</v>
      </c>
      <c r="F129" s="2" t="str">
        <f>MID(Tabulka1[[#This Row],[Adresa]],1,SEARCH(",",Tabulka1[[#This Row],[Adresa]])-1)</f>
        <v>Pivovarská 1660</v>
      </c>
      <c r="G129" s="2" t="str">
        <f>RIGHT(Tabulka1[[#This Row],[Adresa]],LEN(Tabulka1[[#This Row],[Adresa]])-LEN(Tabulka1[[#This Row],[Ulice]])-1)</f>
        <v>Velemín</v>
      </c>
      <c r="H129" s="2" t="str">
        <f>_xlfn.CONCAT(LOWER(Tabulka1[[#This Row],[Příjmení bez mezer]]),".",LOWER(Tabulka1[[#This Row],[Jméno bez mezer]]),"@firmaabc.cz")</f>
        <v>?prochazka.josef@firmaabc.cz</v>
      </c>
      <c r="I129" s="2" t="str">
        <f>_xlfn.CONCAT(LEFT(LOWER(Tabulka1[[#This Row],[Příjmení bez mezer]]),3),RIGHT(UPPER(Tabulka1[[#This Row],[Jméno bez mezer]]),2))</f>
        <v>?prEF</v>
      </c>
    </row>
    <row r="130" spans="1:9" ht="30">
      <c r="A130" s="2" t="s">
        <v>335</v>
      </c>
      <c r="B130" t="s">
        <v>336</v>
      </c>
      <c r="C130" t="s">
        <v>337</v>
      </c>
      <c r="D130" t="str">
        <f>TRIM(Tabulka1[[#This Row],[Jméno]])</f>
        <v>Zuzana</v>
      </c>
      <c r="E130" t="str">
        <f>TRIM(Tabulka1[[#This Row],[Příjmení]])</f>
        <v>Nedvedova</v>
      </c>
      <c r="F130" s="2" t="str">
        <f>MID(Tabulka1[[#This Row],[Adresa]],1,SEARCH(",",Tabulka1[[#This Row],[Adresa]])-1)</f>
        <v>Dobrovského 897</v>
      </c>
      <c r="G130" s="2" t="str">
        <f>RIGHT(Tabulka1[[#This Row],[Adresa]],LEN(Tabulka1[[#This Row],[Adresa]])-LEN(Tabulka1[[#This Row],[Ulice]])-1)</f>
        <v>Kostelec nad Cernými Lesy</v>
      </c>
      <c r="H130" s="2" t="str">
        <f>_xlfn.CONCAT(LOWER(Tabulka1[[#This Row],[Příjmení bez mezer]]),".",LOWER(Tabulka1[[#This Row],[Jméno bez mezer]]),"@firmaabc.cz")</f>
        <v>nedvedova.zuzana@firmaabc.cz</v>
      </c>
      <c r="I130" s="2" t="str">
        <f>_xlfn.CONCAT(LEFT(LOWER(Tabulka1[[#This Row],[Příjmení bez mezer]]),3),RIGHT(UPPER(Tabulka1[[#This Row],[Jméno bez mezer]]),2))</f>
        <v>nedNA</v>
      </c>
    </row>
    <row r="131" spans="1:9" ht="30">
      <c r="A131" s="2" t="s">
        <v>338</v>
      </c>
      <c r="B131" t="s">
        <v>310</v>
      </c>
      <c r="C131" t="s">
        <v>104</v>
      </c>
      <c r="D131" t="str">
        <f>TRIM(Tabulka1[[#This Row],[Jméno]])</f>
        <v>Stanislav</v>
      </c>
      <c r="E131" t="str">
        <f>TRIM(Tabulka1[[#This Row],[Příjmení]])</f>
        <v>Tuma</v>
      </c>
      <c r="F131" s="2" t="str">
        <f>MID(Tabulka1[[#This Row],[Adresa]],1,SEARCH(",",Tabulka1[[#This Row],[Adresa]])-1)</f>
        <v>Větrník 1302</v>
      </c>
      <c r="G131" s="2" t="str">
        <f>RIGHT(Tabulka1[[#This Row],[Adresa]],LEN(Tabulka1[[#This Row],[Adresa]])-LEN(Tabulka1[[#This Row],[Ulice]])-1)</f>
        <v>Cervený Kostelec</v>
      </c>
      <c r="H131" s="2" t="str">
        <f>_xlfn.CONCAT(LOWER(Tabulka1[[#This Row],[Příjmení bez mezer]]),".",LOWER(Tabulka1[[#This Row],[Jméno bez mezer]]),"@firmaabc.cz")</f>
        <v>tuma.stanislav@firmaabc.cz</v>
      </c>
      <c r="I131" s="2" t="str">
        <f>_xlfn.CONCAT(LEFT(LOWER(Tabulka1[[#This Row],[Příjmení bez mezer]]),3),RIGHT(UPPER(Tabulka1[[#This Row],[Jméno bez mezer]]),2))</f>
        <v>tumAV</v>
      </c>
    </row>
    <row r="132" spans="1:9">
      <c r="A132" s="2" t="s">
        <v>339</v>
      </c>
      <c r="B132" t="s">
        <v>340</v>
      </c>
      <c r="C132" t="s">
        <v>341</v>
      </c>
      <c r="D132" t="str">
        <f>TRIM(Tabulka1[[#This Row],[Jméno]])</f>
        <v>Lubos</v>
      </c>
      <c r="E132" t="str">
        <f>TRIM(Tabulka1[[#This Row],[Příjmení]])</f>
        <v>Matal</v>
      </c>
      <c r="F132" s="2" t="str">
        <f>MID(Tabulka1[[#This Row],[Adresa]],1,SEARCH(",",Tabulka1[[#This Row],[Adresa]])-1)</f>
        <v>Dvořákova 1248</v>
      </c>
      <c r="G132" s="2" t="str">
        <f>RIGHT(Tabulka1[[#This Row],[Adresa]],LEN(Tabulka1[[#This Row],[Adresa]])-LEN(Tabulka1[[#This Row],[Ulice]])-1)</f>
        <v>Ondrejov</v>
      </c>
      <c r="H132" s="2" t="str">
        <f>_xlfn.CONCAT(LOWER(Tabulka1[[#This Row],[Příjmení bez mezer]]),".",LOWER(Tabulka1[[#This Row],[Jméno bez mezer]]),"@firmaabc.cz")</f>
        <v>matal.lubos@firmaabc.cz</v>
      </c>
      <c r="I132" s="2" t="str">
        <f>_xlfn.CONCAT(LEFT(LOWER(Tabulka1[[#This Row],[Příjmení bez mezer]]),3),RIGHT(UPPER(Tabulka1[[#This Row],[Jméno bez mezer]]),2))</f>
        <v>matOS</v>
      </c>
    </row>
    <row r="133" spans="1:9" ht="30">
      <c r="A133" s="2" t="s">
        <v>342</v>
      </c>
      <c r="B133" t="s">
        <v>343</v>
      </c>
      <c r="C133" t="s">
        <v>344</v>
      </c>
      <c r="D133" t="str">
        <f>TRIM(Tabulka1[[#This Row],[Jméno]])</f>
        <v>Pavlina</v>
      </c>
      <c r="E133" t="str">
        <f>TRIM(Tabulka1[[#This Row],[Příjmení]])</f>
        <v>Hlavata</v>
      </c>
      <c r="F133" s="2" t="str">
        <f>MID(Tabulka1[[#This Row],[Adresa]],1,SEARCH(",",Tabulka1[[#This Row],[Adresa]])-1)</f>
        <v>Bratří Čapků 82</v>
      </c>
      <c r="G133" s="2" t="str">
        <f>RIGHT(Tabulka1[[#This Row],[Adresa]],LEN(Tabulka1[[#This Row],[Adresa]])-LEN(Tabulka1[[#This Row],[Ulice]])-1)</f>
        <v>Bohuslavice nad Metují</v>
      </c>
      <c r="H133" s="2" t="str">
        <f>_xlfn.CONCAT(LOWER(Tabulka1[[#This Row],[Příjmení bez mezer]]),".",LOWER(Tabulka1[[#This Row],[Jméno bez mezer]]),"@firmaabc.cz")</f>
        <v>hlavata.pavlina@firmaabc.cz</v>
      </c>
      <c r="I133" s="2" t="str">
        <f>_xlfn.CONCAT(LEFT(LOWER(Tabulka1[[#This Row],[Příjmení bez mezer]]),3),RIGHT(UPPER(Tabulka1[[#This Row],[Jméno bez mezer]]),2))</f>
        <v>hlaNA</v>
      </c>
    </row>
    <row r="134" spans="1:9" ht="30">
      <c r="A134" s="2" t="s">
        <v>345</v>
      </c>
      <c r="B134" t="s">
        <v>346</v>
      </c>
      <c r="C134" t="s">
        <v>347</v>
      </c>
      <c r="D134" t="str">
        <f>TRIM(Tabulka1[[#This Row],[Jméno]])</f>
        <v>Bohumil</v>
      </c>
      <c r="E134" t="str">
        <f>TRIM(Tabulka1[[#This Row],[Příjmení]])</f>
        <v>Sopik</v>
      </c>
      <c r="F134" s="2" t="str">
        <f>MID(Tabulka1[[#This Row],[Adresa]],1,SEARCH(",",Tabulka1[[#This Row],[Adresa]])-1)</f>
        <v>Čechova 533</v>
      </c>
      <c r="G134" s="2" t="str">
        <f>RIGHT(Tabulka1[[#This Row],[Adresa]],LEN(Tabulka1[[#This Row],[Adresa]])-LEN(Tabulka1[[#This Row],[Ulice]])-1)</f>
        <v>Miretice u Hlinska</v>
      </c>
      <c r="H134" s="2" t="str">
        <f>_xlfn.CONCAT(LOWER(Tabulka1[[#This Row],[Příjmení bez mezer]]),".",LOWER(Tabulka1[[#This Row],[Jméno bez mezer]]),"@firmaabc.cz")</f>
        <v>sopik.bohumil@firmaabc.cz</v>
      </c>
      <c r="I134" s="2" t="str">
        <f>_xlfn.CONCAT(LEFT(LOWER(Tabulka1[[#This Row],[Příjmení bez mezer]]),3),RIGHT(UPPER(Tabulka1[[#This Row],[Jméno bez mezer]]),2))</f>
        <v>sopIL</v>
      </c>
    </row>
    <row r="135" spans="1:9">
      <c r="A135" s="2" t="s">
        <v>348</v>
      </c>
      <c r="B135" t="s">
        <v>26</v>
      </c>
      <c r="C135" t="s">
        <v>349</v>
      </c>
      <c r="D135" t="str">
        <f>TRIM(Tabulka1[[#This Row],[Jméno]])</f>
        <v>Jan</v>
      </c>
      <c r="E135" t="str">
        <f>TRIM(Tabulka1[[#This Row],[Příjmení]])</f>
        <v>Jaros</v>
      </c>
      <c r="F135" s="2" t="str">
        <f>MID(Tabulka1[[#This Row],[Adresa]],1,SEARCH(",",Tabulka1[[#This Row],[Adresa]])-1)</f>
        <v>Erbenova 376</v>
      </c>
      <c r="G135" s="2" t="str">
        <f>RIGHT(Tabulka1[[#This Row],[Adresa]],LEN(Tabulka1[[#This Row],[Adresa]])-LEN(Tabulka1[[#This Row],[Ulice]])-1)</f>
        <v>Opocno</v>
      </c>
      <c r="H135" s="2" t="str">
        <f>_xlfn.CONCAT(LOWER(Tabulka1[[#This Row],[Příjmení bez mezer]]),".",LOWER(Tabulka1[[#This Row],[Jméno bez mezer]]),"@firmaabc.cz")</f>
        <v>jaros.jan@firmaabc.cz</v>
      </c>
      <c r="I135" s="2" t="str">
        <f>_xlfn.CONCAT(LEFT(LOWER(Tabulka1[[#This Row],[Příjmení bez mezer]]),3),RIGHT(UPPER(Tabulka1[[#This Row],[Jméno bez mezer]]),2))</f>
        <v>jarAN</v>
      </c>
    </row>
    <row r="136" spans="1:9">
      <c r="A136" s="2" t="s">
        <v>350</v>
      </c>
      <c r="B136" t="s">
        <v>289</v>
      </c>
      <c r="C136" t="s">
        <v>351</v>
      </c>
      <c r="D136" t="str">
        <f>TRIM(Tabulka1[[#This Row],[Jméno]])</f>
        <v>Petr</v>
      </c>
      <c r="E136" t="str">
        <f>TRIM(Tabulka1[[#This Row],[Příjmení]])</f>
        <v>Petrik</v>
      </c>
      <c r="F136" s="2" t="str">
        <f>MID(Tabulka1[[#This Row],[Adresa]],1,SEARCH(",",Tabulka1[[#This Row],[Adresa]])-1)</f>
        <v>Bezručova 1383</v>
      </c>
      <c r="G136" s="2" t="str">
        <f>RIGHT(Tabulka1[[#This Row],[Adresa]],LEN(Tabulka1[[#This Row],[Adresa]])-LEN(Tabulka1[[#This Row],[Ulice]])-1)</f>
        <v>Hanušovice</v>
      </c>
      <c r="H136" s="2" t="str">
        <f>_xlfn.CONCAT(LOWER(Tabulka1[[#This Row],[Příjmení bez mezer]]),".",LOWER(Tabulka1[[#This Row],[Jméno bez mezer]]),"@firmaabc.cz")</f>
        <v>petrik.petr@firmaabc.cz</v>
      </c>
      <c r="I136" s="2" t="str">
        <f>_xlfn.CONCAT(LEFT(LOWER(Tabulka1[[#This Row],[Příjmení bez mezer]]),3),RIGHT(UPPER(Tabulka1[[#This Row],[Jméno bez mezer]]),2))</f>
        <v>petTR</v>
      </c>
    </row>
    <row r="137" spans="1:9">
      <c r="A137" s="2" t="s">
        <v>352</v>
      </c>
      <c r="B137" t="s">
        <v>180</v>
      </c>
      <c r="C137" t="s">
        <v>353</v>
      </c>
      <c r="D137" t="str">
        <f>TRIM(Tabulka1[[#This Row],[Jméno]])</f>
        <v>Jaroslav</v>
      </c>
      <c r="E137" t="str">
        <f>TRIM(Tabulka1[[#This Row],[Příjmení]])</f>
        <v>?Cerny</v>
      </c>
      <c r="F137" s="2" t="str">
        <f>MID(Tabulka1[[#This Row],[Adresa]],1,SEARCH(",",Tabulka1[[#This Row],[Adresa]])-1)</f>
        <v>Luční 1595</v>
      </c>
      <c r="G137" s="2" t="str">
        <f>RIGHT(Tabulka1[[#This Row],[Adresa]],LEN(Tabulka1[[#This Row],[Adresa]])-LEN(Tabulka1[[#This Row],[Ulice]])-1)</f>
        <v>Rovecné</v>
      </c>
      <c r="H137" s="2" t="str">
        <f>_xlfn.CONCAT(LOWER(Tabulka1[[#This Row],[Příjmení bez mezer]]),".",LOWER(Tabulka1[[#This Row],[Jméno bez mezer]]),"@firmaabc.cz")</f>
        <v>?cerny.jaroslav@firmaabc.cz</v>
      </c>
      <c r="I137" s="2" t="str">
        <f>_xlfn.CONCAT(LEFT(LOWER(Tabulka1[[#This Row],[Příjmení bez mezer]]),3),RIGHT(UPPER(Tabulka1[[#This Row],[Jméno bez mezer]]),2))</f>
        <v>?ceAV</v>
      </c>
    </row>
    <row r="138" spans="1:9">
      <c r="A138" s="2" t="s">
        <v>354</v>
      </c>
      <c r="B138" t="s">
        <v>90</v>
      </c>
      <c r="C138" t="s">
        <v>355</v>
      </c>
      <c r="D138" t="str">
        <f>TRIM(Tabulka1[[#This Row],[Jméno]])</f>
        <v>Pavel</v>
      </c>
      <c r="E138" t="str">
        <f>TRIM(Tabulka1[[#This Row],[Příjmení]])</f>
        <v>Kubelka</v>
      </c>
      <c r="F138" s="2" t="str">
        <f>MID(Tabulka1[[#This Row],[Adresa]],1,SEARCH(",",Tabulka1[[#This Row],[Adresa]])-1)</f>
        <v>Větrná 1116</v>
      </c>
      <c r="G138" s="2" t="str">
        <f>RIGHT(Tabulka1[[#This Row],[Adresa]],LEN(Tabulka1[[#This Row],[Adresa]])-LEN(Tabulka1[[#This Row],[Ulice]])-1)</f>
        <v>Slavkov u Brna</v>
      </c>
      <c r="H138" s="2" t="str">
        <f>_xlfn.CONCAT(LOWER(Tabulka1[[#This Row],[Příjmení bez mezer]]),".",LOWER(Tabulka1[[#This Row],[Jméno bez mezer]]),"@firmaabc.cz")</f>
        <v>kubelka.pavel@firmaabc.cz</v>
      </c>
      <c r="I138" s="2" t="str">
        <f>_xlfn.CONCAT(LEFT(LOWER(Tabulka1[[#This Row],[Příjmení bez mezer]]),3),RIGHT(UPPER(Tabulka1[[#This Row],[Jméno bez mezer]]),2))</f>
        <v>kubEL</v>
      </c>
    </row>
    <row r="139" spans="1:9">
      <c r="A139" s="2" t="s">
        <v>356</v>
      </c>
      <c r="B139" t="s">
        <v>357</v>
      </c>
      <c r="C139" t="s">
        <v>358</v>
      </c>
      <c r="D139" t="str">
        <f>TRIM(Tabulka1[[#This Row],[Jméno]])</f>
        <v>Irina</v>
      </c>
      <c r="E139" t="str">
        <f>TRIM(Tabulka1[[#This Row],[Příjmení]])</f>
        <v>Jirku</v>
      </c>
      <c r="F139" s="2" t="str">
        <f>MID(Tabulka1[[#This Row],[Adresa]],1,SEARCH(",",Tabulka1[[#This Row],[Adresa]])-1)</f>
        <v>Osvobození 357</v>
      </c>
      <c r="G139" s="2" t="str">
        <f>RIGHT(Tabulka1[[#This Row],[Adresa]],LEN(Tabulka1[[#This Row],[Adresa]])-LEN(Tabulka1[[#This Row],[Ulice]])-1)</f>
        <v>Ostrava 28</v>
      </c>
      <c r="H139" s="2" t="str">
        <f>_xlfn.CONCAT(LOWER(Tabulka1[[#This Row],[Příjmení bez mezer]]),".",LOWER(Tabulka1[[#This Row],[Jméno bez mezer]]),"@firmaabc.cz")</f>
        <v>jirku.irina@firmaabc.cz</v>
      </c>
      <c r="I139" s="2" t="str">
        <f>_xlfn.CONCAT(LEFT(LOWER(Tabulka1[[#This Row],[Příjmení bez mezer]]),3),RIGHT(UPPER(Tabulka1[[#This Row],[Jméno bez mezer]]),2))</f>
        <v>jirNA</v>
      </c>
    </row>
    <row r="140" spans="1:9" ht="30">
      <c r="A140" s="2" t="s">
        <v>359</v>
      </c>
      <c r="B140" t="s">
        <v>289</v>
      </c>
      <c r="C140" t="s">
        <v>360</v>
      </c>
      <c r="D140" t="str">
        <f>TRIM(Tabulka1[[#This Row],[Jméno]])</f>
        <v>Petr</v>
      </c>
      <c r="E140" t="str">
        <f>TRIM(Tabulka1[[#This Row],[Příjmení]])</f>
        <v>Straka</v>
      </c>
      <c r="F140" s="2" t="str">
        <f>MID(Tabulka1[[#This Row],[Adresa]],1,SEARCH(",",Tabulka1[[#This Row],[Adresa]])-1)</f>
        <v>Nerudova 484</v>
      </c>
      <c r="G140" s="2" t="str">
        <f>RIGHT(Tabulka1[[#This Row],[Adresa]],LEN(Tabulka1[[#This Row],[Adresa]])-LEN(Tabulka1[[#This Row],[Ulice]])-1)</f>
        <v>Ceské Budejovice 6</v>
      </c>
      <c r="H140" s="2" t="str">
        <f>_xlfn.CONCAT(LOWER(Tabulka1[[#This Row],[Příjmení bez mezer]]),".",LOWER(Tabulka1[[#This Row],[Jméno bez mezer]]),"@firmaabc.cz")</f>
        <v>straka.petr@firmaabc.cz</v>
      </c>
      <c r="I140" s="2" t="str">
        <f>_xlfn.CONCAT(LEFT(LOWER(Tabulka1[[#This Row],[Příjmení bez mezer]]),3),RIGHT(UPPER(Tabulka1[[#This Row],[Jméno bez mezer]]),2))</f>
        <v>strTR</v>
      </c>
    </row>
    <row r="141" spans="1:9" ht="30">
      <c r="A141" s="2" t="s">
        <v>361</v>
      </c>
      <c r="B141" t="s">
        <v>362</v>
      </c>
      <c r="C141" t="s">
        <v>143</v>
      </c>
      <c r="D141" t="str">
        <f>TRIM(Tabulka1[[#This Row],[Jméno]])</f>
        <v>Daria</v>
      </c>
      <c r="E141" t="str">
        <f>TRIM(Tabulka1[[#This Row],[Příjmení]])</f>
        <v>Kubatova</v>
      </c>
      <c r="F141" s="2" t="str">
        <f>MID(Tabulka1[[#This Row],[Adresa]],1,SEARCH(",",Tabulka1[[#This Row],[Adresa]])-1)</f>
        <v>Hřbitovní 1424</v>
      </c>
      <c r="G141" s="2" t="str">
        <f>RIGHT(Tabulka1[[#This Row],[Adresa]],LEN(Tabulka1[[#This Row],[Adresa]])-LEN(Tabulka1[[#This Row],[Ulice]])-1)</f>
        <v>Štítná nad Vlárí</v>
      </c>
      <c r="H141" s="2" t="str">
        <f>_xlfn.CONCAT(LOWER(Tabulka1[[#This Row],[Příjmení bez mezer]]),".",LOWER(Tabulka1[[#This Row],[Jméno bez mezer]]),"@firmaabc.cz")</f>
        <v>kubatova.daria@firmaabc.cz</v>
      </c>
      <c r="I141" s="2" t="str">
        <f>_xlfn.CONCAT(LEFT(LOWER(Tabulka1[[#This Row],[Příjmení bez mezer]]),3),RIGHT(UPPER(Tabulka1[[#This Row],[Jméno bez mezer]]),2))</f>
        <v>kubIA</v>
      </c>
    </row>
    <row r="142" spans="1:9">
      <c r="A142" s="2" t="s">
        <v>363</v>
      </c>
      <c r="B142" t="s">
        <v>364</v>
      </c>
      <c r="C142" t="s">
        <v>365</v>
      </c>
      <c r="D142" t="str">
        <f>TRIM(Tabulka1[[#This Row],[Jméno]])</f>
        <v>Danuse</v>
      </c>
      <c r="E142" t="str">
        <f>TRIM(Tabulka1[[#This Row],[Příjmení]])</f>
        <v>Hajkova</v>
      </c>
      <c r="F142" s="2" t="str">
        <f>MID(Tabulka1[[#This Row],[Adresa]],1,SEARCH(",",Tabulka1[[#This Row],[Adresa]])-1)</f>
        <v>Jiráskova 1566</v>
      </c>
      <c r="G142" s="2" t="str">
        <f>RIGHT(Tabulka1[[#This Row],[Adresa]],LEN(Tabulka1[[#This Row],[Adresa]])-LEN(Tabulka1[[#This Row],[Ulice]])-1)</f>
        <v>Slatinany</v>
      </c>
      <c r="H142" s="2" t="str">
        <f>_xlfn.CONCAT(LOWER(Tabulka1[[#This Row],[Příjmení bez mezer]]),".",LOWER(Tabulka1[[#This Row],[Jméno bez mezer]]),"@firmaabc.cz")</f>
        <v>hajkova.danuse@firmaabc.cz</v>
      </c>
      <c r="I142" s="2" t="str">
        <f>_xlfn.CONCAT(LEFT(LOWER(Tabulka1[[#This Row],[Příjmení bez mezer]]),3),RIGHT(UPPER(Tabulka1[[#This Row],[Jméno bez mezer]]),2))</f>
        <v>hajSE</v>
      </c>
    </row>
    <row r="143" spans="1:9" ht="30">
      <c r="A143" s="2" t="s">
        <v>366</v>
      </c>
      <c r="B143" t="s">
        <v>255</v>
      </c>
      <c r="C143" t="s">
        <v>367</v>
      </c>
      <c r="D143" t="str">
        <f>TRIM(Tabulka1[[#This Row],[Jméno]])</f>
        <v>Eva</v>
      </c>
      <c r="E143" t="str">
        <f>TRIM(Tabulka1[[#This Row],[Příjmení]])</f>
        <v>Sucha</v>
      </c>
      <c r="F143" s="2" t="str">
        <f>MID(Tabulka1[[#This Row],[Adresa]],1,SEARCH(",",Tabulka1[[#This Row],[Adresa]])-1)</f>
        <v>Nerudova 659</v>
      </c>
      <c r="G143" s="2" t="str">
        <f>RIGHT(Tabulka1[[#This Row],[Adresa]],LEN(Tabulka1[[#This Row],[Adresa]])-LEN(Tabulka1[[#This Row],[Ulice]])-1)</f>
        <v>Ceské Budejovice 7</v>
      </c>
      <c r="H143" s="2" t="str">
        <f>_xlfn.CONCAT(LOWER(Tabulka1[[#This Row],[Příjmení bez mezer]]),".",LOWER(Tabulka1[[#This Row],[Jméno bez mezer]]),"@firmaabc.cz")</f>
        <v>sucha.eva@firmaabc.cz</v>
      </c>
      <c r="I143" s="2" t="str">
        <f>_xlfn.CONCAT(LEFT(LOWER(Tabulka1[[#This Row],[Příjmení bez mezer]]),3),RIGHT(UPPER(Tabulka1[[#This Row],[Jméno bez mezer]]),2))</f>
        <v>sucVA</v>
      </c>
    </row>
    <row r="144" spans="1:9">
      <c r="A144" s="2" t="s">
        <v>368</v>
      </c>
      <c r="B144" t="s">
        <v>369</v>
      </c>
      <c r="C144" t="s">
        <v>370</v>
      </c>
      <c r="D144" t="str">
        <f>TRIM(Tabulka1[[#This Row],[Jméno]])</f>
        <v>Gertruda</v>
      </c>
      <c r="E144" t="str">
        <f>TRIM(Tabulka1[[#This Row],[Příjmení]])</f>
        <v>Lukesova</v>
      </c>
      <c r="F144" s="2" t="str">
        <f>MID(Tabulka1[[#This Row],[Adresa]],1,SEARCH(",",Tabulka1[[#This Row],[Adresa]])-1)</f>
        <v>Masarykova 1998</v>
      </c>
      <c r="G144" s="2" t="str">
        <f>RIGHT(Tabulka1[[#This Row],[Adresa]],LEN(Tabulka1[[#This Row],[Adresa]])-LEN(Tabulka1[[#This Row],[Ulice]])-1)</f>
        <v>Zábreh</v>
      </c>
      <c r="H144" s="2" t="str">
        <f>_xlfn.CONCAT(LOWER(Tabulka1[[#This Row],[Příjmení bez mezer]]),".",LOWER(Tabulka1[[#This Row],[Jméno bez mezer]]),"@firmaabc.cz")</f>
        <v>lukesova.gertruda@firmaabc.cz</v>
      </c>
      <c r="I144" s="2" t="str">
        <f>_xlfn.CONCAT(LEFT(LOWER(Tabulka1[[#This Row],[Příjmení bez mezer]]),3),RIGHT(UPPER(Tabulka1[[#This Row],[Jméno bez mezer]]),2))</f>
        <v>lukDA</v>
      </c>
    </row>
    <row r="145" spans="1:9">
      <c r="A145" s="2" t="s">
        <v>371</v>
      </c>
      <c r="B145" t="s">
        <v>84</v>
      </c>
      <c r="C145" t="s">
        <v>372</v>
      </c>
      <c r="D145" t="str">
        <f>TRIM(Tabulka1[[#This Row],[Jméno]])</f>
        <v>Katerina</v>
      </c>
      <c r="E145" t="str">
        <f>TRIM(Tabulka1[[#This Row],[Příjmení]])</f>
        <v>Tvrda</v>
      </c>
      <c r="F145" s="2" t="str">
        <f>MID(Tabulka1[[#This Row],[Adresa]],1,SEARCH(",",Tabulka1[[#This Row],[Adresa]])-1)</f>
        <v>Lomená 1597</v>
      </c>
      <c r="G145" s="2" t="str">
        <f>RIGHT(Tabulka1[[#This Row],[Adresa]],LEN(Tabulka1[[#This Row],[Adresa]])-LEN(Tabulka1[[#This Row],[Ulice]])-1)</f>
        <v>Tavíkovice</v>
      </c>
      <c r="H145" s="2" t="str">
        <f>_xlfn.CONCAT(LOWER(Tabulka1[[#This Row],[Příjmení bez mezer]]),".",LOWER(Tabulka1[[#This Row],[Jméno bez mezer]]),"@firmaabc.cz")</f>
        <v>tvrda.katerina@firmaabc.cz</v>
      </c>
      <c r="I145" s="2" t="str">
        <f>_xlfn.CONCAT(LEFT(LOWER(Tabulka1[[#This Row],[Příjmení bez mezer]]),3),RIGHT(UPPER(Tabulka1[[#This Row],[Jméno bez mezer]]),2))</f>
        <v>tvrNA</v>
      </c>
    </row>
    <row r="146" spans="1:9">
      <c r="A146" s="2" t="s">
        <v>373</v>
      </c>
      <c r="B146" t="s">
        <v>250</v>
      </c>
      <c r="C146" t="s">
        <v>374</v>
      </c>
      <c r="D146" t="str">
        <f>TRIM(Tabulka1[[#This Row],[Jméno]])</f>
        <v>Miloslav</v>
      </c>
      <c r="E146" t="str">
        <f>TRIM(Tabulka1[[#This Row],[Příjmení]])</f>
        <v>Jarkovsky</v>
      </c>
      <c r="F146" s="2" t="str">
        <f>MID(Tabulka1[[#This Row],[Adresa]],1,SEARCH(",",Tabulka1[[#This Row],[Adresa]])-1)</f>
        <v>Příční 275</v>
      </c>
      <c r="G146" s="2" t="str">
        <f>RIGHT(Tabulka1[[#This Row],[Adresa]],LEN(Tabulka1[[#This Row],[Adresa]])-LEN(Tabulka1[[#This Row],[Ulice]])-1)</f>
        <v>Choryne</v>
      </c>
      <c r="H146" s="2" t="str">
        <f>_xlfn.CONCAT(LOWER(Tabulka1[[#This Row],[Příjmení bez mezer]]),".",LOWER(Tabulka1[[#This Row],[Jméno bez mezer]]),"@firmaabc.cz")</f>
        <v>jarkovsky.miloslav@firmaabc.cz</v>
      </c>
      <c r="I146" s="2" t="str">
        <f>_xlfn.CONCAT(LEFT(LOWER(Tabulka1[[#This Row],[Příjmení bez mezer]]),3),RIGHT(UPPER(Tabulka1[[#This Row],[Jméno bez mezer]]),2))</f>
        <v>jarAV</v>
      </c>
    </row>
    <row r="147" spans="1:9">
      <c r="A147" s="2" t="s">
        <v>375</v>
      </c>
      <c r="B147" t="s">
        <v>172</v>
      </c>
      <c r="C147" t="s">
        <v>202</v>
      </c>
      <c r="D147" t="str">
        <f>TRIM(Tabulka1[[#This Row],[Jméno]])</f>
        <v>David</v>
      </c>
      <c r="E147" t="str">
        <f>TRIM(Tabulka1[[#This Row],[Příjmení]])</f>
        <v>?Novak</v>
      </c>
      <c r="F147" s="2" t="str">
        <f>MID(Tabulka1[[#This Row],[Adresa]],1,SEARCH(",",Tabulka1[[#This Row],[Adresa]])-1)</f>
        <v>Jana Nerudy 1465</v>
      </c>
      <c r="G147" s="2" t="str">
        <f>RIGHT(Tabulka1[[#This Row],[Adresa]],LEN(Tabulka1[[#This Row],[Adresa]])-LEN(Tabulka1[[#This Row],[Ulice]])-1)</f>
        <v>Turnov 1</v>
      </c>
      <c r="H147" s="2" t="str">
        <f>_xlfn.CONCAT(LOWER(Tabulka1[[#This Row],[Příjmení bez mezer]]),".",LOWER(Tabulka1[[#This Row],[Jméno bez mezer]]),"@firmaabc.cz")</f>
        <v>?novak.david@firmaabc.cz</v>
      </c>
      <c r="I147" s="2" t="str">
        <f>_xlfn.CONCAT(LEFT(LOWER(Tabulka1[[#This Row],[Příjmení bez mezer]]),3),RIGHT(UPPER(Tabulka1[[#This Row],[Jméno bez mezer]]),2))</f>
        <v>?noID</v>
      </c>
    </row>
    <row r="148" spans="1:9">
      <c r="A148" s="2" t="s">
        <v>376</v>
      </c>
      <c r="B148" t="s">
        <v>137</v>
      </c>
      <c r="C148" t="s">
        <v>377</v>
      </c>
      <c r="D148" t="str">
        <f>TRIM(Tabulka1[[#This Row],[Jméno]])</f>
        <v>Ondrej</v>
      </c>
      <c r="E148" t="str">
        <f>TRIM(Tabulka1[[#This Row],[Příjmení]])</f>
        <v>Rozek</v>
      </c>
      <c r="F148" s="2" t="str">
        <f>MID(Tabulka1[[#This Row],[Adresa]],1,SEARCH(",",Tabulka1[[#This Row],[Adresa]])-1)</f>
        <v>Jičín 1813</v>
      </c>
      <c r="G148" s="2" t="str">
        <f>RIGHT(Tabulka1[[#This Row],[Adresa]],LEN(Tabulka1[[#This Row],[Adresa]])-LEN(Tabulka1[[#This Row],[Ulice]])-1)</f>
        <v>Jicín 1</v>
      </c>
      <c r="H148" s="2" t="str">
        <f>_xlfn.CONCAT(LOWER(Tabulka1[[#This Row],[Příjmení bez mezer]]),".",LOWER(Tabulka1[[#This Row],[Jméno bez mezer]]),"@firmaabc.cz")</f>
        <v>rozek.ondrej@firmaabc.cz</v>
      </c>
      <c r="I148" s="2" t="str">
        <f>_xlfn.CONCAT(LEFT(LOWER(Tabulka1[[#This Row],[Příjmení bez mezer]]),3),RIGHT(UPPER(Tabulka1[[#This Row],[Jméno bez mezer]]),2))</f>
        <v>rozEJ</v>
      </c>
    </row>
    <row r="149" spans="1:9" ht="30">
      <c r="A149" s="2" t="s">
        <v>378</v>
      </c>
      <c r="B149" t="s">
        <v>340</v>
      </c>
      <c r="C149" t="s">
        <v>379</v>
      </c>
      <c r="D149" t="str">
        <f>TRIM(Tabulka1[[#This Row],[Jméno]])</f>
        <v>Lubos</v>
      </c>
      <c r="E149" t="str">
        <f>TRIM(Tabulka1[[#This Row],[Příjmení]])</f>
        <v>Vacek</v>
      </c>
      <c r="F149" s="2" t="str">
        <f>MID(Tabulka1[[#This Row],[Adresa]],1,SEARCH(",",Tabulka1[[#This Row],[Adresa]])-1)</f>
        <v>Bedřicha Smetany 90</v>
      </c>
      <c r="G149" s="2" t="str">
        <f>RIGHT(Tabulka1[[#This Row],[Adresa]],LEN(Tabulka1[[#This Row],[Adresa]])-LEN(Tabulka1[[#This Row],[Ulice]])-1)</f>
        <v>Zlechov</v>
      </c>
      <c r="H149" s="2" t="str">
        <f>_xlfn.CONCAT(LOWER(Tabulka1[[#This Row],[Příjmení bez mezer]]),".",LOWER(Tabulka1[[#This Row],[Jméno bez mezer]]),"@firmaabc.cz")</f>
        <v>vacek.lubos@firmaabc.cz</v>
      </c>
      <c r="I149" s="2" t="str">
        <f>_xlfn.CONCAT(LEFT(LOWER(Tabulka1[[#This Row],[Příjmení bez mezer]]),3),RIGHT(UPPER(Tabulka1[[#This Row],[Jméno bez mezer]]),2))</f>
        <v>vacOS</v>
      </c>
    </row>
    <row r="150" spans="1:9">
      <c r="A150" s="2" t="s">
        <v>380</v>
      </c>
      <c r="B150" t="s">
        <v>26</v>
      </c>
      <c r="C150" t="s">
        <v>381</v>
      </c>
      <c r="D150" t="str">
        <f>TRIM(Tabulka1[[#This Row],[Jméno]])</f>
        <v>Jan</v>
      </c>
      <c r="E150" t="str">
        <f>TRIM(Tabulka1[[#This Row],[Příjmení]])</f>
        <v>Vychodil</v>
      </c>
      <c r="F150" s="2" t="str">
        <f>MID(Tabulka1[[#This Row],[Adresa]],1,SEARCH(",",Tabulka1[[#This Row],[Adresa]])-1)</f>
        <v>Budovatelská 698</v>
      </c>
      <c r="G150" s="2" t="str">
        <f>RIGHT(Tabulka1[[#This Row],[Adresa]],LEN(Tabulka1[[#This Row],[Adresa]])-LEN(Tabulka1[[#This Row],[Ulice]])-1)</f>
        <v>Blatná</v>
      </c>
      <c r="H150" s="2" t="str">
        <f>_xlfn.CONCAT(LOWER(Tabulka1[[#This Row],[Příjmení bez mezer]]),".",LOWER(Tabulka1[[#This Row],[Jméno bez mezer]]),"@firmaabc.cz")</f>
        <v>vychodil.jan@firmaabc.cz</v>
      </c>
      <c r="I150" s="2" t="str">
        <f>_xlfn.CONCAT(LEFT(LOWER(Tabulka1[[#This Row],[Příjmení bez mezer]]),3),RIGHT(UPPER(Tabulka1[[#This Row],[Jméno bez mezer]]),2))</f>
        <v>vycAN</v>
      </c>
    </row>
    <row r="151" spans="1:9">
      <c r="A151" s="2" t="s">
        <v>382</v>
      </c>
      <c r="B151" t="s">
        <v>115</v>
      </c>
      <c r="C151" t="s">
        <v>383</v>
      </c>
      <c r="D151" t="str">
        <f>TRIM(Tabulka1[[#This Row],[Jméno]])</f>
        <v>Jiri</v>
      </c>
      <c r="E151" t="str">
        <f>TRIM(Tabulka1[[#This Row],[Příjmení]])</f>
        <v>Strejcek</v>
      </c>
      <c r="F151" s="2" t="str">
        <f>MID(Tabulka1[[#This Row],[Adresa]],1,SEARCH(",",Tabulka1[[#This Row],[Adresa]])-1)</f>
        <v>Kovářská 240</v>
      </c>
      <c r="G151" s="2" t="str">
        <f>RIGHT(Tabulka1[[#This Row],[Adresa]],LEN(Tabulka1[[#This Row],[Adresa]])-LEN(Tabulka1[[#This Row],[Ulice]])-1)</f>
        <v>Telnice</v>
      </c>
      <c r="H151" s="2" t="str">
        <f>_xlfn.CONCAT(LOWER(Tabulka1[[#This Row],[Příjmení bez mezer]]),".",LOWER(Tabulka1[[#This Row],[Jméno bez mezer]]),"@firmaabc.cz")</f>
        <v>strejcek.jiri@firmaabc.cz</v>
      </c>
      <c r="I151" s="2" t="str">
        <f>_xlfn.CONCAT(LEFT(LOWER(Tabulka1[[#This Row],[Příjmení bez mezer]]),3),RIGHT(UPPER(Tabulka1[[#This Row],[Jméno bez mezer]]),2))</f>
        <v>strRI</v>
      </c>
    </row>
    <row r="152" spans="1:9" ht="30">
      <c r="A152" s="2" t="s">
        <v>384</v>
      </c>
      <c r="B152" t="s">
        <v>17</v>
      </c>
      <c r="C152" t="s">
        <v>385</v>
      </c>
      <c r="D152" t="str">
        <f>TRIM(Tabulka1[[#This Row],[Jméno]])</f>
        <v>Vladimir</v>
      </c>
      <c r="E152" t="str">
        <f>TRIM(Tabulka1[[#This Row],[Příjmení]])</f>
        <v>Levy</v>
      </c>
      <c r="F152" s="2" t="str">
        <f>MID(Tabulka1[[#This Row],[Adresa]],1,SEARCH(",",Tabulka1[[#This Row],[Adresa]])-1)</f>
        <v>Strojírenská 1213</v>
      </c>
      <c r="G152" s="2" t="str">
        <f>RIGHT(Tabulka1[[#This Row],[Adresa]],LEN(Tabulka1[[#This Row],[Adresa]])-LEN(Tabulka1[[#This Row],[Ulice]])-1)</f>
        <v>Fryšava pod Žákovou horou</v>
      </c>
      <c r="H152" s="2" t="str">
        <f>_xlfn.CONCAT(LOWER(Tabulka1[[#This Row],[Příjmení bez mezer]]),".",LOWER(Tabulka1[[#This Row],[Jméno bez mezer]]),"@firmaabc.cz")</f>
        <v>levy.vladimir@firmaabc.cz</v>
      </c>
      <c r="I152" s="2" t="str">
        <f>_xlfn.CONCAT(LEFT(LOWER(Tabulka1[[#This Row],[Příjmení bez mezer]]),3),RIGHT(UPPER(Tabulka1[[#This Row],[Jméno bez mezer]]),2))</f>
        <v>levIR</v>
      </c>
    </row>
    <row r="153" spans="1:9">
      <c r="A153" s="2" t="s">
        <v>386</v>
      </c>
      <c r="B153" t="s">
        <v>17</v>
      </c>
      <c r="C153" t="s">
        <v>387</v>
      </c>
      <c r="D153" t="str">
        <f>TRIM(Tabulka1[[#This Row],[Jméno]])</f>
        <v>Vladimir</v>
      </c>
      <c r="E153" t="str">
        <f>TRIM(Tabulka1[[#This Row],[Příjmení]])</f>
        <v>Tomecek</v>
      </c>
      <c r="F153" s="2" t="str">
        <f>MID(Tabulka1[[#This Row],[Adresa]],1,SEARCH(",",Tabulka1[[#This Row],[Adresa]])-1)</f>
        <v>Louny 590</v>
      </c>
      <c r="G153" s="2" t="str">
        <f>RIGHT(Tabulka1[[#This Row],[Adresa]],LEN(Tabulka1[[#This Row],[Adresa]])-LEN(Tabulka1[[#This Row],[Ulice]])-1)</f>
        <v>Louny 1</v>
      </c>
      <c r="H153" s="2" t="str">
        <f>_xlfn.CONCAT(LOWER(Tabulka1[[#This Row],[Příjmení bez mezer]]),".",LOWER(Tabulka1[[#This Row],[Jméno bez mezer]]),"@firmaabc.cz")</f>
        <v>tomecek.vladimir@firmaabc.cz</v>
      </c>
      <c r="I153" s="2" t="str">
        <f>_xlfn.CONCAT(LEFT(LOWER(Tabulka1[[#This Row],[Příjmení bez mezer]]),3),RIGHT(UPPER(Tabulka1[[#This Row],[Jméno bez mezer]]),2))</f>
        <v>tomIR</v>
      </c>
    </row>
    <row r="154" spans="1:9">
      <c r="A154" s="2" t="s">
        <v>388</v>
      </c>
      <c r="B154" t="s">
        <v>84</v>
      </c>
      <c r="C154" t="s">
        <v>389</v>
      </c>
      <c r="D154" t="str">
        <f>TRIM(Tabulka1[[#This Row],[Jméno]])</f>
        <v>Katerina</v>
      </c>
      <c r="E154" t="str">
        <f>TRIM(Tabulka1[[#This Row],[Příjmení]])</f>
        <v>Vaneckova</v>
      </c>
      <c r="F154" s="2" t="str">
        <f>MID(Tabulka1[[#This Row],[Adresa]],1,SEARCH(",",Tabulka1[[#This Row],[Adresa]])-1)</f>
        <v>Mírová 873</v>
      </c>
      <c r="G154" s="2" t="str">
        <f>RIGHT(Tabulka1[[#This Row],[Adresa]],LEN(Tabulka1[[#This Row],[Adresa]])-LEN(Tabulka1[[#This Row],[Ulice]])-1)</f>
        <v>Bobrová</v>
      </c>
      <c r="H154" s="2" t="str">
        <f>_xlfn.CONCAT(LOWER(Tabulka1[[#This Row],[Příjmení bez mezer]]),".",LOWER(Tabulka1[[#This Row],[Jméno bez mezer]]),"@firmaabc.cz")</f>
        <v>vaneckova.katerina@firmaabc.cz</v>
      </c>
      <c r="I154" s="2" t="str">
        <f>_xlfn.CONCAT(LEFT(LOWER(Tabulka1[[#This Row],[Příjmení bez mezer]]),3),RIGHT(UPPER(Tabulka1[[#This Row],[Jméno bez mezer]]),2))</f>
        <v>vanNA</v>
      </c>
    </row>
    <row r="155" spans="1:9" ht="30">
      <c r="A155" s="2" t="s">
        <v>390</v>
      </c>
      <c r="B155" t="s">
        <v>270</v>
      </c>
      <c r="C155" t="s">
        <v>391</v>
      </c>
      <c r="D155" t="str">
        <f>TRIM(Tabulka1[[#This Row],[Jméno]])</f>
        <v>Anna</v>
      </c>
      <c r="E155" t="str">
        <f>TRIM(Tabulka1[[#This Row],[Příjmení]])</f>
        <v>Landova</v>
      </c>
      <c r="F155" s="2" t="str">
        <f>MID(Tabulka1[[#This Row],[Adresa]],1,SEARCH(",",Tabulka1[[#This Row],[Adresa]])-1)</f>
        <v>Štefanikova 1500</v>
      </c>
      <c r="G155" s="2" t="str">
        <f>RIGHT(Tabulka1[[#This Row],[Adresa]],LEN(Tabulka1[[#This Row],[Adresa]])-LEN(Tabulka1[[#This Row],[Ulice]])-1)</f>
        <v>Olešnice na Morave</v>
      </c>
      <c r="H155" s="2" t="str">
        <f>_xlfn.CONCAT(LOWER(Tabulka1[[#This Row],[Příjmení bez mezer]]),".",LOWER(Tabulka1[[#This Row],[Jméno bez mezer]]),"@firmaabc.cz")</f>
        <v>landova.anna@firmaabc.cz</v>
      </c>
      <c r="I155" s="2" t="str">
        <f>_xlfn.CONCAT(LEFT(LOWER(Tabulka1[[#This Row],[Příjmení bez mezer]]),3),RIGHT(UPPER(Tabulka1[[#This Row],[Jméno bez mezer]]),2))</f>
        <v>lanNA</v>
      </c>
    </row>
    <row r="156" spans="1:9">
      <c r="A156" s="2" t="s">
        <v>392</v>
      </c>
      <c r="B156" t="s">
        <v>112</v>
      </c>
      <c r="C156" t="s">
        <v>393</v>
      </c>
      <c r="D156" t="str">
        <f>TRIM(Tabulka1[[#This Row],[Jméno]])</f>
        <v>Oldrich</v>
      </c>
      <c r="E156" t="str">
        <f>TRIM(Tabulka1[[#This Row],[Příjmení]])</f>
        <v>Canda</v>
      </c>
      <c r="F156" s="2" t="str">
        <f>MID(Tabulka1[[#This Row],[Adresa]],1,SEARCH(",",Tabulka1[[#This Row],[Adresa]])-1)</f>
        <v>Kovářská 1630</v>
      </c>
      <c r="G156" s="2" t="str">
        <f>RIGHT(Tabulka1[[#This Row],[Adresa]],LEN(Tabulka1[[#This Row],[Adresa]])-LEN(Tabulka1[[#This Row],[Ulice]])-1)</f>
        <v>Decín 5</v>
      </c>
      <c r="H156" s="2" t="str">
        <f>_xlfn.CONCAT(LOWER(Tabulka1[[#This Row],[Příjmení bez mezer]]),".",LOWER(Tabulka1[[#This Row],[Jméno bez mezer]]),"@firmaabc.cz")</f>
        <v>canda.oldrich@firmaabc.cz</v>
      </c>
      <c r="I156" s="2" t="str">
        <f>_xlfn.CONCAT(LEFT(LOWER(Tabulka1[[#This Row],[Příjmení bez mezer]]),3),RIGHT(UPPER(Tabulka1[[#This Row],[Jméno bez mezer]]),2))</f>
        <v>canCH</v>
      </c>
    </row>
    <row r="157" spans="1:9">
      <c r="A157" s="2" t="s">
        <v>394</v>
      </c>
      <c r="B157" t="s">
        <v>234</v>
      </c>
      <c r="C157" t="s">
        <v>395</v>
      </c>
      <c r="D157" t="str">
        <f>TRIM(Tabulka1[[#This Row],[Jméno]])</f>
        <v>Zdenek</v>
      </c>
      <c r="E157" t="str">
        <f>TRIM(Tabulka1[[#This Row],[Příjmení]])</f>
        <v>Nguyen</v>
      </c>
      <c r="F157" s="2" t="str">
        <f>MID(Tabulka1[[#This Row],[Adresa]],1,SEARCH(",",Tabulka1[[#This Row],[Adresa]])-1)</f>
        <v>Tylova 545</v>
      </c>
      <c r="G157" s="2" t="str">
        <f>RIGHT(Tabulka1[[#This Row],[Adresa]],LEN(Tabulka1[[#This Row],[Adresa]])-LEN(Tabulka1[[#This Row],[Ulice]])-1)</f>
        <v>Karlovy Vary 1</v>
      </c>
      <c r="H157" s="2" t="str">
        <f>_xlfn.CONCAT(LOWER(Tabulka1[[#This Row],[Příjmení bez mezer]]),".",LOWER(Tabulka1[[#This Row],[Jméno bez mezer]]),"@firmaabc.cz")</f>
        <v>nguyen.zdenek@firmaabc.cz</v>
      </c>
      <c r="I157" s="2" t="str">
        <f>_xlfn.CONCAT(LEFT(LOWER(Tabulka1[[#This Row],[Příjmení bez mezer]]),3),RIGHT(UPPER(Tabulka1[[#This Row],[Jméno bez mezer]]),2))</f>
        <v>nguEK</v>
      </c>
    </row>
    <row r="158" spans="1:9" ht="30">
      <c r="A158" s="2" t="s">
        <v>396</v>
      </c>
      <c r="B158" t="s">
        <v>180</v>
      </c>
      <c r="C158" t="s">
        <v>397</v>
      </c>
      <c r="D158" t="str">
        <f>TRIM(Tabulka1[[#This Row],[Jméno]])</f>
        <v>Jaroslav</v>
      </c>
      <c r="E158" t="str">
        <f>TRIM(Tabulka1[[#This Row],[Příjmení]])</f>
        <v>Martan</v>
      </c>
      <c r="F158" s="2" t="str">
        <f>MID(Tabulka1[[#This Row],[Adresa]],1,SEARCH(",",Tabulka1[[#This Row],[Adresa]])-1)</f>
        <v>Havlíčkova 1918</v>
      </c>
      <c r="G158" s="2" t="str">
        <f>RIGHT(Tabulka1[[#This Row],[Adresa]],LEN(Tabulka1[[#This Row],[Adresa]])-LEN(Tabulka1[[#This Row],[Ulice]])-1)</f>
        <v>Kamenné Žehrovice</v>
      </c>
      <c r="H158" s="2" t="str">
        <f>_xlfn.CONCAT(LOWER(Tabulka1[[#This Row],[Příjmení bez mezer]]),".",LOWER(Tabulka1[[#This Row],[Jméno bez mezer]]),"@firmaabc.cz")</f>
        <v>martan.jaroslav@firmaabc.cz</v>
      </c>
      <c r="I158" s="2" t="str">
        <f>_xlfn.CONCAT(LEFT(LOWER(Tabulka1[[#This Row],[Příjmení bez mezer]]),3),RIGHT(UPPER(Tabulka1[[#This Row],[Jméno bez mezer]]),2))</f>
        <v>marAV</v>
      </c>
    </row>
    <row r="159" spans="1:9" ht="30">
      <c r="A159" s="2" t="s">
        <v>398</v>
      </c>
      <c r="B159" t="s">
        <v>293</v>
      </c>
      <c r="C159" t="s">
        <v>399</v>
      </c>
      <c r="D159" t="str">
        <f>TRIM(Tabulka1[[#This Row],[Jméno]])</f>
        <v>Jirina</v>
      </c>
      <c r="E159" t="str">
        <f>TRIM(Tabulka1[[#This Row],[Příjmení]])</f>
        <v>Radova</v>
      </c>
      <c r="F159" s="2" t="str">
        <f>MID(Tabulka1[[#This Row],[Adresa]],1,SEARCH(",",Tabulka1[[#This Row],[Adresa]])-1)</f>
        <v>U medvídků 376</v>
      </c>
      <c r="G159" s="2" t="str">
        <f>RIGHT(Tabulka1[[#This Row],[Adresa]],LEN(Tabulka1[[#This Row],[Adresa]])-LEN(Tabulka1[[#This Row],[Ulice]])-1)</f>
        <v>Višnová u Príbrame</v>
      </c>
      <c r="H159" s="2" t="str">
        <f>_xlfn.CONCAT(LOWER(Tabulka1[[#This Row],[Příjmení bez mezer]]),".",LOWER(Tabulka1[[#This Row],[Jméno bez mezer]]),"@firmaabc.cz")</f>
        <v>radova.jirina@firmaabc.cz</v>
      </c>
      <c r="I159" s="2" t="str">
        <f>_xlfn.CONCAT(LEFT(LOWER(Tabulka1[[#This Row],[Příjmení bez mezer]]),3),RIGHT(UPPER(Tabulka1[[#This Row],[Jméno bez mezer]]),2))</f>
        <v>radNA</v>
      </c>
    </row>
    <row r="160" spans="1:9" ht="30">
      <c r="A160" s="2" t="s">
        <v>400</v>
      </c>
      <c r="B160" t="s">
        <v>150</v>
      </c>
      <c r="C160" t="s">
        <v>401</v>
      </c>
      <c r="D160" t="str">
        <f>TRIM(Tabulka1[[#This Row],[Jméno]])</f>
        <v>Josef</v>
      </c>
      <c r="E160" t="str">
        <f>TRIM(Tabulka1[[#This Row],[Příjmení]])</f>
        <v>Beran</v>
      </c>
      <c r="F160" s="2" t="str">
        <f>MID(Tabulka1[[#This Row],[Adresa]],1,SEARCH(",",Tabulka1[[#This Row],[Adresa]])-1)</f>
        <v>Za učilištěm 1325</v>
      </c>
      <c r="G160" s="2" t="str">
        <f>RIGHT(Tabulka1[[#This Row],[Adresa]],LEN(Tabulka1[[#This Row],[Adresa]])-LEN(Tabulka1[[#This Row],[Ulice]])-1)</f>
        <v>Nový Jicín 1</v>
      </c>
      <c r="H160" s="2" t="str">
        <f>_xlfn.CONCAT(LOWER(Tabulka1[[#This Row],[Příjmení bez mezer]]),".",LOWER(Tabulka1[[#This Row],[Jméno bez mezer]]),"@firmaabc.cz")</f>
        <v>beran.josef@firmaabc.cz</v>
      </c>
      <c r="I160" s="2" t="str">
        <f>_xlfn.CONCAT(LEFT(LOWER(Tabulka1[[#This Row],[Příjmení bez mezer]]),3),RIGHT(UPPER(Tabulka1[[#This Row],[Jméno bez mezer]]),2))</f>
        <v>berEF</v>
      </c>
    </row>
    <row r="161" spans="1:9">
      <c r="A161" s="2" t="s">
        <v>402</v>
      </c>
      <c r="B161" t="s">
        <v>305</v>
      </c>
      <c r="C161" t="s">
        <v>403</v>
      </c>
      <c r="D161" t="str">
        <f>TRIM(Tabulka1[[#This Row],[Jméno]])</f>
        <v>Lenka</v>
      </c>
      <c r="E161" t="str">
        <f>TRIM(Tabulka1[[#This Row],[Příjmení]])</f>
        <v>Burianova</v>
      </c>
      <c r="F161" s="2" t="str">
        <f>MID(Tabulka1[[#This Row],[Adresa]],1,SEARCH(",",Tabulka1[[#This Row],[Adresa]])-1)</f>
        <v>Za humny 1414</v>
      </c>
      <c r="G161" s="2" t="str">
        <f>RIGHT(Tabulka1[[#This Row],[Adresa]],LEN(Tabulka1[[#This Row],[Adresa]])-LEN(Tabulka1[[#This Row],[Ulice]])-1)</f>
        <v>Milevsko 1</v>
      </c>
      <c r="H161" s="2" t="str">
        <f>_xlfn.CONCAT(LOWER(Tabulka1[[#This Row],[Příjmení bez mezer]]),".",LOWER(Tabulka1[[#This Row],[Jméno bez mezer]]),"@firmaabc.cz")</f>
        <v>burianova.lenka@firmaabc.cz</v>
      </c>
      <c r="I161" s="2" t="str">
        <f>_xlfn.CONCAT(LEFT(LOWER(Tabulka1[[#This Row],[Příjmení bez mezer]]),3),RIGHT(UPPER(Tabulka1[[#This Row],[Jméno bez mezer]]),2))</f>
        <v>burKA</v>
      </c>
    </row>
    <row r="162" spans="1:9">
      <c r="A162" s="2" t="s">
        <v>404</v>
      </c>
      <c r="B162" t="s">
        <v>405</v>
      </c>
      <c r="C162" t="s">
        <v>406</v>
      </c>
      <c r="D162" t="str">
        <f>TRIM(Tabulka1[[#This Row],[Jméno]])</f>
        <v>Drahomira</v>
      </c>
      <c r="E162" t="str">
        <f>TRIM(Tabulka1[[#This Row],[Příjmení]])</f>
        <v>Hasmanova</v>
      </c>
      <c r="F162" s="2" t="str">
        <f>MID(Tabulka1[[#This Row],[Adresa]],1,SEARCH(",",Tabulka1[[#This Row],[Adresa]])-1)</f>
        <v>U Sokolovny 1636</v>
      </c>
      <c r="G162" s="2" t="str">
        <f>RIGHT(Tabulka1[[#This Row],[Adresa]],LEN(Tabulka1[[#This Row],[Adresa]])-LEN(Tabulka1[[#This Row],[Ulice]])-1)</f>
        <v>Libun</v>
      </c>
      <c r="H162" s="2" t="str">
        <f>_xlfn.CONCAT(LOWER(Tabulka1[[#This Row],[Příjmení bez mezer]]),".",LOWER(Tabulka1[[#This Row],[Jméno bez mezer]]),"@firmaabc.cz")</f>
        <v>hasmanova.drahomira@firmaabc.cz</v>
      </c>
      <c r="I162" s="2" t="str">
        <f>_xlfn.CONCAT(LEFT(LOWER(Tabulka1[[#This Row],[Příjmení bez mezer]]),3),RIGHT(UPPER(Tabulka1[[#This Row],[Jméno bez mezer]]),2))</f>
        <v>hasRA</v>
      </c>
    </row>
    <row r="163" spans="1:9">
      <c r="A163" s="2" t="s">
        <v>407</v>
      </c>
      <c r="B163" t="s">
        <v>260</v>
      </c>
      <c r="C163" t="s">
        <v>408</v>
      </c>
      <c r="D163" t="str">
        <f>TRIM(Tabulka1[[#This Row],[Jméno]])</f>
        <v>Bohuslav</v>
      </c>
      <c r="E163" t="str">
        <f>TRIM(Tabulka1[[#This Row],[Příjmení]])</f>
        <v>Kadlec</v>
      </c>
      <c r="F163" s="2" t="str">
        <f>MID(Tabulka1[[#This Row],[Adresa]],1,SEARCH(",",Tabulka1[[#This Row],[Adresa]])-1)</f>
        <v>Pivovarská 1709</v>
      </c>
      <c r="G163" s="2" t="str">
        <f>RIGHT(Tabulka1[[#This Row],[Adresa]],LEN(Tabulka1[[#This Row],[Adresa]])-LEN(Tabulka1[[#This Row],[Ulice]])-1)</f>
        <v>Lochovice</v>
      </c>
      <c r="H163" s="2" t="str">
        <f>_xlfn.CONCAT(LOWER(Tabulka1[[#This Row],[Příjmení bez mezer]]),".",LOWER(Tabulka1[[#This Row],[Jméno bez mezer]]),"@firmaabc.cz")</f>
        <v>kadlec.bohuslav@firmaabc.cz</v>
      </c>
      <c r="I163" s="2" t="str">
        <f>_xlfn.CONCAT(LEFT(LOWER(Tabulka1[[#This Row],[Příjmení bez mezer]]),3),RIGHT(UPPER(Tabulka1[[#This Row],[Jméno bez mezer]]),2))</f>
        <v>kadAV</v>
      </c>
    </row>
    <row r="164" spans="1:9" ht="30">
      <c r="A164" s="2" t="s">
        <v>409</v>
      </c>
      <c r="B164" t="s">
        <v>90</v>
      </c>
      <c r="C164" t="s">
        <v>410</v>
      </c>
      <c r="D164" t="str">
        <f>TRIM(Tabulka1[[#This Row],[Jméno]])</f>
        <v>Pavel</v>
      </c>
      <c r="E164" t="str">
        <f>TRIM(Tabulka1[[#This Row],[Příjmení]])</f>
        <v>Kral</v>
      </c>
      <c r="F164" s="2" t="str">
        <f>MID(Tabulka1[[#This Row],[Adresa]],1,SEARCH(",",Tabulka1[[#This Row],[Adresa]])-1)</f>
        <v>U Křížku 157</v>
      </c>
      <c r="G164" s="2" t="str">
        <f>RIGHT(Tabulka1[[#This Row],[Adresa]],LEN(Tabulka1[[#This Row],[Adresa]])-LEN(Tabulka1[[#This Row],[Ulice]])-1)</f>
        <v>Frýdlant v Cechách</v>
      </c>
      <c r="H164" s="2" t="str">
        <f>_xlfn.CONCAT(LOWER(Tabulka1[[#This Row],[Příjmení bez mezer]]),".",LOWER(Tabulka1[[#This Row],[Jméno bez mezer]]),"@firmaabc.cz")</f>
        <v>kral.pavel@firmaabc.cz</v>
      </c>
      <c r="I164" s="2" t="str">
        <f>_xlfn.CONCAT(LEFT(LOWER(Tabulka1[[#This Row],[Příjmení bez mezer]]),3),RIGHT(UPPER(Tabulka1[[#This Row],[Jméno bez mezer]]),2))</f>
        <v>kraEL</v>
      </c>
    </row>
    <row r="165" spans="1:9">
      <c r="A165" s="2" t="s">
        <v>411</v>
      </c>
      <c r="B165" t="s">
        <v>412</v>
      </c>
      <c r="C165" t="s">
        <v>413</v>
      </c>
      <c r="D165" t="str">
        <f>TRIM(Tabulka1[[#This Row],[Jméno]])</f>
        <v>Michaela</v>
      </c>
      <c r="E165" t="str">
        <f>TRIM(Tabulka1[[#This Row],[Příjmení]])</f>
        <v>Korinkova</v>
      </c>
      <c r="F165" s="2" t="str">
        <f>MID(Tabulka1[[#This Row],[Adresa]],1,SEARCH(",",Tabulka1[[#This Row],[Adresa]])-1)</f>
        <v>Střední 268</v>
      </c>
      <c r="G165" s="2" t="str">
        <f>RIGHT(Tabulka1[[#This Row],[Adresa]],LEN(Tabulka1[[#This Row],[Adresa]])-LEN(Tabulka1[[#This Row],[Ulice]])-1)</f>
        <v>Manetín</v>
      </c>
      <c r="H165" s="2" t="str">
        <f>_xlfn.CONCAT(LOWER(Tabulka1[[#This Row],[Příjmení bez mezer]]),".",LOWER(Tabulka1[[#This Row],[Jméno bez mezer]]),"@firmaabc.cz")</f>
        <v>korinkova.michaela@firmaabc.cz</v>
      </c>
      <c r="I165" s="2" t="str">
        <f>_xlfn.CONCAT(LEFT(LOWER(Tabulka1[[#This Row],[Příjmení bez mezer]]),3),RIGHT(UPPER(Tabulka1[[#This Row],[Jméno bez mezer]]),2))</f>
        <v>korLA</v>
      </c>
    </row>
    <row r="166" spans="1:9">
      <c r="A166" s="2" t="s">
        <v>414</v>
      </c>
      <c r="B166" t="s">
        <v>180</v>
      </c>
      <c r="C166" t="s">
        <v>401</v>
      </c>
      <c r="D166" t="str">
        <f>TRIM(Tabulka1[[#This Row],[Jméno]])</f>
        <v>Jaroslav</v>
      </c>
      <c r="E166" t="str">
        <f>TRIM(Tabulka1[[#This Row],[Příjmení]])</f>
        <v>Beran</v>
      </c>
      <c r="F166" s="2" t="str">
        <f>MID(Tabulka1[[#This Row],[Adresa]],1,SEARCH(",",Tabulka1[[#This Row],[Adresa]])-1)</f>
        <v>Vrchlického 1663</v>
      </c>
      <c r="G166" s="2" t="str">
        <f>RIGHT(Tabulka1[[#This Row],[Adresa]],LEN(Tabulka1[[#This Row],[Adresa]])-LEN(Tabulka1[[#This Row],[Ulice]])-1)</f>
        <v>Tišnov 1</v>
      </c>
      <c r="H166" s="2" t="str">
        <f>_xlfn.CONCAT(LOWER(Tabulka1[[#This Row],[Příjmení bez mezer]]),".",LOWER(Tabulka1[[#This Row],[Jméno bez mezer]]),"@firmaabc.cz")</f>
        <v>beran.jaroslav@firmaabc.cz</v>
      </c>
      <c r="I166" s="2" t="str">
        <f>_xlfn.CONCAT(LEFT(LOWER(Tabulka1[[#This Row],[Příjmení bez mezer]]),3),RIGHT(UPPER(Tabulka1[[#This Row],[Jméno bez mezer]]),2))</f>
        <v>berAV</v>
      </c>
    </row>
    <row r="167" spans="1:9">
      <c r="A167" s="2" t="s">
        <v>415</v>
      </c>
      <c r="B167" t="s">
        <v>416</v>
      </c>
      <c r="C167" t="s">
        <v>417</v>
      </c>
      <c r="D167" t="str">
        <f>TRIM(Tabulka1[[#This Row],[Jméno]])</f>
        <v>Dobromila</v>
      </c>
      <c r="E167" t="str">
        <f>TRIM(Tabulka1[[#This Row],[Příjmení]])</f>
        <v>Smolikova</v>
      </c>
      <c r="F167" s="2" t="str">
        <f>MID(Tabulka1[[#This Row],[Adresa]],1,SEARCH(",",Tabulka1[[#This Row],[Adresa]])-1)</f>
        <v>Truhlářská 439</v>
      </c>
      <c r="G167" s="2" t="str">
        <f>RIGHT(Tabulka1[[#This Row],[Adresa]],LEN(Tabulka1[[#This Row],[Adresa]])-LEN(Tabulka1[[#This Row],[Ulice]])-1)</f>
        <v>Pacov</v>
      </c>
      <c r="H167" s="2" t="str">
        <f>_xlfn.CONCAT(LOWER(Tabulka1[[#This Row],[Příjmení bez mezer]]),".",LOWER(Tabulka1[[#This Row],[Jméno bez mezer]]),"@firmaabc.cz")</f>
        <v>smolikova.dobromila@firmaabc.cz</v>
      </c>
      <c r="I167" s="2" t="str">
        <f>_xlfn.CONCAT(LEFT(LOWER(Tabulka1[[#This Row],[Příjmení bez mezer]]),3),RIGHT(UPPER(Tabulka1[[#This Row],[Jméno bez mezer]]),2))</f>
        <v>smoLA</v>
      </c>
    </row>
    <row r="168" spans="1:9">
      <c r="A168" s="2" t="s">
        <v>418</v>
      </c>
      <c r="B168" t="s">
        <v>90</v>
      </c>
      <c r="C168" t="s">
        <v>419</v>
      </c>
      <c r="D168" t="str">
        <f>TRIM(Tabulka1[[#This Row],[Jméno]])</f>
        <v>Pavel</v>
      </c>
      <c r="E168" t="str">
        <f>TRIM(Tabulka1[[#This Row],[Příjmení]])</f>
        <v>Svec</v>
      </c>
      <c r="F168" s="2" t="str">
        <f>MID(Tabulka1[[#This Row],[Adresa]],1,SEARCH(",",Tabulka1[[#This Row],[Adresa]])-1)</f>
        <v>Bavorovská 1775</v>
      </c>
      <c r="G168" s="2" t="str">
        <f>RIGHT(Tabulka1[[#This Row],[Adresa]],LEN(Tabulka1[[#This Row],[Adresa]])-LEN(Tabulka1[[#This Row],[Ulice]])-1)</f>
        <v>Stachy</v>
      </c>
      <c r="H168" s="2" t="str">
        <f>_xlfn.CONCAT(LOWER(Tabulka1[[#This Row],[Příjmení bez mezer]]),".",LOWER(Tabulka1[[#This Row],[Jméno bez mezer]]),"@firmaabc.cz")</f>
        <v>svec.pavel@firmaabc.cz</v>
      </c>
      <c r="I168" s="2" t="str">
        <f>_xlfn.CONCAT(LEFT(LOWER(Tabulka1[[#This Row],[Příjmení bez mezer]]),3),RIGHT(UPPER(Tabulka1[[#This Row],[Jméno bez mezer]]),2))</f>
        <v>sveEL</v>
      </c>
    </row>
    <row r="169" spans="1:9">
      <c r="A169" s="2" t="s">
        <v>420</v>
      </c>
      <c r="B169" t="s">
        <v>66</v>
      </c>
      <c r="C169" t="s">
        <v>421</v>
      </c>
      <c r="D169" t="str">
        <f>TRIM(Tabulka1[[#This Row],[Jméno]])</f>
        <v>Karel</v>
      </c>
      <c r="E169" t="str">
        <f>TRIM(Tabulka1[[#This Row],[Příjmení]])</f>
        <v>Stastny</v>
      </c>
      <c r="F169" s="2" t="str">
        <f>MID(Tabulka1[[#This Row],[Adresa]],1,SEARCH(",",Tabulka1[[#This Row],[Adresa]])-1)</f>
        <v>Hálkova 726</v>
      </c>
      <c r="G169" s="2" t="str">
        <f>RIGHT(Tabulka1[[#This Row],[Adresa]],LEN(Tabulka1[[#This Row],[Adresa]])-LEN(Tabulka1[[#This Row],[Ulice]])-1)</f>
        <v>Prysk</v>
      </c>
      <c r="H169" s="2" t="str">
        <f>_xlfn.CONCAT(LOWER(Tabulka1[[#This Row],[Příjmení bez mezer]]),".",LOWER(Tabulka1[[#This Row],[Jméno bez mezer]]),"@firmaabc.cz")</f>
        <v>stastny.karel@firmaabc.cz</v>
      </c>
      <c r="I169" s="2" t="str">
        <f>_xlfn.CONCAT(LEFT(LOWER(Tabulka1[[#This Row],[Příjmení bez mezer]]),3),RIGHT(UPPER(Tabulka1[[#This Row],[Jméno bez mezer]]),2))</f>
        <v>staEL</v>
      </c>
    </row>
    <row r="170" spans="1:9" ht="30">
      <c r="A170" s="2" t="s">
        <v>422</v>
      </c>
      <c r="B170" t="s">
        <v>289</v>
      </c>
      <c r="C170" t="s">
        <v>423</v>
      </c>
      <c r="D170" t="str">
        <f>TRIM(Tabulka1[[#This Row],[Jméno]])</f>
        <v>Petr</v>
      </c>
      <c r="E170" t="str">
        <f>TRIM(Tabulka1[[#This Row],[Příjmení]])</f>
        <v>Berousek</v>
      </c>
      <c r="F170" s="2" t="str">
        <f>MID(Tabulka1[[#This Row],[Adresa]],1,SEARCH(",",Tabulka1[[#This Row],[Adresa]])-1)</f>
        <v>Partyzánská 21</v>
      </c>
      <c r="G170" s="2" t="str">
        <f>RIGHT(Tabulka1[[#This Row],[Adresa]],LEN(Tabulka1[[#This Row],[Adresa]])-LEN(Tabulka1[[#This Row],[Ulice]])-1)</f>
        <v>Chvalkovice v Cechách</v>
      </c>
      <c r="H170" s="2" t="str">
        <f>_xlfn.CONCAT(LOWER(Tabulka1[[#This Row],[Příjmení bez mezer]]),".",LOWER(Tabulka1[[#This Row],[Jméno bez mezer]]),"@firmaabc.cz")</f>
        <v>berousek.petr@firmaabc.cz</v>
      </c>
      <c r="I170" s="2" t="str">
        <f>_xlfn.CONCAT(LEFT(LOWER(Tabulka1[[#This Row],[Příjmení bez mezer]]),3),RIGHT(UPPER(Tabulka1[[#This Row],[Jméno bez mezer]]),2))</f>
        <v>berTR</v>
      </c>
    </row>
    <row r="171" spans="1:9">
      <c r="A171" s="2" t="s">
        <v>424</v>
      </c>
      <c r="B171" t="s">
        <v>425</v>
      </c>
      <c r="C171" t="s">
        <v>107</v>
      </c>
      <c r="D171" t="str">
        <f>TRIM(Tabulka1[[#This Row],[Jméno]])</f>
        <v>Ruzena</v>
      </c>
      <c r="E171" t="str">
        <f>TRIM(Tabulka1[[#This Row],[Příjmení]])</f>
        <v>Vasickova</v>
      </c>
      <c r="F171" s="2" t="str">
        <f>MID(Tabulka1[[#This Row],[Adresa]],1,SEARCH(",",Tabulka1[[#This Row],[Adresa]])-1)</f>
        <v>Lidická 484</v>
      </c>
      <c r="G171" s="2" t="str">
        <f>RIGHT(Tabulka1[[#This Row],[Adresa]],LEN(Tabulka1[[#This Row],[Adresa]])-LEN(Tabulka1[[#This Row],[Ulice]])-1)</f>
        <v>Litomyšl</v>
      </c>
      <c r="H171" s="2" t="str">
        <f>_xlfn.CONCAT(LOWER(Tabulka1[[#This Row],[Příjmení bez mezer]]),".",LOWER(Tabulka1[[#This Row],[Jméno bez mezer]]),"@firmaabc.cz")</f>
        <v>vasickova.ruzena@firmaabc.cz</v>
      </c>
      <c r="I171" s="2" t="str">
        <f>_xlfn.CONCAT(LEFT(LOWER(Tabulka1[[#This Row],[Příjmení bez mezer]]),3),RIGHT(UPPER(Tabulka1[[#This Row],[Jméno bez mezer]]),2))</f>
        <v>vasNA</v>
      </c>
    </row>
    <row r="172" spans="1:9">
      <c r="A172" s="2" t="s">
        <v>426</v>
      </c>
      <c r="B172" t="s">
        <v>427</v>
      </c>
      <c r="C172" t="s">
        <v>428</v>
      </c>
      <c r="D172" t="str">
        <f>TRIM(Tabulka1[[#This Row],[Jméno]])</f>
        <v>Marta</v>
      </c>
      <c r="E172" t="str">
        <f>TRIM(Tabulka1[[#This Row],[Příjmení]])</f>
        <v>Kolajova</v>
      </c>
      <c r="F172" s="2" t="str">
        <f>MID(Tabulka1[[#This Row],[Adresa]],1,SEARCH(",",Tabulka1[[#This Row],[Adresa]])-1)</f>
        <v>Jeronýmova 638</v>
      </c>
      <c r="G172" s="2" t="str">
        <f>RIGHT(Tabulka1[[#This Row],[Adresa]],LEN(Tabulka1[[#This Row],[Adresa]])-LEN(Tabulka1[[#This Row],[Ulice]])-1)</f>
        <v>Polná</v>
      </c>
      <c r="H172" s="2" t="str">
        <f>_xlfn.CONCAT(LOWER(Tabulka1[[#This Row],[Příjmení bez mezer]]),".",LOWER(Tabulka1[[#This Row],[Jméno bez mezer]]),"@firmaabc.cz")</f>
        <v>kolajova.marta@firmaabc.cz</v>
      </c>
      <c r="I172" s="2" t="str">
        <f>_xlfn.CONCAT(LEFT(LOWER(Tabulka1[[#This Row],[Příjmení bez mezer]]),3),RIGHT(UPPER(Tabulka1[[#This Row],[Jméno bez mezer]]),2))</f>
        <v>kolTA</v>
      </c>
    </row>
    <row r="173" spans="1:9">
      <c r="A173" s="2" t="s">
        <v>429</v>
      </c>
      <c r="B173" t="s">
        <v>38</v>
      </c>
      <c r="C173" t="s">
        <v>430</v>
      </c>
      <c r="D173" t="str">
        <f>TRIM(Tabulka1[[#This Row],[Jméno]])</f>
        <v>Miroslava</v>
      </c>
      <c r="E173" t="str">
        <f>TRIM(Tabulka1[[#This Row],[Příjmení]])</f>
        <v>Vavrikova</v>
      </c>
      <c r="F173" s="2" t="str">
        <f>MID(Tabulka1[[#This Row],[Adresa]],1,SEARCH(",",Tabulka1[[#This Row],[Adresa]])-1)</f>
        <v>Na Průhonu 644</v>
      </c>
      <c r="G173" s="2" t="str">
        <f>RIGHT(Tabulka1[[#This Row],[Adresa]],LEN(Tabulka1[[#This Row],[Adresa]])-LEN(Tabulka1[[#This Row],[Ulice]])-1)</f>
        <v>Plzen 18</v>
      </c>
      <c r="H173" s="2" t="str">
        <f>_xlfn.CONCAT(LOWER(Tabulka1[[#This Row],[Příjmení bez mezer]]),".",LOWER(Tabulka1[[#This Row],[Jméno bez mezer]]),"@firmaabc.cz")</f>
        <v>vavrikova.miroslava@firmaabc.cz</v>
      </c>
      <c r="I173" s="2" t="str">
        <f>_xlfn.CONCAT(LEFT(LOWER(Tabulka1[[#This Row],[Příjmení bez mezer]]),3),RIGHT(UPPER(Tabulka1[[#This Row],[Jméno bez mezer]]),2))</f>
        <v>vavVA</v>
      </c>
    </row>
    <row r="174" spans="1:9" ht="30">
      <c r="A174" s="2" t="s">
        <v>431</v>
      </c>
      <c r="B174" t="s">
        <v>191</v>
      </c>
      <c r="C174" t="s">
        <v>432</v>
      </c>
      <c r="D174" t="str">
        <f>TRIM(Tabulka1[[#This Row],[Jméno]])</f>
        <v>Jana</v>
      </c>
      <c r="E174" t="str">
        <f>TRIM(Tabulka1[[#This Row],[Příjmení]])</f>
        <v>Brzobohata</v>
      </c>
      <c r="F174" s="2" t="str">
        <f>MID(Tabulka1[[#This Row],[Adresa]],1,SEARCH(",",Tabulka1[[#This Row],[Adresa]])-1)</f>
        <v>Bartákova 215</v>
      </c>
      <c r="G174" s="2" t="str">
        <f>RIGHT(Tabulka1[[#This Row],[Adresa]],LEN(Tabulka1[[#This Row],[Adresa]])-LEN(Tabulka1[[#This Row],[Ulice]])-1)</f>
        <v>Slezské Rudoltice</v>
      </c>
      <c r="H174" s="2" t="str">
        <f>_xlfn.CONCAT(LOWER(Tabulka1[[#This Row],[Příjmení bez mezer]]),".",LOWER(Tabulka1[[#This Row],[Jméno bez mezer]]),"@firmaabc.cz")</f>
        <v>brzobohata.jana@firmaabc.cz</v>
      </c>
      <c r="I174" s="2" t="str">
        <f>_xlfn.CONCAT(LEFT(LOWER(Tabulka1[[#This Row],[Příjmení bez mezer]]),3),RIGHT(UPPER(Tabulka1[[#This Row],[Jméno bez mezer]]),2))</f>
        <v>brzNA</v>
      </c>
    </row>
    <row r="175" spans="1:9">
      <c r="A175" s="2" t="s">
        <v>433</v>
      </c>
      <c r="B175" t="s">
        <v>326</v>
      </c>
      <c r="C175" t="s">
        <v>184</v>
      </c>
      <c r="D175" t="str">
        <f>TRIM(Tabulka1[[#This Row],[Jméno]])</f>
        <v>Milan</v>
      </c>
      <c r="E175" t="str">
        <f>TRIM(Tabulka1[[#This Row],[Příjmení]])</f>
        <v>Janecek</v>
      </c>
      <c r="F175" s="2" t="str">
        <f>MID(Tabulka1[[#This Row],[Adresa]],1,SEARCH(",",Tabulka1[[#This Row],[Adresa]])-1)</f>
        <v>Na Průhonu 244</v>
      </c>
      <c r="G175" s="2" t="str">
        <f>RIGHT(Tabulka1[[#This Row],[Adresa]],LEN(Tabulka1[[#This Row],[Adresa]])-LEN(Tabulka1[[#This Row],[Ulice]])-1)</f>
        <v>Plzen 27</v>
      </c>
      <c r="H175" s="2" t="str">
        <f>_xlfn.CONCAT(LOWER(Tabulka1[[#This Row],[Příjmení bez mezer]]),".",LOWER(Tabulka1[[#This Row],[Jméno bez mezer]]),"@firmaabc.cz")</f>
        <v>janecek.milan@firmaabc.cz</v>
      </c>
      <c r="I175" s="2" t="str">
        <f>_xlfn.CONCAT(LEFT(LOWER(Tabulka1[[#This Row],[Příjmení bez mezer]]),3),RIGHT(UPPER(Tabulka1[[#This Row],[Jméno bez mezer]]),2))</f>
        <v>janAN</v>
      </c>
    </row>
    <row r="176" spans="1:9">
      <c r="A176" s="2" t="s">
        <v>434</v>
      </c>
      <c r="B176" t="s">
        <v>87</v>
      </c>
      <c r="C176" t="s">
        <v>435</v>
      </c>
      <c r="D176" t="str">
        <f>TRIM(Tabulka1[[#This Row],[Jméno]])</f>
        <v>Martin</v>
      </c>
      <c r="E176" t="str">
        <f>TRIM(Tabulka1[[#This Row],[Příjmení]])</f>
        <v>Kozisek</v>
      </c>
      <c r="F176" s="2" t="str">
        <f>MID(Tabulka1[[#This Row],[Adresa]],1,SEARCH(",",Tabulka1[[#This Row],[Adresa]])-1)</f>
        <v>Nová 611</v>
      </c>
      <c r="G176" s="2" t="str">
        <f>RIGHT(Tabulka1[[#This Row],[Adresa]],LEN(Tabulka1[[#This Row],[Adresa]])-LEN(Tabulka1[[#This Row],[Ulice]])-1)</f>
        <v>Mšeno u Melníka</v>
      </c>
      <c r="H176" s="2" t="str">
        <f>_xlfn.CONCAT(LOWER(Tabulka1[[#This Row],[Příjmení bez mezer]]),".",LOWER(Tabulka1[[#This Row],[Jméno bez mezer]]),"@firmaabc.cz")</f>
        <v>kozisek.martin@firmaabc.cz</v>
      </c>
      <c r="I176" s="2" t="str">
        <f>_xlfn.CONCAT(LEFT(LOWER(Tabulka1[[#This Row],[Příjmení bez mezer]]),3),RIGHT(UPPER(Tabulka1[[#This Row],[Jméno bez mezer]]),2))</f>
        <v>kozIN</v>
      </c>
    </row>
    <row r="177" spans="1:9">
      <c r="A177" s="2" t="s">
        <v>436</v>
      </c>
      <c r="B177" t="s">
        <v>364</v>
      </c>
      <c r="C177" t="s">
        <v>437</v>
      </c>
      <c r="D177" t="str">
        <f>TRIM(Tabulka1[[#This Row],[Jméno]])</f>
        <v>Danuse</v>
      </c>
      <c r="E177" t="str">
        <f>TRIM(Tabulka1[[#This Row],[Příjmení]])</f>
        <v>Richtrova</v>
      </c>
      <c r="F177" s="2" t="str">
        <f>MID(Tabulka1[[#This Row],[Adresa]],1,SEARCH(",",Tabulka1[[#This Row],[Adresa]])-1)</f>
        <v>Mírová 1523</v>
      </c>
      <c r="G177" s="2" t="str">
        <f>RIGHT(Tabulka1[[#This Row],[Adresa]],LEN(Tabulka1[[#This Row],[Adresa]])-LEN(Tabulka1[[#This Row],[Ulice]])-1)</f>
        <v>Bobrová</v>
      </c>
      <c r="H177" s="2" t="str">
        <f>_xlfn.CONCAT(LOWER(Tabulka1[[#This Row],[Příjmení bez mezer]]),".",LOWER(Tabulka1[[#This Row],[Jméno bez mezer]]),"@firmaabc.cz")</f>
        <v>richtrova.danuse@firmaabc.cz</v>
      </c>
      <c r="I177" s="2" t="str">
        <f>_xlfn.CONCAT(LEFT(LOWER(Tabulka1[[#This Row],[Příjmení bez mezer]]),3),RIGHT(UPPER(Tabulka1[[#This Row],[Jméno bez mezer]]),2))</f>
        <v>ricSE</v>
      </c>
    </row>
    <row r="178" spans="1:9">
      <c r="A178" s="2" t="s">
        <v>438</v>
      </c>
      <c r="B178" t="s">
        <v>439</v>
      </c>
      <c r="C178" t="s">
        <v>440</v>
      </c>
      <c r="D178" t="str">
        <f>TRIM(Tabulka1[[#This Row],[Jméno]])</f>
        <v>Milena</v>
      </c>
      <c r="E178" t="str">
        <f>TRIM(Tabulka1[[#This Row],[Příjmení]])</f>
        <v>Balazova</v>
      </c>
      <c r="F178" s="2" t="str">
        <f>MID(Tabulka1[[#This Row],[Adresa]],1,SEARCH(",",Tabulka1[[#This Row],[Adresa]])-1)</f>
        <v>Pivovarská 130</v>
      </c>
      <c r="G178" s="2" t="str">
        <f>RIGHT(Tabulka1[[#This Row],[Adresa]],LEN(Tabulka1[[#This Row],[Adresa]])-LEN(Tabulka1[[#This Row],[Ulice]])-1)</f>
        <v>Trebívlice</v>
      </c>
      <c r="H178" s="2" t="str">
        <f>_xlfn.CONCAT(LOWER(Tabulka1[[#This Row],[Příjmení bez mezer]]),".",LOWER(Tabulka1[[#This Row],[Jméno bez mezer]]),"@firmaabc.cz")</f>
        <v>balazova.milena@firmaabc.cz</v>
      </c>
      <c r="I178" s="2" t="str">
        <f>_xlfn.CONCAT(LEFT(LOWER(Tabulka1[[#This Row],[Příjmení bez mezer]]),3),RIGHT(UPPER(Tabulka1[[#This Row],[Jméno bez mezer]]),2))</f>
        <v>balNA</v>
      </c>
    </row>
    <row r="179" spans="1:9">
      <c r="A179" s="2" t="s">
        <v>441</v>
      </c>
      <c r="B179" t="s">
        <v>442</v>
      </c>
      <c r="C179" t="s">
        <v>443</v>
      </c>
      <c r="D179" t="str">
        <f>TRIM(Tabulka1[[#This Row],[Jméno]])</f>
        <v>Ludek</v>
      </c>
      <c r="E179" t="str">
        <f>TRIM(Tabulka1[[#This Row],[Příjmení]])</f>
        <v>Kulhanek</v>
      </c>
      <c r="F179" s="2" t="str">
        <f>MID(Tabulka1[[#This Row],[Adresa]],1,SEARCH(",",Tabulka1[[#This Row],[Adresa]])-1)</f>
        <v>Barákova 823</v>
      </c>
      <c r="G179" s="2" t="str">
        <f>RIGHT(Tabulka1[[#This Row],[Adresa]],LEN(Tabulka1[[#This Row],[Adresa]])-LEN(Tabulka1[[#This Row],[Ulice]])-1)</f>
        <v>Mratín</v>
      </c>
      <c r="H179" s="2" t="str">
        <f>_xlfn.CONCAT(LOWER(Tabulka1[[#This Row],[Příjmení bez mezer]]),".",LOWER(Tabulka1[[#This Row],[Jméno bez mezer]]),"@firmaabc.cz")</f>
        <v>kulhanek.ludek@firmaabc.cz</v>
      </c>
      <c r="I179" s="2" t="str">
        <f>_xlfn.CONCAT(LEFT(LOWER(Tabulka1[[#This Row],[Příjmení bez mezer]]),3),RIGHT(UPPER(Tabulka1[[#This Row],[Jméno bez mezer]]),2))</f>
        <v>kulEK</v>
      </c>
    </row>
    <row r="180" spans="1:9">
      <c r="A180" s="2" t="s">
        <v>444</v>
      </c>
      <c r="B180" t="s">
        <v>14</v>
      </c>
      <c r="C180" t="s">
        <v>445</v>
      </c>
      <c r="D180" t="str">
        <f>TRIM(Tabulka1[[#This Row],[Jméno]])</f>
        <v>Martina</v>
      </c>
      <c r="E180" t="str">
        <f>TRIM(Tabulka1[[#This Row],[Příjmení]])</f>
        <v>Stejskalova</v>
      </c>
      <c r="F180" s="2" t="str">
        <f>MID(Tabulka1[[#This Row],[Adresa]],1,SEARCH(",",Tabulka1[[#This Row],[Adresa]])-1)</f>
        <v>Dukelská 1781</v>
      </c>
      <c r="G180" s="2" t="str">
        <f>RIGHT(Tabulka1[[#This Row],[Adresa]],LEN(Tabulka1[[#This Row],[Adresa]])-LEN(Tabulka1[[#This Row],[Ulice]])-1)</f>
        <v>Odry</v>
      </c>
      <c r="H180" s="2" t="str">
        <f>_xlfn.CONCAT(LOWER(Tabulka1[[#This Row],[Příjmení bez mezer]]),".",LOWER(Tabulka1[[#This Row],[Jméno bez mezer]]),"@firmaabc.cz")</f>
        <v>stejskalova.martina@firmaabc.cz</v>
      </c>
      <c r="I180" s="2" t="str">
        <f>_xlfn.CONCAT(LEFT(LOWER(Tabulka1[[#This Row],[Příjmení bez mezer]]),3),RIGHT(UPPER(Tabulka1[[#This Row],[Jméno bez mezer]]),2))</f>
        <v>steNA</v>
      </c>
    </row>
    <row r="181" spans="1:9">
      <c r="A181" s="2" t="s">
        <v>446</v>
      </c>
      <c r="B181" t="s">
        <v>447</v>
      </c>
      <c r="C181" t="s">
        <v>448</v>
      </c>
      <c r="D181" t="str">
        <f>TRIM(Tabulka1[[#This Row],[Jméno]])</f>
        <v>Vlastimil</v>
      </c>
      <c r="E181" t="str">
        <f>TRIM(Tabulka1[[#This Row],[Příjmení]])</f>
        <v>Fiser</v>
      </c>
      <c r="F181" s="2" t="str">
        <f>MID(Tabulka1[[#This Row],[Adresa]],1,SEARCH(",",Tabulka1[[#This Row],[Adresa]])-1)</f>
        <v>Matiegkova 1228</v>
      </c>
      <c r="G181" s="2" t="str">
        <f>RIGHT(Tabulka1[[#This Row],[Adresa]],LEN(Tabulka1[[#This Row],[Adresa]])-LEN(Tabulka1[[#This Row],[Ulice]])-1)</f>
        <v>Divišov</v>
      </c>
      <c r="H181" s="2" t="str">
        <f>_xlfn.CONCAT(LOWER(Tabulka1[[#This Row],[Příjmení bez mezer]]),".",LOWER(Tabulka1[[#This Row],[Jméno bez mezer]]),"@firmaabc.cz")</f>
        <v>fiser.vlastimil@firmaabc.cz</v>
      </c>
      <c r="I181" s="2" t="str">
        <f>_xlfn.CONCAT(LEFT(LOWER(Tabulka1[[#This Row],[Příjmení bez mezer]]),3),RIGHT(UPPER(Tabulka1[[#This Row],[Jméno bez mezer]]),2))</f>
        <v>fisIL</v>
      </c>
    </row>
    <row r="182" spans="1:9">
      <c r="A182" s="2" t="s">
        <v>449</v>
      </c>
      <c r="B182" t="s">
        <v>255</v>
      </c>
      <c r="C182" t="s">
        <v>450</v>
      </c>
      <c r="D182" t="str">
        <f>TRIM(Tabulka1[[#This Row],[Jméno]])</f>
        <v>Eva</v>
      </c>
      <c r="E182" t="str">
        <f>TRIM(Tabulka1[[#This Row],[Příjmení]])</f>
        <v>Horakova</v>
      </c>
      <c r="F182" s="2" t="str">
        <f>MID(Tabulka1[[#This Row],[Adresa]],1,SEARCH(",",Tabulka1[[#This Row],[Adresa]])-1)</f>
        <v>Hřbitovní 747</v>
      </c>
      <c r="G182" s="2" t="str">
        <f>RIGHT(Tabulka1[[#This Row],[Adresa]],LEN(Tabulka1[[#This Row],[Adresa]])-LEN(Tabulka1[[#This Row],[Ulice]])-1)</f>
        <v>Štítná nad Vlárí</v>
      </c>
      <c r="H182" s="2" t="str">
        <f>_xlfn.CONCAT(LOWER(Tabulka1[[#This Row],[Příjmení bez mezer]]),".",LOWER(Tabulka1[[#This Row],[Jméno bez mezer]]),"@firmaabc.cz")</f>
        <v>horakova.eva@firmaabc.cz</v>
      </c>
      <c r="I182" s="2" t="str">
        <f>_xlfn.CONCAT(LEFT(LOWER(Tabulka1[[#This Row],[Příjmení bez mezer]]),3),RIGHT(UPPER(Tabulka1[[#This Row],[Jméno bez mezer]]),2))</f>
        <v>horVA</v>
      </c>
    </row>
    <row r="183" spans="1:9">
      <c r="A183" s="2" t="s">
        <v>451</v>
      </c>
      <c r="B183" t="s">
        <v>98</v>
      </c>
      <c r="C183" t="s">
        <v>452</v>
      </c>
      <c r="D183" t="str">
        <f>TRIM(Tabulka1[[#This Row],[Jméno]])</f>
        <v>Lukas</v>
      </c>
      <c r="E183" t="str">
        <f>TRIM(Tabulka1[[#This Row],[Příjmení]])</f>
        <v>Prazak</v>
      </c>
      <c r="F183" s="2" t="str">
        <f>MID(Tabulka1[[#This Row],[Adresa]],1,SEARCH(",",Tabulka1[[#This Row],[Adresa]])-1)</f>
        <v>Družstevní 1868</v>
      </c>
      <c r="G183" s="2" t="str">
        <f>RIGHT(Tabulka1[[#This Row],[Adresa]],LEN(Tabulka1[[#This Row],[Adresa]])-LEN(Tabulka1[[#This Row],[Ulice]])-1)</f>
        <v>Horní Nemcí</v>
      </c>
      <c r="H183" s="2" t="str">
        <f>_xlfn.CONCAT(LOWER(Tabulka1[[#This Row],[Příjmení bez mezer]]),".",LOWER(Tabulka1[[#This Row],[Jméno bez mezer]]),"@firmaabc.cz")</f>
        <v>prazak.lukas@firmaabc.cz</v>
      </c>
      <c r="I183" s="2" t="str">
        <f>_xlfn.CONCAT(LEFT(LOWER(Tabulka1[[#This Row],[Příjmení bez mezer]]),3),RIGHT(UPPER(Tabulka1[[#This Row],[Jméno bez mezer]]),2))</f>
        <v>praAS</v>
      </c>
    </row>
    <row r="184" spans="1:9">
      <c r="A184" s="2" t="s">
        <v>453</v>
      </c>
      <c r="B184" t="s">
        <v>191</v>
      </c>
      <c r="C184" t="s">
        <v>454</v>
      </c>
      <c r="D184" t="str">
        <f>TRIM(Tabulka1[[#This Row],[Jméno]])</f>
        <v>Jana</v>
      </c>
      <c r="E184" t="str">
        <f>TRIM(Tabulka1[[#This Row],[Příjmení]])</f>
        <v>Pisarikova</v>
      </c>
      <c r="F184" s="2" t="str">
        <f>MID(Tabulka1[[#This Row],[Adresa]],1,SEARCH(",",Tabulka1[[#This Row],[Adresa]])-1)</f>
        <v>V Aleji 465</v>
      </c>
      <c r="G184" s="2" t="str">
        <f>RIGHT(Tabulka1[[#This Row],[Adresa]],LEN(Tabulka1[[#This Row],[Adresa]])-LEN(Tabulka1[[#This Row],[Ulice]])-1)</f>
        <v>Skalná</v>
      </c>
      <c r="H184" s="2" t="str">
        <f>_xlfn.CONCAT(LOWER(Tabulka1[[#This Row],[Příjmení bez mezer]]),".",LOWER(Tabulka1[[#This Row],[Jméno bez mezer]]),"@firmaabc.cz")</f>
        <v>pisarikova.jana@firmaabc.cz</v>
      </c>
      <c r="I184" s="2" t="str">
        <f>_xlfn.CONCAT(LEFT(LOWER(Tabulka1[[#This Row],[Příjmení bez mezer]]),3),RIGHT(UPPER(Tabulka1[[#This Row],[Jméno bez mezer]]),2))</f>
        <v>pisNA</v>
      </c>
    </row>
    <row r="185" spans="1:9" ht="30">
      <c r="A185" s="2" t="s">
        <v>455</v>
      </c>
      <c r="B185" t="s">
        <v>47</v>
      </c>
      <c r="C185" t="s">
        <v>456</v>
      </c>
      <c r="D185" t="str">
        <f>TRIM(Tabulka1[[#This Row],[Jméno]])</f>
        <v>Tomas</v>
      </c>
      <c r="E185" t="str">
        <f>TRIM(Tabulka1[[#This Row],[Příjmení]])</f>
        <v>Roubicek</v>
      </c>
      <c r="F185" s="2" t="str">
        <f>MID(Tabulka1[[#This Row],[Adresa]],1,SEARCH(",",Tabulka1[[#This Row],[Adresa]])-1)</f>
        <v>Bratří Čapků 1178</v>
      </c>
      <c r="G185" s="2" t="str">
        <f>RIGHT(Tabulka1[[#This Row],[Adresa]],LEN(Tabulka1[[#This Row],[Adresa]])-LEN(Tabulka1[[#This Row],[Ulice]])-1)</f>
        <v>Bílá Tremešná</v>
      </c>
      <c r="H185" s="2" t="str">
        <f>_xlfn.CONCAT(LOWER(Tabulka1[[#This Row],[Příjmení bez mezer]]),".",LOWER(Tabulka1[[#This Row],[Jméno bez mezer]]),"@firmaabc.cz")</f>
        <v>roubicek.tomas@firmaabc.cz</v>
      </c>
      <c r="I185" s="2" t="str">
        <f>_xlfn.CONCAT(LEFT(LOWER(Tabulka1[[#This Row],[Příjmení bez mezer]]),3),RIGHT(UPPER(Tabulka1[[#This Row],[Jméno bez mezer]]),2))</f>
        <v>rouAS</v>
      </c>
    </row>
    <row r="186" spans="1:9">
      <c r="A186" s="2" t="s">
        <v>457</v>
      </c>
      <c r="B186" t="s">
        <v>458</v>
      </c>
      <c r="C186" t="s">
        <v>459</v>
      </c>
      <c r="D186" t="str">
        <f>TRIM(Tabulka1[[#This Row],[Jméno]])</f>
        <v>Libor</v>
      </c>
      <c r="E186" t="str">
        <f>TRIM(Tabulka1[[#This Row],[Příjmení]])</f>
        <v>Rusek</v>
      </c>
      <c r="F186" s="2" t="str">
        <f>MID(Tabulka1[[#This Row],[Adresa]],1,SEARCH(",",Tabulka1[[#This Row],[Adresa]])-1)</f>
        <v>Barákova 1043</v>
      </c>
      <c r="G186" s="2" t="str">
        <f>RIGHT(Tabulka1[[#This Row],[Adresa]],LEN(Tabulka1[[#This Row],[Adresa]])-LEN(Tabulka1[[#This Row],[Ulice]])-1)</f>
        <v>Káraný</v>
      </c>
      <c r="H186" s="2" t="str">
        <f>_xlfn.CONCAT(LOWER(Tabulka1[[#This Row],[Příjmení bez mezer]]),".",LOWER(Tabulka1[[#This Row],[Jméno bez mezer]]),"@firmaabc.cz")</f>
        <v>rusek.libor@firmaabc.cz</v>
      </c>
      <c r="I186" s="2" t="str">
        <f>_xlfn.CONCAT(LEFT(LOWER(Tabulka1[[#This Row],[Příjmení bez mezer]]),3),RIGHT(UPPER(Tabulka1[[#This Row],[Jméno bez mezer]]),2))</f>
        <v>rusOR</v>
      </c>
    </row>
    <row r="187" spans="1:9">
      <c r="A187" s="2" t="s">
        <v>460</v>
      </c>
      <c r="B187" t="s">
        <v>150</v>
      </c>
      <c r="C187" t="s">
        <v>461</v>
      </c>
      <c r="D187" t="str">
        <f>TRIM(Tabulka1[[#This Row],[Jméno]])</f>
        <v>Josef</v>
      </c>
      <c r="E187" t="str">
        <f>TRIM(Tabulka1[[#This Row],[Příjmení]])</f>
        <v>Belohlavek</v>
      </c>
      <c r="F187" s="2" t="str">
        <f>MID(Tabulka1[[#This Row],[Adresa]],1,SEARCH(",",Tabulka1[[#This Row],[Adresa]])-1)</f>
        <v>Truhlářská 1944</v>
      </c>
      <c r="G187" s="2" t="str">
        <f>RIGHT(Tabulka1[[#This Row],[Adresa]],LEN(Tabulka1[[#This Row],[Adresa]])-LEN(Tabulka1[[#This Row],[Ulice]])-1)</f>
        <v>Pacov</v>
      </c>
      <c r="H187" s="2" t="str">
        <f>_xlfn.CONCAT(LOWER(Tabulka1[[#This Row],[Příjmení bez mezer]]),".",LOWER(Tabulka1[[#This Row],[Jméno bez mezer]]),"@firmaabc.cz")</f>
        <v>belohlavek.josef@firmaabc.cz</v>
      </c>
      <c r="I187" s="2" t="str">
        <f>_xlfn.CONCAT(LEFT(LOWER(Tabulka1[[#This Row],[Příjmení bez mezer]]),3),RIGHT(UPPER(Tabulka1[[#This Row],[Jméno bez mezer]]),2))</f>
        <v>belEF</v>
      </c>
    </row>
    <row r="188" spans="1:9" ht="30">
      <c r="A188" s="2" t="s">
        <v>462</v>
      </c>
      <c r="B188" t="s">
        <v>87</v>
      </c>
      <c r="C188" t="s">
        <v>463</v>
      </c>
      <c r="D188" t="str">
        <f>TRIM(Tabulka1[[#This Row],[Jméno]])</f>
        <v>Martin</v>
      </c>
      <c r="E188" t="str">
        <f>TRIM(Tabulka1[[#This Row],[Příjmení]])</f>
        <v>Placek</v>
      </c>
      <c r="F188" s="2" t="str">
        <f>MID(Tabulka1[[#This Row],[Adresa]],1,SEARCH(",",Tabulka1[[#This Row],[Adresa]])-1)</f>
        <v>Tylova 690</v>
      </c>
      <c r="G188" s="2" t="str">
        <f>RIGHT(Tabulka1[[#This Row],[Adresa]],LEN(Tabulka1[[#This Row],[Adresa]])-LEN(Tabulka1[[#This Row],[Ulice]])-1)</f>
        <v>Jaromerice u Jevícka</v>
      </c>
      <c r="H188" s="2" t="str">
        <f>_xlfn.CONCAT(LOWER(Tabulka1[[#This Row],[Příjmení bez mezer]]),".",LOWER(Tabulka1[[#This Row],[Jméno bez mezer]]),"@firmaabc.cz")</f>
        <v>placek.martin@firmaabc.cz</v>
      </c>
      <c r="I188" s="2" t="str">
        <f>_xlfn.CONCAT(LEFT(LOWER(Tabulka1[[#This Row],[Příjmení bez mezer]]),3),RIGHT(UPPER(Tabulka1[[#This Row],[Jméno bez mezer]]),2))</f>
        <v>plaIN</v>
      </c>
    </row>
    <row r="189" spans="1:9">
      <c r="A189" s="2" t="s">
        <v>464</v>
      </c>
      <c r="B189" t="s">
        <v>115</v>
      </c>
      <c r="C189" t="s">
        <v>465</v>
      </c>
      <c r="D189" t="str">
        <f>TRIM(Tabulka1[[#This Row],[Jméno]])</f>
        <v>Jiri</v>
      </c>
      <c r="E189" t="str">
        <f>TRIM(Tabulka1[[#This Row],[Příjmení]])</f>
        <v>Patka</v>
      </c>
      <c r="F189" s="2" t="str">
        <f>MID(Tabulka1[[#This Row],[Adresa]],1,SEARCH(",",Tabulka1[[#This Row],[Adresa]])-1)</f>
        <v>Lidická 1784</v>
      </c>
      <c r="G189" s="2" t="str">
        <f>RIGHT(Tabulka1[[#This Row],[Adresa]],LEN(Tabulka1[[#This Row],[Adresa]])-LEN(Tabulka1[[#This Row],[Ulice]])-1)</f>
        <v>Litomyšl</v>
      </c>
      <c r="H189" s="2" t="str">
        <f>_xlfn.CONCAT(LOWER(Tabulka1[[#This Row],[Příjmení bez mezer]]),".",LOWER(Tabulka1[[#This Row],[Jméno bez mezer]]),"@firmaabc.cz")</f>
        <v>patka.jiri@firmaabc.cz</v>
      </c>
      <c r="I189" s="2" t="str">
        <f>_xlfn.CONCAT(LEFT(LOWER(Tabulka1[[#This Row],[Příjmení bez mezer]]),3),RIGHT(UPPER(Tabulka1[[#This Row],[Jméno bez mezer]]),2))</f>
        <v>patRI</v>
      </c>
    </row>
    <row r="190" spans="1:9">
      <c r="A190" s="2" t="s">
        <v>466</v>
      </c>
      <c r="B190" t="s">
        <v>81</v>
      </c>
      <c r="C190" t="s">
        <v>467</v>
      </c>
      <c r="D190" t="str">
        <f>TRIM(Tabulka1[[#This Row],[Jméno]])</f>
        <v>Miroslav</v>
      </c>
      <c r="E190" t="str">
        <f>TRIM(Tabulka1[[#This Row],[Příjmení]])</f>
        <v>Kucera</v>
      </c>
      <c r="F190" s="2" t="str">
        <f>MID(Tabulka1[[#This Row],[Adresa]],1,SEARCH(",",Tabulka1[[#This Row],[Adresa]])-1)</f>
        <v>Opltova 1752</v>
      </c>
      <c r="G190" s="2" t="str">
        <f>RIGHT(Tabulka1[[#This Row],[Adresa]],LEN(Tabulka1[[#This Row],[Adresa]])-LEN(Tabulka1[[#This Row],[Ulice]])-1)</f>
        <v>Cítoliby</v>
      </c>
      <c r="H190" s="2" t="str">
        <f>_xlfn.CONCAT(LOWER(Tabulka1[[#This Row],[Příjmení bez mezer]]),".",LOWER(Tabulka1[[#This Row],[Jméno bez mezer]]),"@firmaabc.cz")</f>
        <v>kucera.miroslav@firmaabc.cz</v>
      </c>
      <c r="I190" s="2" t="str">
        <f>_xlfn.CONCAT(LEFT(LOWER(Tabulka1[[#This Row],[Příjmení bez mezer]]),3),RIGHT(UPPER(Tabulka1[[#This Row],[Jméno bez mezer]]),2))</f>
        <v>kucAV</v>
      </c>
    </row>
    <row r="191" spans="1:9">
      <c r="A191" s="2" t="s">
        <v>468</v>
      </c>
      <c r="B191" t="s">
        <v>469</v>
      </c>
      <c r="C191" t="s">
        <v>470</v>
      </c>
      <c r="D191" t="str">
        <f>TRIM(Tabulka1[[#This Row],[Jméno]])</f>
        <v>Matej</v>
      </c>
      <c r="E191" t="str">
        <f>TRIM(Tabulka1[[#This Row],[Příjmení]])</f>
        <v>Krenek</v>
      </c>
      <c r="F191" s="2" t="str">
        <f>MID(Tabulka1[[#This Row],[Adresa]],1,SEARCH(",",Tabulka1[[#This Row],[Adresa]])-1)</f>
        <v>Strmá 1315</v>
      </c>
      <c r="G191" s="2" t="str">
        <f>RIGHT(Tabulka1[[#This Row],[Adresa]],LEN(Tabulka1[[#This Row],[Adresa]])-LEN(Tabulka1[[#This Row],[Ulice]])-1)</f>
        <v>Ceský Tešín 1</v>
      </c>
      <c r="H191" s="2" t="str">
        <f>_xlfn.CONCAT(LOWER(Tabulka1[[#This Row],[Příjmení bez mezer]]),".",LOWER(Tabulka1[[#This Row],[Jméno bez mezer]]),"@firmaabc.cz")</f>
        <v>krenek.matej@firmaabc.cz</v>
      </c>
      <c r="I191" s="2" t="str">
        <f>_xlfn.CONCAT(LEFT(LOWER(Tabulka1[[#This Row],[Příjmení bez mezer]]),3),RIGHT(UPPER(Tabulka1[[#This Row],[Jméno bez mezer]]),2))</f>
        <v>kreEJ</v>
      </c>
    </row>
    <row r="192" spans="1:9">
      <c r="A192" s="2" t="s">
        <v>471</v>
      </c>
      <c r="B192" t="s">
        <v>289</v>
      </c>
      <c r="C192" t="s">
        <v>472</v>
      </c>
      <c r="D192" t="str">
        <f>TRIM(Tabulka1[[#This Row],[Jméno]])</f>
        <v>Petr</v>
      </c>
      <c r="E192" t="str">
        <f>TRIM(Tabulka1[[#This Row],[Příjmení]])</f>
        <v>Turek</v>
      </c>
      <c r="F192" s="2" t="str">
        <f>MID(Tabulka1[[#This Row],[Adresa]],1,SEARCH(",",Tabulka1[[#This Row],[Adresa]])-1)</f>
        <v>Za humny 1826</v>
      </c>
      <c r="G192" s="2" t="str">
        <f>RIGHT(Tabulka1[[#This Row],[Adresa]],LEN(Tabulka1[[#This Row],[Adresa]])-LEN(Tabulka1[[#This Row],[Ulice]])-1)</f>
        <v>Milevsko 1</v>
      </c>
      <c r="H192" s="2" t="str">
        <f>_xlfn.CONCAT(LOWER(Tabulka1[[#This Row],[Příjmení bez mezer]]),".",LOWER(Tabulka1[[#This Row],[Jméno bez mezer]]),"@firmaabc.cz")</f>
        <v>turek.petr@firmaabc.cz</v>
      </c>
      <c r="I192" s="2" t="str">
        <f>_xlfn.CONCAT(LEFT(LOWER(Tabulka1[[#This Row],[Příjmení bez mezer]]),3),RIGHT(UPPER(Tabulka1[[#This Row],[Jméno bez mezer]]),2))</f>
        <v>turTR</v>
      </c>
    </row>
    <row r="193" spans="1:9">
      <c r="A193" s="2" t="s">
        <v>473</v>
      </c>
      <c r="B193" t="s">
        <v>162</v>
      </c>
      <c r="C193" t="s">
        <v>474</v>
      </c>
      <c r="D193" t="str">
        <f>TRIM(Tabulka1[[#This Row],[Jméno]])</f>
        <v>Jaroslava</v>
      </c>
      <c r="E193" t="str">
        <f>TRIM(Tabulka1[[#This Row],[Příjmení]])</f>
        <v>Gavendova</v>
      </c>
      <c r="F193" s="2" t="str">
        <f>MID(Tabulka1[[#This Row],[Adresa]],1,SEARCH(",",Tabulka1[[#This Row],[Adresa]])-1)</f>
        <v>Jičín 824</v>
      </c>
      <c r="G193" s="2" t="str">
        <f>RIGHT(Tabulka1[[#This Row],[Adresa]],LEN(Tabulka1[[#This Row],[Adresa]])-LEN(Tabulka1[[#This Row],[Ulice]])-1)</f>
        <v>Jicín 1</v>
      </c>
      <c r="H193" s="2" t="str">
        <f>_xlfn.CONCAT(LOWER(Tabulka1[[#This Row],[Příjmení bez mezer]]),".",LOWER(Tabulka1[[#This Row],[Jméno bez mezer]]),"@firmaabc.cz")</f>
        <v>gavendova.jaroslava@firmaabc.cz</v>
      </c>
      <c r="I193" s="2" t="str">
        <f>_xlfn.CONCAT(LEFT(LOWER(Tabulka1[[#This Row],[Příjmení bez mezer]]),3),RIGHT(UPPER(Tabulka1[[#This Row],[Jméno bez mezer]]),2))</f>
        <v>gavVA</v>
      </c>
    </row>
    <row r="194" spans="1:9">
      <c r="A194" s="2" t="s">
        <v>475</v>
      </c>
      <c r="B194" t="s">
        <v>84</v>
      </c>
      <c r="C194" t="s">
        <v>476</v>
      </c>
      <c r="D194" t="str">
        <f>TRIM(Tabulka1[[#This Row],[Jméno]])</f>
        <v>Katerina</v>
      </c>
      <c r="E194" t="str">
        <f>TRIM(Tabulka1[[#This Row],[Příjmení]])</f>
        <v>Machalkova</v>
      </c>
      <c r="F194" s="2" t="str">
        <f>MID(Tabulka1[[#This Row],[Adresa]],1,SEARCH(",",Tabulka1[[#This Row],[Adresa]])-1)</f>
        <v>Havlíčkova 710</v>
      </c>
      <c r="G194" s="2" t="str">
        <f>RIGHT(Tabulka1[[#This Row],[Adresa]],LEN(Tabulka1[[#This Row],[Adresa]])-LEN(Tabulka1[[#This Row],[Ulice]])-1)</f>
        <v>Kladno 3</v>
      </c>
      <c r="H194" s="2" t="str">
        <f>_xlfn.CONCAT(LOWER(Tabulka1[[#This Row],[Příjmení bez mezer]]),".",LOWER(Tabulka1[[#This Row],[Jméno bez mezer]]),"@firmaabc.cz")</f>
        <v>machalkova.katerina@firmaabc.cz</v>
      </c>
      <c r="I194" s="2" t="str">
        <f>_xlfn.CONCAT(LEFT(LOWER(Tabulka1[[#This Row],[Příjmení bez mezer]]),3),RIGHT(UPPER(Tabulka1[[#This Row],[Jméno bez mezer]]),2))</f>
        <v>macNA</v>
      </c>
    </row>
    <row r="195" spans="1:9">
      <c r="A195" s="2" t="s">
        <v>477</v>
      </c>
      <c r="B195" t="s">
        <v>44</v>
      </c>
      <c r="C195" t="s">
        <v>344</v>
      </c>
      <c r="D195" t="str">
        <f>TRIM(Tabulka1[[#This Row],[Jméno]])</f>
        <v>Marie</v>
      </c>
      <c r="E195" t="str">
        <f>TRIM(Tabulka1[[#This Row],[Příjmení]])</f>
        <v>Hlavata</v>
      </c>
      <c r="F195" s="2" t="str">
        <f>MID(Tabulka1[[#This Row],[Adresa]],1,SEARCH(",",Tabulka1[[#This Row],[Adresa]])-1)</f>
        <v>Družstevní 730</v>
      </c>
      <c r="G195" s="2" t="str">
        <f>RIGHT(Tabulka1[[#This Row],[Adresa]],LEN(Tabulka1[[#This Row],[Adresa]])-LEN(Tabulka1[[#This Row],[Ulice]])-1)</f>
        <v>Volduchy</v>
      </c>
      <c r="H195" s="2" t="str">
        <f>_xlfn.CONCAT(LOWER(Tabulka1[[#This Row],[Příjmení bez mezer]]),".",LOWER(Tabulka1[[#This Row],[Jméno bez mezer]]),"@firmaabc.cz")</f>
        <v>hlavata.marie@firmaabc.cz</v>
      </c>
      <c r="I195" s="2" t="str">
        <f>_xlfn.CONCAT(LEFT(LOWER(Tabulka1[[#This Row],[Příjmení bez mezer]]),3),RIGHT(UPPER(Tabulka1[[#This Row],[Jméno bez mezer]]),2))</f>
        <v>hlaIE</v>
      </c>
    </row>
    <row r="196" spans="1:9">
      <c r="A196" s="2" t="s">
        <v>478</v>
      </c>
      <c r="B196" t="s">
        <v>219</v>
      </c>
      <c r="C196" t="s">
        <v>479</v>
      </c>
      <c r="D196" t="str">
        <f>TRIM(Tabulka1[[#This Row],[Jméno]])</f>
        <v>Marek</v>
      </c>
      <c r="E196" t="str">
        <f>TRIM(Tabulka1[[#This Row],[Příjmení]])</f>
        <v>Dvorak</v>
      </c>
      <c r="F196" s="2" t="str">
        <f>MID(Tabulka1[[#This Row],[Adresa]],1,SEARCH(",",Tabulka1[[#This Row],[Adresa]])-1)</f>
        <v>Lidická 938</v>
      </c>
      <c r="G196" s="2" t="str">
        <f>RIGHT(Tabulka1[[#This Row],[Adresa]],LEN(Tabulka1[[#This Row],[Adresa]])-LEN(Tabulka1[[#This Row],[Ulice]])-1)</f>
        <v>Provodín</v>
      </c>
      <c r="H196" s="2" t="str">
        <f>_xlfn.CONCAT(LOWER(Tabulka1[[#This Row],[Příjmení bez mezer]]),".",LOWER(Tabulka1[[#This Row],[Jméno bez mezer]]),"@firmaabc.cz")</f>
        <v>dvorak.marek@firmaabc.cz</v>
      </c>
      <c r="I196" s="2" t="str">
        <f>_xlfn.CONCAT(LEFT(LOWER(Tabulka1[[#This Row],[Příjmení bez mezer]]),3),RIGHT(UPPER(Tabulka1[[#This Row],[Jméno bez mezer]]),2))</f>
        <v>dvoEK</v>
      </c>
    </row>
    <row r="197" spans="1:9" ht="30">
      <c r="A197" s="2" t="s">
        <v>480</v>
      </c>
      <c r="B197" t="s">
        <v>481</v>
      </c>
      <c r="C197" t="s">
        <v>482</v>
      </c>
      <c r="D197" t="str">
        <f>TRIM(Tabulka1[[#This Row],[Jméno]])</f>
        <v>Romana</v>
      </c>
      <c r="E197" t="str">
        <f>TRIM(Tabulka1[[#This Row],[Příjmení]])</f>
        <v>Prochazkova</v>
      </c>
      <c r="F197" s="2" t="str">
        <f>MID(Tabulka1[[#This Row],[Adresa]],1,SEARCH(",",Tabulka1[[#This Row],[Adresa]])-1)</f>
        <v>Za učilištěm 1699</v>
      </c>
      <c r="G197" s="2" t="str">
        <f>RIGHT(Tabulka1[[#This Row],[Adresa]],LEN(Tabulka1[[#This Row],[Adresa]])-LEN(Tabulka1[[#This Row],[Ulice]])-1)</f>
        <v>Bystrice nad Olší</v>
      </c>
      <c r="H197" s="2" t="str">
        <f>_xlfn.CONCAT(LOWER(Tabulka1[[#This Row],[Příjmení bez mezer]]),".",LOWER(Tabulka1[[#This Row],[Jméno bez mezer]]),"@firmaabc.cz")</f>
        <v>prochazkova.romana@firmaabc.cz</v>
      </c>
      <c r="I197" s="2" t="str">
        <f>_xlfn.CONCAT(LEFT(LOWER(Tabulka1[[#This Row],[Příjmení bez mezer]]),3),RIGHT(UPPER(Tabulka1[[#This Row],[Jméno bez mezer]]),2))</f>
        <v>proNA</v>
      </c>
    </row>
    <row r="198" spans="1:9">
      <c r="A198" s="2" t="s">
        <v>483</v>
      </c>
      <c r="B198" t="s">
        <v>172</v>
      </c>
      <c r="C198" t="s">
        <v>484</v>
      </c>
      <c r="D198" t="str">
        <f>TRIM(Tabulka1[[#This Row],[Jméno]])</f>
        <v>David</v>
      </c>
      <c r="E198" t="str">
        <f>TRIM(Tabulka1[[#This Row],[Příjmení]])</f>
        <v>Popovic</v>
      </c>
      <c r="F198" s="2" t="str">
        <f>MID(Tabulka1[[#This Row],[Adresa]],1,SEARCH(",",Tabulka1[[#This Row],[Adresa]])-1)</f>
        <v>Osnická 1325</v>
      </c>
      <c r="G198" s="2" t="str">
        <f>RIGHT(Tabulka1[[#This Row],[Adresa]],LEN(Tabulka1[[#This Row],[Adresa]])-LEN(Tabulka1[[#This Row],[Ulice]])-1)</f>
        <v>Praha 511</v>
      </c>
      <c r="H198" s="2" t="str">
        <f>_xlfn.CONCAT(LOWER(Tabulka1[[#This Row],[Příjmení bez mezer]]),".",LOWER(Tabulka1[[#This Row],[Jméno bez mezer]]),"@firmaabc.cz")</f>
        <v>popovic.david@firmaabc.cz</v>
      </c>
      <c r="I198" s="2" t="str">
        <f>_xlfn.CONCAT(LEFT(LOWER(Tabulka1[[#This Row],[Příjmení bez mezer]]),3),RIGHT(UPPER(Tabulka1[[#This Row],[Jméno bez mezer]]),2))</f>
        <v>popID</v>
      </c>
    </row>
    <row r="199" spans="1:9" ht="30">
      <c r="A199" s="2" t="s">
        <v>485</v>
      </c>
      <c r="B199" t="s">
        <v>289</v>
      </c>
      <c r="C199" t="s">
        <v>266</v>
      </c>
      <c r="D199" t="str">
        <f>TRIM(Tabulka1[[#This Row],[Jméno]])</f>
        <v>Petr</v>
      </c>
      <c r="E199" t="str">
        <f>TRIM(Tabulka1[[#This Row],[Příjmení]])</f>
        <v>Horak</v>
      </c>
      <c r="F199" s="2" t="str">
        <f>MID(Tabulka1[[#This Row],[Adresa]],1,SEARCH(",",Tabulka1[[#This Row],[Adresa]])-1)</f>
        <v>Na Průhonu 657</v>
      </c>
      <c r="G199" s="2" t="str">
        <f>RIGHT(Tabulka1[[#This Row],[Adresa]],LEN(Tabulka1[[#This Row],[Adresa]])-LEN(Tabulka1[[#This Row],[Ulice]])-1)</f>
        <v>Mnichovo Hradište</v>
      </c>
      <c r="H199" s="2" t="str">
        <f>_xlfn.CONCAT(LOWER(Tabulka1[[#This Row],[Příjmení bez mezer]]),".",LOWER(Tabulka1[[#This Row],[Jméno bez mezer]]),"@firmaabc.cz")</f>
        <v>horak.petr@firmaabc.cz</v>
      </c>
      <c r="I199" s="2" t="str">
        <f>_xlfn.CONCAT(LEFT(LOWER(Tabulka1[[#This Row],[Příjmení bez mezer]]),3),RIGHT(UPPER(Tabulka1[[#This Row],[Jméno bez mezer]]),2))</f>
        <v>horTR</v>
      </c>
    </row>
    <row r="200" spans="1:9" ht="30">
      <c r="A200" s="2" t="s">
        <v>486</v>
      </c>
      <c r="B200" t="s">
        <v>66</v>
      </c>
      <c r="C200" t="s">
        <v>289</v>
      </c>
      <c r="D200" t="str">
        <f>TRIM(Tabulka1[[#This Row],[Jméno]])</f>
        <v>Karel</v>
      </c>
      <c r="E200" t="str">
        <f>TRIM(Tabulka1[[#This Row],[Příjmení]])</f>
        <v>Petr</v>
      </c>
      <c r="F200" s="2" t="str">
        <f>MID(Tabulka1[[#This Row],[Adresa]],1,SEARCH(",",Tabulka1[[#This Row],[Adresa]])-1)</f>
        <v>Na Výsluní 806</v>
      </c>
      <c r="G200" s="2" t="str">
        <f>RIGHT(Tabulka1[[#This Row],[Adresa]],LEN(Tabulka1[[#This Row],[Adresa]])-LEN(Tabulka1[[#This Row],[Ulice]])-1)</f>
        <v>Planá u Mariánských Lázní</v>
      </c>
      <c r="H200" s="2" t="str">
        <f>_xlfn.CONCAT(LOWER(Tabulka1[[#This Row],[Příjmení bez mezer]]),".",LOWER(Tabulka1[[#This Row],[Jméno bez mezer]]),"@firmaabc.cz")</f>
        <v>petr.karel@firmaabc.cz</v>
      </c>
      <c r="I200" s="2" t="str">
        <f>_xlfn.CONCAT(LEFT(LOWER(Tabulka1[[#This Row],[Příjmení bez mezer]]),3),RIGHT(UPPER(Tabulka1[[#This Row],[Jméno bez mezer]]),2))</f>
        <v>petEL</v>
      </c>
    </row>
    <row r="201" spans="1:9">
      <c r="A201" s="2" t="s">
        <v>487</v>
      </c>
      <c r="B201" t="s">
        <v>90</v>
      </c>
      <c r="C201" t="s">
        <v>488</v>
      </c>
      <c r="D201" t="str">
        <f>TRIM(Tabulka1[[#This Row],[Jméno]])</f>
        <v>Pavel</v>
      </c>
      <c r="E201" t="str">
        <f>TRIM(Tabulka1[[#This Row],[Příjmení]])</f>
        <v>Linhart</v>
      </c>
      <c r="F201" s="2" t="str">
        <f>MID(Tabulka1[[#This Row],[Adresa]],1,SEARCH(",",Tabulka1[[#This Row],[Adresa]])-1)</f>
        <v>Mlýnská 1417</v>
      </c>
      <c r="G201" s="2" t="str">
        <f>RIGHT(Tabulka1[[#This Row],[Adresa]],LEN(Tabulka1[[#This Row],[Adresa]])-LEN(Tabulka1[[#This Row],[Ulice]])-1)</f>
        <v>Štíty</v>
      </c>
      <c r="H201" s="2" t="str">
        <f>_xlfn.CONCAT(LOWER(Tabulka1[[#This Row],[Příjmení bez mezer]]),".",LOWER(Tabulka1[[#This Row],[Jméno bez mezer]]),"@firmaabc.cz")</f>
        <v>linhart.pavel@firmaabc.cz</v>
      </c>
      <c r="I201" s="2" t="str">
        <f>_xlfn.CONCAT(LEFT(LOWER(Tabulka1[[#This Row],[Příjmení bez mezer]]),3),RIGHT(UPPER(Tabulka1[[#This Row],[Jméno bez mezer]]),2))</f>
        <v>linEL</v>
      </c>
    </row>
    <row r="202" spans="1:9">
      <c r="A202" s="2" t="s">
        <v>489</v>
      </c>
      <c r="B202" t="s">
        <v>26</v>
      </c>
      <c r="C202" t="s">
        <v>490</v>
      </c>
      <c r="D202" t="str">
        <f>TRIM(Tabulka1[[#This Row],[Jméno]])</f>
        <v>Jan</v>
      </c>
      <c r="E202" t="str">
        <f>TRIM(Tabulka1[[#This Row],[Příjmení]])</f>
        <v>Adam</v>
      </c>
      <c r="F202" s="2" t="str">
        <f>MID(Tabulka1[[#This Row],[Adresa]],1,SEARCH(",",Tabulka1[[#This Row],[Adresa]])-1)</f>
        <v>Partyzánská 450</v>
      </c>
      <c r="G202" s="2" t="str">
        <f>RIGHT(Tabulka1[[#This Row],[Adresa]],LEN(Tabulka1[[#This Row],[Adresa]])-LEN(Tabulka1[[#This Row],[Ulice]])-1)</f>
        <v>Jaromer 1</v>
      </c>
      <c r="H202" s="2" t="str">
        <f>_xlfn.CONCAT(LOWER(Tabulka1[[#This Row],[Příjmení bez mezer]]),".",LOWER(Tabulka1[[#This Row],[Jméno bez mezer]]),"@firmaabc.cz")</f>
        <v>adam.jan@firmaabc.cz</v>
      </c>
      <c r="I202" s="2" t="str">
        <f>_xlfn.CONCAT(LEFT(LOWER(Tabulka1[[#This Row],[Příjmení bez mezer]]),3),RIGHT(UPPER(Tabulka1[[#This Row],[Jméno bez mezer]]),2))</f>
        <v>adaAN</v>
      </c>
    </row>
    <row r="203" spans="1:9">
      <c r="A203" s="2" t="s">
        <v>491</v>
      </c>
      <c r="B203" t="s">
        <v>93</v>
      </c>
      <c r="C203" t="s">
        <v>492</v>
      </c>
      <c r="D203" t="str">
        <f>TRIM(Tabulka1[[#This Row],[Jméno]])</f>
        <v>Vera</v>
      </c>
      <c r="E203" t="str">
        <f>TRIM(Tabulka1[[#This Row],[Příjmení]])</f>
        <v>Cardova</v>
      </c>
      <c r="F203" s="2" t="str">
        <f>MID(Tabulka1[[#This Row],[Adresa]],1,SEARCH(",",Tabulka1[[#This Row],[Adresa]])-1)</f>
        <v>Havlíčkova 396</v>
      </c>
      <c r="G203" s="2" t="str">
        <f>RIGHT(Tabulka1[[#This Row],[Adresa]],LEN(Tabulka1[[#This Row],[Adresa]])-LEN(Tabulka1[[#This Row],[Ulice]])-1)</f>
        <v>Most 1</v>
      </c>
      <c r="H203" s="2" t="str">
        <f>_xlfn.CONCAT(LOWER(Tabulka1[[#This Row],[Příjmení bez mezer]]),".",LOWER(Tabulka1[[#This Row],[Jméno bez mezer]]),"@firmaabc.cz")</f>
        <v>cardova.vera@firmaabc.cz</v>
      </c>
      <c r="I203" s="2" t="str">
        <f>_xlfn.CONCAT(LEFT(LOWER(Tabulka1[[#This Row],[Příjmení bez mezer]]),3),RIGHT(UPPER(Tabulka1[[#This Row],[Jméno bez mezer]]),2))</f>
        <v>carRA</v>
      </c>
    </row>
    <row r="204" spans="1:9" ht="30">
      <c r="A204" s="2" t="s">
        <v>493</v>
      </c>
      <c r="B204" t="s">
        <v>38</v>
      </c>
      <c r="C204" t="s">
        <v>494</v>
      </c>
      <c r="D204" t="str">
        <f>TRIM(Tabulka1[[#This Row],[Jméno]])</f>
        <v>Miroslava</v>
      </c>
      <c r="E204" t="str">
        <f>TRIM(Tabulka1[[#This Row],[Příjmení]])</f>
        <v>Kocourkova</v>
      </c>
      <c r="F204" s="2" t="str">
        <f>MID(Tabulka1[[#This Row],[Adresa]],1,SEARCH(",",Tabulka1[[#This Row],[Adresa]])-1)</f>
        <v>Jana Šťastného 1374</v>
      </c>
      <c r="G204" s="2" t="str">
        <f>RIGHT(Tabulka1[[#This Row],[Adresa]],LEN(Tabulka1[[#This Row],[Adresa]])-LEN(Tabulka1[[#This Row],[Ulice]])-1)</f>
        <v>Mníšek pod Brdy</v>
      </c>
      <c r="H204" s="2" t="str">
        <f>_xlfn.CONCAT(LOWER(Tabulka1[[#This Row],[Příjmení bez mezer]]),".",LOWER(Tabulka1[[#This Row],[Jméno bez mezer]]),"@firmaabc.cz")</f>
        <v>kocourkova.miroslava@firmaabc.cz</v>
      </c>
      <c r="I204" s="2" t="str">
        <f>_xlfn.CONCAT(LEFT(LOWER(Tabulka1[[#This Row],[Příjmení bez mezer]]),3),RIGHT(UPPER(Tabulka1[[#This Row],[Jméno bez mezer]]),2))</f>
        <v>kocVA</v>
      </c>
    </row>
    <row r="205" spans="1:9">
      <c r="A205" s="2" t="s">
        <v>495</v>
      </c>
      <c r="B205" t="s">
        <v>140</v>
      </c>
      <c r="C205" t="s">
        <v>496</v>
      </c>
      <c r="D205" t="str">
        <f>TRIM(Tabulka1[[#This Row],[Jméno]])</f>
        <v>Iveta</v>
      </c>
      <c r="E205" t="str">
        <f>TRIM(Tabulka1[[#This Row],[Příjmení]])</f>
        <v>Novotna</v>
      </c>
      <c r="F205" s="2" t="str">
        <f>MID(Tabulka1[[#This Row],[Adresa]],1,SEARCH(",",Tabulka1[[#This Row],[Adresa]])-1)</f>
        <v>Strojírenská 360</v>
      </c>
      <c r="G205" s="2" t="str">
        <f>RIGHT(Tabulka1[[#This Row],[Adresa]],LEN(Tabulka1[[#This Row],[Adresa]])-LEN(Tabulka1[[#This Row],[Ulice]])-1)</f>
        <v>Svratka</v>
      </c>
      <c r="H205" s="2" t="str">
        <f>_xlfn.CONCAT(LOWER(Tabulka1[[#This Row],[Příjmení bez mezer]]),".",LOWER(Tabulka1[[#This Row],[Jméno bez mezer]]),"@firmaabc.cz")</f>
        <v>novotna.iveta@firmaabc.cz</v>
      </c>
      <c r="I205" s="2" t="str">
        <f>_xlfn.CONCAT(LEFT(LOWER(Tabulka1[[#This Row],[Příjmení bez mezer]]),3),RIGHT(UPPER(Tabulka1[[#This Row],[Jméno bez mezer]]),2))</f>
        <v>novTA</v>
      </c>
    </row>
    <row r="206" spans="1:9">
      <c r="A206" s="2" t="s">
        <v>497</v>
      </c>
      <c r="B206" t="s">
        <v>32</v>
      </c>
      <c r="C206" t="s">
        <v>443</v>
      </c>
      <c r="D206" t="str">
        <f>TRIM(Tabulka1[[#This Row],[Jméno]])</f>
        <v>Michal</v>
      </c>
      <c r="E206" t="str">
        <f>TRIM(Tabulka1[[#This Row],[Příjmení]])</f>
        <v>Kulhanek</v>
      </c>
      <c r="F206" s="2" t="str">
        <f>MID(Tabulka1[[#This Row],[Adresa]],1,SEARCH(",",Tabulka1[[#This Row],[Adresa]])-1)</f>
        <v>Poštovní 672</v>
      </c>
      <c r="G206" s="2" t="str">
        <f>RIGHT(Tabulka1[[#This Row],[Adresa]],LEN(Tabulka1[[#This Row],[Adresa]])-LEN(Tabulka1[[#This Row],[Ulice]])-1)</f>
        <v>Skalsko</v>
      </c>
      <c r="H206" s="2" t="str">
        <f>_xlfn.CONCAT(LOWER(Tabulka1[[#This Row],[Příjmení bez mezer]]),".",LOWER(Tabulka1[[#This Row],[Jméno bez mezer]]),"@firmaabc.cz")</f>
        <v>kulhanek.michal@firmaabc.cz</v>
      </c>
      <c r="I206" s="2" t="str">
        <f>_xlfn.CONCAT(LEFT(LOWER(Tabulka1[[#This Row],[Příjmení bez mezer]]),3),RIGHT(UPPER(Tabulka1[[#This Row],[Jméno bez mezer]]),2))</f>
        <v>kulAL</v>
      </c>
    </row>
    <row r="207" spans="1:9">
      <c r="A207" s="2" t="s">
        <v>498</v>
      </c>
      <c r="B207" t="s">
        <v>499</v>
      </c>
      <c r="C207" t="s">
        <v>500</v>
      </c>
      <c r="D207" t="str">
        <f>TRIM(Tabulka1[[#This Row],[Jméno]])</f>
        <v>Emil</v>
      </c>
      <c r="E207" t="str">
        <f>TRIM(Tabulka1[[#This Row],[Příjmení]])</f>
        <v>Knizek</v>
      </c>
      <c r="F207" s="2" t="str">
        <f>MID(Tabulka1[[#This Row],[Adresa]],1,SEARCH(",",Tabulka1[[#This Row],[Adresa]])-1)</f>
        <v>V Trávníkách 1784</v>
      </c>
      <c r="G207" s="2" t="str">
        <f>RIGHT(Tabulka1[[#This Row],[Adresa]],LEN(Tabulka1[[#This Row],[Adresa]])-LEN(Tabulka1[[#This Row],[Ulice]])-1)</f>
        <v>Tanvald</v>
      </c>
      <c r="H207" s="2" t="str">
        <f>_xlfn.CONCAT(LOWER(Tabulka1[[#This Row],[Příjmení bez mezer]]),".",LOWER(Tabulka1[[#This Row],[Jméno bez mezer]]),"@firmaabc.cz")</f>
        <v>knizek.emil@firmaabc.cz</v>
      </c>
      <c r="I207" s="2" t="str">
        <f>_xlfn.CONCAT(LEFT(LOWER(Tabulka1[[#This Row],[Příjmení bez mezer]]),3),RIGHT(UPPER(Tabulka1[[#This Row],[Jméno bez mezer]]),2))</f>
        <v>kniIL</v>
      </c>
    </row>
    <row r="208" spans="1:9" ht="30">
      <c r="A208" s="2" t="s">
        <v>501</v>
      </c>
      <c r="B208" t="s">
        <v>265</v>
      </c>
      <c r="C208" t="s">
        <v>502</v>
      </c>
      <c r="D208" t="str">
        <f>TRIM(Tabulka1[[#This Row],[Jméno]])</f>
        <v>Robert</v>
      </c>
      <c r="E208" t="str">
        <f>TRIM(Tabulka1[[#This Row],[Příjmení]])</f>
        <v>Kubala</v>
      </c>
      <c r="F208" s="2" t="str">
        <f>MID(Tabulka1[[#This Row],[Adresa]],1,SEARCH(",",Tabulka1[[#This Row],[Adresa]])-1)</f>
        <v>Žižkova 1286</v>
      </c>
      <c r="G208" s="2" t="str">
        <f>RIGHT(Tabulka1[[#This Row],[Adresa]],LEN(Tabulka1[[#This Row],[Adresa]])-LEN(Tabulka1[[#This Row],[Ulice]])-1)</f>
        <v>Klenovice na Hané</v>
      </c>
      <c r="H208" s="2" t="str">
        <f>_xlfn.CONCAT(LOWER(Tabulka1[[#This Row],[Příjmení bez mezer]]),".",LOWER(Tabulka1[[#This Row],[Jméno bez mezer]]),"@firmaabc.cz")</f>
        <v>kubala.robert@firmaabc.cz</v>
      </c>
      <c r="I208" s="2" t="str">
        <f>_xlfn.CONCAT(LEFT(LOWER(Tabulka1[[#This Row],[Příjmení bez mezer]]),3),RIGHT(UPPER(Tabulka1[[#This Row],[Jméno bez mezer]]),2))</f>
        <v>kubRT</v>
      </c>
    </row>
    <row r="209" spans="1:9">
      <c r="A209" s="2" t="s">
        <v>503</v>
      </c>
      <c r="B209" t="s">
        <v>265</v>
      </c>
      <c r="C209" t="s">
        <v>334</v>
      </c>
      <c r="D209" t="str">
        <f>TRIM(Tabulka1[[#This Row],[Jméno]])</f>
        <v>Robert</v>
      </c>
      <c r="E209" t="str">
        <f>TRIM(Tabulka1[[#This Row],[Příjmení]])</f>
        <v>?Prochazka</v>
      </c>
      <c r="F209" s="2" t="str">
        <f>MID(Tabulka1[[#This Row],[Adresa]],1,SEARCH(",",Tabulka1[[#This Row],[Adresa]])-1)</f>
        <v>Nezvalova 287</v>
      </c>
      <c r="G209" s="2" t="str">
        <f>RIGHT(Tabulka1[[#This Row],[Adresa]],LEN(Tabulka1[[#This Row],[Adresa]])-LEN(Tabulka1[[#This Row],[Ulice]])-1)</f>
        <v>Jankov</v>
      </c>
      <c r="H209" s="2" t="str">
        <f>_xlfn.CONCAT(LOWER(Tabulka1[[#This Row],[Příjmení bez mezer]]),".",LOWER(Tabulka1[[#This Row],[Jméno bez mezer]]),"@firmaabc.cz")</f>
        <v>?prochazka.robert@firmaabc.cz</v>
      </c>
      <c r="I209" s="2" t="str">
        <f>_xlfn.CONCAT(LEFT(LOWER(Tabulka1[[#This Row],[Příjmení bez mezer]]),3),RIGHT(UPPER(Tabulka1[[#This Row],[Jméno bez mezer]]),2))</f>
        <v>?prRT</v>
      </c>
    </row>
    <row r="210" spans="1:9">
      <c r="A210" s="2" t="s">
        <v>504</v>
      </c>
      <c r="B210" t="s">
        <v>505</v>
      </c>
      <c r="C210" t="s">
        <v>506</v>
      </c>
      <c r="D210" t="str">
        <f>TRIM(Tabulka1[[#This Row],[Jméno]])</f>
        <v>Petra</v>
      </c>
      <c r="E210" t="str">
        <f>TRIM(Tabulka1[[#This Row],[Příjmení]])</f>
        <v>Capkova</v>
      </c>
      <c r="F210" s="2" t="str">
        <f>MID(Tabulka1[[#This Row],[Adresa]],1,SEARCH(",",Tabulka1[[#This Row],[Adresa]])-1)</f>
        <v>Masarykova 30</v>
      </c>
      <c r="G210" s="2" t="str">
        <f>RIGHT(Tabulka1[[#This Row],[Adresa]],LEN(Tabulka1[[#This Row],[Adresa]])-LEN(Tabulka1[[#This Row],[Ulice]])-1)</f>
        <v>Humpolec</v>
      </c>
      <c r="H210" s="2" t="str">
        <f>_xlfn.CONCAT(LOWER(Tabulka1[[#This Row],[Příjmení bez mezer]]),".",LOWER(Tabulka1[[#This Row],[Jméno bez mezer]]),"@firmaabc.cz")</f>
        <v>capkova.petra@firmaabc.cz</v>
      </c>
      <c r="I210" s="2" t="str">
        <f>_xlfn.CONCAT(LEFT(LOWER(Tabulka1[[#This Row],[Příjmení bez mezer]]),3),RIGHT(UPPER(Tabulka1[[#This Row],[Jméno bez mezer]]),2))</f>
        <v>capRA</v>
      </c>
    </row>
    <row r="211" spans="1:9">
      <c r="A211" s="2" t="s">
        <v>507</v>
      </c>
      <c r="B211" t="s">
        <v>508</v>
      </c>
      <c r="C211" t="s">
        <v>509</v>
      </c>
      <c r="D211" t="str">
        <f>TRIM(Tabulka1[[#This Row],[Jméno]])</f>
        <v>Ivan</v>
      </c>
      <c r="E211" t="str">
        <f>TRIM(Tabulka1[[#This Row],[Příjmení]])</f>
        <v>Broz</v>
      </c>
      <c r="F211" s="2" t="str">
        <f>MID(Tabulka1[[#This Row],[Adresa]],1,SEARCH(",",Tabulka1[[#This Row],[Adresa]])-1)</f>
        <v>Na Výsluní 150</v>
      </c>
      <c r="G211" s="2" t="str">
        <f>RIGHT(Tabulka1[[#This Row],[Adresa]],LEN(Tabulka1[[#This Row],[Adresa]])-LEN(Tabulka1[[#This Row],[Ulice]])-1)</f>
        <v>Jistebnice</v>
      </c>
      <c r="H211" s="2" t="str">
        <f>_xlfn.CONCAT(LOWER(Tabulka1[[#This Row],[Příjmení bez mezer]]),".",LOWER(Tabulka1[[#This Row],[Jméno bez mezer]]),"@firmaabc.cz")</f>
        <v>broz.ivan@firmaabc.cz</v>
      </c>
      <c r="I211" s="2" t="str">
        <f>_xlfn.CONCAT(LEFT(LOWER(Tabulka1[[#This Row],[Příjmení bez mezer]]),3),RIGHT(UPPER(Tabulka1[[#This Row],[Jméno bez mezer]]),2))</f>
        <v>broAN</v>
      </c>
    </row>
    <row r="212" spans="1:9">
      <c r="A212" s="2" t="s">
        <v>510</v>
      </c>
      <c r="B212" t="s">
        <v>511</v>
      </c>
      <c r="C212" t="s">
        <v>512</v>
      </c>
      <c r="D212" t="str">
        <f>TRIM(Tabulka1[[#This Row],[Jméno]])</f>
        <v>Sylvie</v>
      </c>
      <c r="E212" t="str">
        <f>TRIM(Tabulka1[[#This Row],[Příjmení]])</f>
        <v>Medkova</v>
      </c>
      <c r="F212" s="2" t="str">
        <f>MID(Tabulka1[[#This Row],[Adresa]],1,SEARCH(",",Tabulka1[[#This Row],[Adresa]])-1)</f>
        <v>Havlíčkova 1420</v>
      </c>
      <c r="G212" s="2" t="str">
        <f>RIGHT(Tabulka1[[#This Row],[Adresa]],LEN(Tabulka1[[#This Row],[Adresa]])-LEN(Tabulka1[[#This Row],[Ulice]])-1)</f>
        <v>Petipsy</v>
      </c>
      <c r="H212" s="2" t="str">
        <f>_xlfn.CONCAT(LOWER(Tabulka1[[#This Row],[Příjmení bez mezer]]),".",LOWER(Tabulka1[[#This Row],[Jméno bez mezer]]),"@firmaabc.cz")</f>
        <v>medkova.sylvie@firmaabc.cz</v>
      </c>
      <c r="I212" s="2" t="str">
        <f>_xlfn.CONCAT(LEFT(LOWER(Tabulka1[[#This Row],[Příjmení bez mezer]]),3),RIGHT(UPPER(Tabulka1[[#This Row],[Jméno bez mezer]]),2))</f>
        <v>medIE</v>
      </c>
    </row>
    <row r="213" spans="1:9">
      <c r="A213" s="2" t="s">
        <v>513</v>
      </c>
      <c r="B213" t="s">
        <v>442</v>
      </c>
      <c r="C213" t="s">
        <v>514</v>
      </c>
      <c r="D213" t="str">
        <f>TRIM(Tabulka1[[#This Row],[Jméno]])</f>
        <v>Ludek</v>
      </c>
      <c r="E213" t="str">
        <f>TRIM(Tabulka1[[#This Row],[Příjmení]])</f>
        <v>Spevacek</v>
      </c>
      <c r="F213" s="2" t="str">
        <f>MID(Tabulka1[[#This Row],[Adresa]],1,SEARCH(",",Tabulka1[[#This Row],[Adresa]])-1)</f>
        <v>Družstevní 674</v>
      </c>
      <c r="G213" s="2" t="str">
        <f>RIGHT(Tabulka1[[#This Row],[Adresa]],LEN(Tabulka1[[#This Row],[Adresa]])-LEN(Tabulka1[[#This Row],[Ulice]])-1)</f>
        <v>Zbiroh</v>
      </c>
      <c r="H213" s="2" t="str">
        <f>_xlfn.CONCAT(LOWER(Tabulka1[[#This Row],[Příjmení bez mezer]]),".",LOWER(Tabulka1[[#This Row],[Jméno bez mezer]]),"@firmaabc.cz")</f>
        <v>spevacek.ludek@firmaabc.cz</v>
      </c>
      <c r="I213" s="2" t="str">
        <f>_xlfn.CONCAT(LEFT(LOWER(Tabulka1[[#This Row],[Příjmení bez mezer]]),3),RIGHT(UPPER(Tabulka1[[#This Row],[Jméno bez mezer]]),2))</f>
        <v>speEK</v>
      </c>
    </row>
    <row r="214" spans="1:9">
      <c r="A214" s="2" t="s">
        <v>515</v>
      </c>
      <c r="B214" t="s">
        <v>412</v>
      </c>
      <c r="C214" t="s">
        <v>168</v>
      </c>
      <c r="D214" t="str">
        <f>TRIM(Tabulka1[[#This Row],[Jméno]])</f>
        <v>Michaela</v>
      </c>
      <c r="E214" t="str">
        <f>TRIM(Tabulka1[[#This Row],[Příjmení]])</f>
        <v>Soukupova</v>
      </c>
      <c r="F214" s="2" t="str">
        <f>MID(Tabulka1[[#This Row],[Adresa]],1,SEARCH(",",Tabulka1[[#This Row],[Adresa]])-1)</f>
        <v>U divadla 612</v>
      </c>
      <c r="G214" s="2" t="str">
        <f>RIGHT(Tabulka1[[#This Row],[Adresa]],LEN(Tabulka1[[#This Row],[Adresa]])-LEN(Tabulka1[[#This Row],[Ulice]])-1)</f>
        <v>Hrobce</v>
      </c>
      <c r="H214" s="2" t="str">
        <f>_xlfn.CONCAT(LOWER(Tabulka1[[#This Row],[Příjmení bez mezer]]),".",LOWER(Tabulka1[[#This Row],[Jméno bez mezer]]),"@firmaabc.cz")</f>
        <v>soukupova.michaela@firmaabc.cz</v>
      </c>
      <c r="I214" s="2" t="str">
        <f>_xlfn.CONCAT(LEFT(LOWER(Tabulka1[[#This Row],[Příjmení bez mezer]]),3),RIGHT(UPPER(Tabulka1[[#This Row],[Jméno bez mezer]]),2))</f>
        <v>souLA</v>
      </c>
    </row>
    <row r="215" spans="1:9">
      <c r="A215" s="2" t="s">
        <v>516</v>
      </c>
      <c r="B215" t="s">
        <v>93</v>
      </c>
      <c r="C215" t="s">
        <v>517</v>
      </c>
      <c r="D215" t="str">
        <f>TRIM(Tabulka1[[#This Row],[Jméno]])</f>
        <v>Vera</v>
      </c>
      <c r="E215" t="str">
        <f>TRIM(Tabulka1[[#This Row],[Příjmení]])</f>
        <v>Kamenikova</v>
      </c>
      <c r="F215" s="2" t="str">
        <f>MID(Tabulka1[[#This Row],[Adresa]],1,SEARCH(",",Tabulka1[[#This Row],[Adresa]])-1)</f>
        <v>K Pazderně 32</v>
      </c>
      <c r="G215" s="2" t="str">
        <f>RIGHT(Tabulka1[[#This Row],[Adresa]],LEN(Tabulka1[[#This Row],[Adresa]])-LEN(Tabulka1[[#This Row],[Ulice]])-1)</f>
        <v>Vlašim</v>
      </c>
      <c r="H215" s="2" t="str">
        <f>_xlfn.CONCAT(LOWER(Tabulka1[[#This Row],[Příjmení bez mezer]]),".",LOWER(Tabulka1[[#This Row],[Jméno bez mezer]]),"@firmaabc.cz")</f>
        <v>kamenikova.vera@firmaabc.cz</v>
      </c>
      <c r="I215" s="2" t="str">
        <f>_xlfn.CONCAT(LEFT(LOWER(Tabulka1[[#This Row],[Příjmení bez mezer]]),3),RIGHT(UPPER(Tabulka1[[#This Row],[Jméno bez mezer]]),2))</f>
        <v>kamRA</v>
      </c>
    </row>
    <row r="216" spans="1:9">
      <c r="A216" s="2" t="s">
        <v>518</v>
      </c>
      <c r="B216" t="s">
        <v>17</v>
      </c>
      <c r="C216" t="s">
        <v>519</v>
      </c>
      <c r="D216" t="str">
        <f>TRIM(Tabulka1[[#This Row],[Jméno]])</f>
        <v>Vladimir</v>
      </c>
      <c r="E216" t="str">
        <f>TRIM(Tabulka1[[#This Row],[Příjmení]])</f>
        <v>Slavik</v>
      </c>
      <c r="F216" s="2" t="str">
        <f>MID(Tabulka1[[#This Row],[Adresa]],1,SEARCH(",",Tabulka1[[#This Row],[Adresa]])-1)</f>
        <v>Americká 1270</v>
      </c>
      <c r="G216" s="2" t="str">
        <f>RIGHT(Tabulka1[[#This Row],[Adresa]],LEN(Tabulka1[[#This Row],[Adresa]])-LEN(Tabulka1[[#This Row],[Ulice]])-1)</f>
        <v>Kdyne</v>
      </c>
      <c r="H216" s="2" t="str">
        <f>_xlfn.CONCAT(LOWER(Tabulka1[[#This Row],[Příjmení bez mezer]]),".",LOWER(Tabulka1[[#This Row],[Jméno bez mezer]]),"@firmaabc.cz")</f>
        <v>slavik.vladimir@firmaabc.cz</v>
      </c>
      <c r="I216" s="2" t="str">
        <f>_xlfn.CONCAT(LEFT(LOWER(Tabulka1[[#This Row],[Příjmení bez mezer]]),3),RIGHT(UPPER(Tabulka1[[#This Row],[Jméno bez mezer]]),2))</f>
        <v>slaIR</v>
      </c>
    </row>
    <row r="217" spans="1:9">
      <c r="A217" s="2" t="s">
        <v>520</v>
      </c>
      <c r="B217" t="s">
        <v>521</v>
      </c>
      <c r="C217" t="s">
        <v>522</v>
      </c>
      <c r="D217" t="str">
        <f>TRIM(Tabulka1[[#This Row],[Jméno]])</f>
        <v>Eliska</v>
      </c>
      <c r="E217" t="str">
        <f>TRIM(Tabulka1[[#This Row],[Příjmení]])</f>
        <v>Frantova</v>
      </c>
      <c r="F217" s="2" t="str">
        <f>MID(Tabulka1[[#This Row],[Adresa]],1,SEARCH(",",Tabulka1[[#This Row],[Adresa]])-1)</f>
        <v>Sokolovská 28</v>
      </c>
      <c r="G217" s="2" t="str">
        <f>RIGHT(Tabulka1[[#This Row],[Adresa]],LEN(Tabulka1[[#This Row],[Adresa]])-LEN(Tabulka1[[#This Row],[Ulice]])-1)</f>
        <v>Bruntál 1</v>
      </c>
      <c r="H217" s="2" t="str">
        <f>_xlfn.CONCAT(LOWER(Tabulka1[[#This Row],[Příjmení bez mezer]]),".",LOWER(Tabulka1[[#This Row],[Jméno bez mezer]]),"@firmaabc.cz")</f>
        <v>frantova.eliska@firmaabc.cz</v>
      </c>
      <c r="I217" s="2" t="str">
        <f>_xlfn.CONCAT(LEFT(LOWER(Tabulka1[[#This Row],[Příjmení bez mezer]]),3),RIGHT(UPPER(Tabulka1[[#This Row],[Jméno bez mezer]]),2))</f>
        <v>fraKA</v>
      </c>
    </row>
    <row r="218" spans="1:9">
      <c r="A218" s="2" t="s">
        <v>523</v>
      </c>
      <c r="B218" t="s">
        <v>326</v>
      </c>
      <c r="C218" t="s">
        <v>524</v>
      </c>
      <c r="D218" t="str">
        <f>TRIM(Tabulka1[[#This Row],[Jméno]])</f>
        <v>Milan</v>
      </c>
      <c r="E218" t="str">
        <f>TRIM(Tabulka1[[#This Row],[Příjmení]])</f>
        <v>Hartmann</v>
      </c>
      <c r="F218" s="2" t="str">
        <f>MID(Tabulka1[[#This Row],[Adresa]],1,SEARCH(",",Tabulka1[[#This Row],[Adresa]])-1)</f>
        <v>Sokolská 259</v>
      </c>
      <c r="G218" s="2" t="str">
        <f>RIGHT(Tabulka1[[#This Row],[Adresa]],LEN(Tabulka1[[#This Row],[Adresa]])-LEN(Tabulka1[[#This Row],[Ulice]])-1)</f>
        <v>Bobnice</v>
      </c>
      <c r="H218" s="2" t="str">
        <f>_xlfn.CONCAT(LOWER(Tabulka1[[#This Row],[Příjmení bez mezer]]),".",LOWER(Tabulka1[[#This Row],[Jméno bez mezer]]),"@firmaabc.cz")</f>
        <v>hartmann.milan@firmaabc.cz</v>
      </c>
      <c r="I218" s="2" t="str">
        <f>_xlfn.CONCAT(LEFT(LOWER(Tabulka1[[#This Row],[Příjmení bez mezer]]),3),RIGHT(UPPER(Tabulka1[[#This Row],[Jméno bez mezer]]),2))</f>
        <v>harAN</v>
      </c>
    </row>
    <row r="219" spans="1:9">
      <c r="A219" s="2" t="s">
        <v>525</v>
      </c>
      <c r="B219" t="s">
        <v>526</v>
      </c>
      <c r="C219" t="s">
        <v>527</v>
      </c>
      <c r="D219" t="str">
        <f>TRIM(Tabulka1[[#This Row],[Jméno]])</f>
        <v>Christian</v>
      </c>
      <c r="E219" t="str">
        <f>TRIM(Tabulka1[[#This Row],[Příjmení]])</f>
        <v>Sigut</v>
      </c>
      <c r="F219" s="2" t="str">
        <f>MID(Tabulka1[[#This Row],[Adresa]],1,SEARCH(",",Tabulka1[[#This Row],[Adresa]])-1)</f>
        <v>Družstevní 496</v>
      </c>
      <c r="G219" s="2" t="str">
        <f>RIGHT(Tabulka1[[#This Row],[Adresa]],LEN(Tabulka1[[#This Row],[Adresa]])-LEN(Tabulka1[[#This Row],[Ulice]])-1)</f>
        <v>Brasy 1</v>
      </c>
      <c r="H219" s="2" t="str">
        <f>_xlfn.CONCAT(LOWER(Tabulka1[[#This Row],[Příjmení bez mezer]]),".",LOWER(Tabulka1[[#This Row],[Jméno bez mezer]]),"@firmaabc.cz")</f>
        <v>sigut.christian@firmaabc.cz</v>
      </c>
      <c r="I219" s="2" t="str">
        <f>_xlfn.CONCAT(LEFT(LOWER(Tabulka1[[#This Row],[Příjmení bez mezer]]),3),RIGHT(UPPER(Tabulka1[[#This Row],[Jméno bez mezer]]),2))</f>
        <v>sigAN</v>
      </c>
    </row>
    <row r="220" spans="1:9">
      <c r="A220" s="2" t="s">
        <v>528</v>
      </c>
      <c r="B220" t="s">
        <v>529</v>
      </c>
      <c r="C220" t="s">
        <v>482</v>
      </c>
      <c r="D220" t="str">
        <f>TRIM(Tabulka1[[#This Row],[Jméno]])</f>
        <v>Vanda</v>
      </c>
      <c r="E220" t="str">
        <f>TRIM(Tabulka1[[#This Row],[Příjmení]])</f>
        <v>Prochazkova</v>
      </c>
      <c r="F220" s="2" t="str">
        <f>MID(Tabulka1[[#This Row],[Adresa]],1,SEARCH(",",Tabulka1[[#This Row],[Adresa]])-1)</f>
        <v>Školní 1590</v>
      </c>
      <c r="G220" s="2" t="str">
        <f>RIGHT(Tabulka1[[#This Row],[Adresa]],LEN(Tabulka1[[#This Row],[Adresa]])-LEN(Tabulka1[[#This Row],[Ulice]])-1)</f>
        <v>Brasy 1</v>
      </c>
      <c r="H220" s="2" t="str">
        <f>_xlfn.CONCAT(LOWER(Tabulka1[[#This Row],[Příjmení bez mezer]]),".",LOWER(Tabulka1[[#This Row],[Jméno bez mezer]]),"@firmaabc.cz")</f>
        <v>prochazkova.vanda@firmaabc.cz</v>
      </c>
      <c r="I220" s="2" t="str">
        <f>_xlfn.CONCAT(LEFT(LOWER(Tabulka1[[#This Row],[Příjmení bez mezer]]),3),RIGHT(UPPER(Tabulka1[[#This Row],[Jméno bez mezer]]),2))</f>
        <v>proDA</v>
      </c>
    </row>
    <row r="221" spans="1:9" ht="30">
      <c r="A221" s="2" t="s">
        <v>530</v>
      </c>
      <c r="B221" t="s">
        <v>255</v>
      </c>
      <c r="C221" t="s">
        <v>531</v>
      </c>
      <c r="D221" t="str">
        <f>TRIM(Tabulka1[[#This Row],[Jméno]])</f>
        <v>Eva</v>
      </c>
      <c r="E221" t="str">
        <f>TRIM(Tabulka1[[#This Row],[Příjmení]])</f>
        <v>Simkova</v>
      </c>
      <c r="F221" s="2" t="str">
        <f>MID(Tabulka1[[#This Row],[Adresa]],1,SEARCH(",",Tabulka1[[#This Row],[Adresa]])-1)</f>
        <v>Větrník 158</v>
      </c>
      <c r="G221" s="2" t="str">
        <f>RIGHT(Tabulka1[[#This Row],[Adresa]],LEN(Tabulka1[[#This Row],[Adresa]])-LEN(Tabulka1[[#This Row],[Ulice]])-1)</f>
        <v>Studnice u Náchoda</v>
      </c>
      <c r="H221" s="2" t="str">
        <f>_xlfn.CONCAT(LOWER(Tabulka1[[#This Row],[Příjmení bez mezer]]),".",LOWER(Tabulka1[[#This Row],[Jméno bez mezer]]),"@firmaabc.cz")</f>
        <v>simkova.eva@firmaabc.cz</v>
      </c>
      <c r="I221" s="2" t="str">
        <f>_xlfn.CONCAT(LEFT(LOWER(Tabulka1[[#This Row],[Příjmení bez mezer]]),3),RIGHT(UPPER(Tabulka1[[#This Row],[Jméno bez mezer]]),2))</f>
        <v>simVA</v>
      </c>
    </row>
    <row r="222" spans="1:9">
      <c r="A222" s="2" t="s">
        <v>532</v>
      </c>
      <c r="B222" t="s">
        <v>66</v>
      </c>
      <c r="C222" t="s">
        <v>533</v>
      </c>
      <c r="D222" t="str">
        <f>TRIM(Tabulka1[[#This Row],[Jméno]])</f>
        <v>Karel</v>
      </c>
      <c r="E222" t="str">
        <f>TRIM(Tabulka1[[#This Row],[Příjmení]])</f>
        <v>Bohata</v>
      </c>
      <c r="F222" s="2" t="str">
        <f>MID(Tabulka1[[#This Row],[Adresa]],1,SEARCH(",",Tabulka1[[#This Row],[Adresa]])-1)</f>
        <v>Alšova 1847</v>
      </c>
      <c r="G222" s="2" t="str">
        <f>RIGHT(Tabulka1[[#This Row],[Adresa]],LEN(Tabulka1[[#This Row],[Adresa]])-LEN(Tabulka1[[#This Row],[Ulice]])-1)</f>
        <v>Vráž u Písku</v>
      </c>
      <c r="H222" s="2" t="str">
        <f>_xlfn.CONCAT(LOWER(Tabulka1[[#This Row],[Příjmení bez mezer]]),".",LOWER(Tabulka1[[#This Row],[Jméno bez mezer]]),"@firmaabc.cz")</f>
        <v>bohata.karel@firmaabc.cz</v>
      </c>
      <c r="I222" s="2" t="str">
        <f>_xlfn.CONCAT(LEFT(LOWER(Tabulka1[[#This Row],[Příjmení bez mezer]]),3),RIGHT(UPPER(Tabulka1[[#This Row],[Jméno bez mezer]]),2))</f>
        <v>bohEL</v>
      </c>
    </row>
    <row r="223" spans="1:9">
      <c r="A223" s="2" t="s">
        <v>534</v>
      </c>
      <c r="B223" t="s">
        <v>521</v>
      </c>
      <c r="C223" t="s">
        <v>535</v>
      </c>
      <c r="D223" t="str">
        <f>TRIM(Tabulka1[[#This Row],[Jméno]])</f>
        <v>Eliska</v>
      </c>
      <c r="E223" t="str">
        <f>TRIM(Tabulka1[[#This Row],[Příjmení]])</f>
        <v>Hrbackova</v>
      </c>
      <c r="F223" s="2" t="str">
        <f>MID(Tabulka1[[#This Row],[Adresa]],1,SEARCH(",",Tabulka1[[#This Row],[Adresa]])-1)</f>
        <v>V Zahradách 1125</v>
      </c>
      <c r="G223" s="2" t="str">
        <f>RIGHT(Tabulka1[[#This Row],[Adresa]],LEN(Tabulka1[[#This Row],[Adresa]])-LEN(Tabulka1[[#This Row],[Ulice]])-1)</f>
        <v>Prerov 2</v>
      </c>
      <c r="H223" s="2" t="str">
        <f>_xlfn.CONCAT(LOWER(Tabulka1[[#This Row],[Příjmení bez mezer]]),".",LOWER(Tabulka1[[#This Row],[Jméno bez mezer]]),"@firmaabc.cz")</f>
        <v>hrbackova.eliska@firmaabc.cz</v>
      </c>
      <c r="I223" s="2" t="str">
        <f>_xlfn.CONCAT(LEFT(LOWER(Tabulka1[[#This Row],[Příjmení bez mezer]]),3),RIGHT(UPPER(Tabulka1[[#This Row],[Jméno bez mezer]]),2))</f>
        <v>hrbKA</v>
      </c>
    </row>
    <row r="224" spans="1:9">
      <c r="A224" s="2" t="s">
        <v>536</v>
      </c>
      <c r="B224" t="s">
        <v>150</v>
      </c>
      <c r="C224" t="s">
        <v>537</v>
      </c>
      <c r="D224" t="str">
        <f>TRIM(Tabulka1[[#This Row],[Jméno]])</f>
        <v>Josef</v>
      </c>
      <c r="E224" t="str">
        <f>TRIM(Tabulka1[[#This Row],[Příjmení]])</f>
        <v>Moravec</v>
      </c>
      <c r="F224" s="2" t="str">
        <f>MID(Tabulka1[[#This Row],[Adresa]],1,SEARCH(",",Tabulka1[[#This Row],[Adresa]])-1)</f>
        <v>Fibichova 985</v>
      </c>
      <c r="G224" s="2" t="str">
        <f>RIGHT(Tabulka1[[#This Row],[Adresa]],LEN(Tabulka1[[#This Row],[Adresa]])-LEN(Tabulka1[[#This Row],[Ulice]])-1)</f>
        <v>Libechov</v>
      </c>
      <c r="H224" s="2" t="str">
        <f>_xlfn.CONCAT(LOWER(Tabulka1[[#This Row],[Příjmení bez mezer]]),".",LOWER(Tabulka1[[#This Row],[Jméno bez mezer]]),"@firmaabc.cz")</f>
        <v>moravec.josef@firmaabc.cz</v>
      </c>
      <c r="I224" s="2" t="str">
        <f>_xlfn.CONCAT(LEFT(LOWER(Tabulka1[[#This Row],[Příjmení bez mezer]]),3),RIGHT(UPPER(Tabulka1[[#This Row],[Jméno bez mezer]]),2))</f>
        <v>morEF</v>
      </c>
    </row>
    <row r="225" spans="1:9">
      <c r="A225" s="2" t="s">
        <v>538</v>
      </c>
      <c r="B225" t="s">
        <v>270</v>
      </c>
      <c r="C225" t="s">
        <v>539</v>
      </c>
      <c r="D225" t="str">
        <f>TRIM(Tabulka1[[#This Row],[Jméno]])</f>
        <v>Anna</v>
      </c>
      <c r="E225" t="str">
        <f>TRIM(Tabulka1[[#This Row],[Příjmení]])</f>
        <v>Kopecna</v>
      </c>
      <c r="F225" s="2" t="str">
        <f>MID(Tabulka1[[#This Row],[Adresa]],1,SEARCH(",",Tabulka1[[#This Row],[Adresa]])-1)</f>
        <v>Větrná 279</v>
      </c>
      <c r="G225" s="2" t="str">
        <f>RIGHT(Tabulka1[[#This Row],[Adresa]],LEN(Tabulka1[[#This Row],[Adresa]])-LEN(Tabulka1[[#This Row],[Ulice]])-1)</f>
        <v>Slavkov u Brna</v>
      </c>
      <c r="H225" s="2" t="str">
        <f>_xlfn.CONCAT(LOWER(Tabulka1[[#This Row],[Příjmení bez mezer]]),".",LOWER(Tabulka1[[#This Row],[Jméno bez mezer]]),"@firmaabc.cz")</f>
        <v>kopecna.anna@firmaabc.cz</v>
      </c>
      <c r="I225" s="2" t="str">
        <f>_xlfn.CONCAT(LEFT(LOWER(Tabulka1[[#This Row],[Příjmení bez mezer]]),3),RIGHT(UPPER(Tabulka1[[#This Row],[Jméno bez mezer]]),2))</f>
        <v>kopNA</v>
      </c>
    </row>
    <row r="226" spans="1:9">
      <c r="A226" s="2" t="s">
        <v>540</v>
      </c>
      <c r="B226" t="s">
        <v>541</v>
      </c>
      <c r="C226" t="s">
        <v>542</v>
      </c>
      <c r="D226" t="str">
        <f>TRIM(Tabulka1[[#This Row],[Jméno]])</f>
        <v>Irena</v>
      </c>
      <c r="E226" t="str">
        <f>TRIM(Tabulka1[[#This Row],[Příjmení]])</f>
        <v>Honsova</v>
      </c>
      <c r="F226" s="2" t="str">
        <f>MID(Tabulka1[[#This Row],[Adresa]],1,SEARCH(",",Tabulka1[[#This Row],[Adresa]])-1)</f>
        <v>Stožická 1764</v>
      </c>
      <c r="G226" s="2" t="str">
        <f>RIGHT(Tabulka1[[#This Row],[Adresa]],LEN(Tabulka1[[#This Row],[Adresa]])-LEN(Tabulka1[[#This Row],[Ulice]])-1)</f>
        <v>Vodnany</v>
      </c>
      <c r="H226" s="2" t="str">
        <f>_xlfn.CONCAT(LOWER(Tabulka1[[#This Row],[Příjmení bez mezer]]),".",LOWER(Tabulka1[[#This Row],[Jméno bez mezer]]),"@firmaabc.cz")</f>
        <v>honsova.irena@firmaabc.cz</v>
      </c>
      <c r="I226" s="2" t="str">
        <f>_xlfn.CONCAT(LEFT(LOWER(Tabulka1[[#This Row],[Příjmení bez mezer]]),3),RIGHT(UPPER(Tabulka1[[#This Row],[Jméno bez mezer]]),2))</f>
        <v>honNA</v>
      </c>
    </row>
    <row r="227" spans="1:9" ht="30">
      <c r="A227" s="2" t="s">
        <v>543</v>
      </c>
      <c r="B227" t="s">
        <v>544</v>
      </c>
      <c r="C227" t="s">
        <v>545</v>
      </c>
      <c r="D227" t="str">
        <f>TRIM(Tabulka1[[#This Row],[Jméno]])</f>
        <v>Vlasta</v>
      </c>
      <c r="E227" t="str">
        <f>TRIM(Tabulka1[[#This Row],[Příjmení]])</f>
        <v>Hamplova</v>
      </c>
      <c r="F227" s="2" t="str">
        <f>MID(Tabulka1[[#This Row],[Adresa]],1,SEARCH(",",Tabulka1[[#This Row],[Adresa]])-1)</f>
        <v>Köhlerova 1849</v>
      </c>
      <c r="G227" s="2" t="str">
        <f>RIGHT(Tabulka1[[#This Row],[Adresa]],LEN(Tabulka1[[#This Row],[Adresa]])-LEN(Tabulka1[[#This Row],[Ulice]])-1)</f>
        <v>Vlkoš u Kyjova</v>
      </c>
      <c r="H227" s="2" t="str">
        <f>_xlfn.CONCAT(LOWER(Tabulka1[[#This Row],[Příjmení bez mezer]]),".",LOWER(Tabulka1[[#This Row],[Jméno bez mezer]]),"@firmaabc.cz")</f>
        <v>hamplova.vlasta@firmaabc.cz</v>
      </c>
      <c r="I227" s="2" t="str">
        <f>_xlfn.CONCAT(LEFT(LOWER(Tabulka1[[#This Row],[Příjmení bez mezer]]),3),RIGHT(UPPER(Tabulka1[[#This Row],[Jméno bez mezer]]),2))</f>
        <v>hamTA</v>
      </c>
    </row>
    <row r="228" spans="1:9" ht="30">
      <c r="A228" s="2" t="s">
        <v>546</v>
      </c>
      <c r="B228" t="s">
        <v>41</v>
      </c>
      <c r="C228" t="s">
        <v>143</v>
      </c>
      <c r="D228" t="str">
        <f>TRIM(Tabulka1[[#This Row],[Jméno]])</f>
        <v>Ivana</v>
      </c>
      <c r="E228" t="str">
        <f>TRIM(Tabulka1[[#This Row],[Příjmení]])</f>
        <v>Kubatova</v>
      </c>
      <c r="F228" s="2" t="str">
        <f>MID(Tabulka1[[#This Row],[Adresa]],1,SEARCH(",",Tabulka1[[#This Row],[Adresa]])-1)</f>
        <v>Kovářská 1531</v>
      </c>
      <c r="G228" s="2" t="str">
        <f>RIGHT(Tabulka1[[#This Row],[Adresa]],LEN(Tabulka1[[#This Row],[Adresa]])-LEN(Tabulka1[[#This Row],[Ulice]])-1)</f>
        <v>Ústí nad Labem 2</v>
      </c>
      <c r="H228" s="2" t="str">
        <f>_xlfn.CONCAT(LOWER(Tabulka1[[#This Row],[Příjmení bez mezer]]),".",LOWER(Tabulka1[[#This Row],[Jméno bez mezer]]),"@firmaabc.cz")</f>
        <v>kubatova.ivana@firmaabc.cz</v>
      </c>
      <c r="I228" s="2" t="str">
        <f>_xlfn.CONCAT(LEFT(LOWER(Tabulka1[[#This Row],[Příjmení bez mezer]]),3),RIGHT(UPPER(Tabulka1[[#This Row],[Jméno bez mezer]]),2))</f>
        <v>kubNA</v>
      </c>
    </row>
    <row r="229" spans="1:9" ht="30">
      <c r="A229" s="2" t="s">
        <v>547</v>
      </c>
      <c r="B229" t="s">
        <v>548</v>
      </c>
      <c r="C229" t="s">
        <v>549</v>
      </c>
      <c r="D229" t="str">
        <f>TRIM(Tabulka1[[#This Row],[Jméno]])</f>
        <v>Ladislav</v>
      </c>
      <c r="E229" t="str">
        <f>TRIM(Tabulka1[[#This Row],[Příjmení]])</f>
        <v>Tomes</v>
      </c>
      <c r="F229" s="2" t="str">
        <f>MID(Tabulka1[[#This Row],[Adresa]],1,SEARCH(",",Tabulka1[[#This Row],[Adresa]])-1)</f>
        <v>Čechova 997</v>
      </c>
      <c r="G229" s="2" t="str">
        <f>RIGHT(Tabulka1[[#This Row],[Adresa]],LEN(Tabulka1[[#This Row],[Adresa]])-LEN(Tabulka1[[#This Row],[Ulice]])-1)</f>
        <v>Miretice u Hlinska</v>
      </c>
      <c r="H229" s="2" t="str">
        <f>_xlfn.CONCAT(LOWER(Tabulka1[[#This Row],[Příjmení bez mezer]]),".",LOWER(Tabulka1[[#This Row],[Jméno bez mezer]]),"@firmaabc.cz")</f>
        <v>tomes.ladislav@firmaabc.cz</v>
      </c>
      <c r="I229" s="2" t="str">
        <f>_xlfn.CONCAT(LEFT(LOWER(Tabulka1[[#This Row],[Příjmení bez mezer]]),3),RIGHT(UPPER(Tabulka1[[#This Row],[Jméno bez mezer]]),2))</f>
        <v>tomAV</v>
      </c>
    </row>
    <row r="230" spans="1:9" ht="30">
      <c r="A230" s="2" t="s">
        <v>550</v>
      </c>
      <c r="B230" t="s">
        <v>14</v>
      </c>
      <c r="C230" t="s">
        <v>551</v>
      </c>
      <c r="D230" t="str">
        <f>TRIM(Tabulka1[[#This Row],[Jméno]])</f>
        <v>Martina</v>
      </c>
      <c r="E230" t="str">
        <f>TRIM(Tabulka1[[#This Row],[Příjmení]])</f>
        <v>Sedova</v>
      </c>
      <c r="F230" s="2" t="str">
        <f>MID(Tabulka1[[#This Row],[Adresa]],1,SEARCH(",",Tabulka1[[#This Row],[Adresa]])-1)</f>
        <v>V Zahradách 1589</v>
      </c>
      <c r="G230" s="2" t="str">
        <f>RIGHT(Tabulka1[[#This Row],[Adresa]],LEN(Tabulka1[[#This Row],[Adresa]])-LEN(Tabulka1[[#This Row],[Ulice]])-1)</f>
        <v>Brodek u Prerova</v>
      </c>
      <c r="H230" s="2" t="str">
        <f>_xlfn.CONCAT(LOWER(Tabulka1[[#This Row],[Příjmení bez mezer]]),".",LOWER(Tabulka1[[#This Row],[Jméno bez mezer]]),"@firmaabc.cz")</f>
        <v>sedova.martina@firmaabc.cz</v>
      </c>
      <c r="I230" s="2" t="str">
        <f>_xlfn.CONCAT(LEFT(LOWER(Tabulka1[[#This Row],[Příjmení bez mezer]]),3),RIGHT(UPPER(Tabulka1[[#This Row],[Jméno bez mezer]]),2))</f>
        <v>sedNA</v>
      </c>
    </row>
    <row r="231" spans="1:9">
      <c r="A231" s="2" t="s">
        <v>552</v>
      </c>
      <c r="B231" t="s">
        <v>180</v>
      </c>
      <c r="C231" t="s">
        <v>553</v>
      </c>
      <c r="D231" t="str">
        <f>TRIM(Tabulka1[[#This Row],[Jméno]])</f>
        <v>Jaroslav</v>
      </c>
      <c r="E231" t="str">
        <f>TRIM(Tabulka1[[#This Row],[Příjmení]])</f>
        <v>Skrivanek</v>
      </c>
      <c r="F231" s="2" t="str">
        <f>MID(Tabulka1[[#This Row],[Adresa]],1,SEARCH(",",Tabulka1[[#This Row],[Adresa]])-1)</f>
        <v>Pivovarská 607</v>
      </c>
      <c r="G231" s="2" t="str">
        <f>RIGHT(Tabulka1[[#This Row],[Adresa]],LEN(Tabulka1[[#This Row],[Adresa]])-LEN(Tabulka1[[#This Row],[Ulice]])-1)</f>
        <v>Toužim</v>
      </c>
      <c r="H231" s="2" t="str">
        <f>_xlfn.CONCAT(LOWER(Tabulka1[[#This Row],[Příjmení bez mezer]]),".",LOWER(Tabulka1[[#This Row],[Jméno bez mezer]]),"@firmaabc.cz")</f>
        <v>skrivanek.jaroslav@firmaabc.cz</v>
      </c>
      <c r="I231" s="2" t="str">
        <f>_xlfn.CONCAT(LEFT(LOWER(Tabulka1[[#This Row],[Příjmení bez mezer]]),3),RIGHT(UPPER(Tabulka1[[#This Row],[Jméno bez mezer]]),2))</f>
        <v>skrAV</v>
      </c>
    </row>
    <row r="232" spans="1:9">
      <c r="A232" s="2" t="s">
        <v>554</v>
      </c>
      <c r="B232" t="s">
        <v>289</v>
      </c>
      <c r="C232" t="s">
        <v>555</v>
      </c>
      <c r="D232" t="str">
        <f>TRIM(Tabulka1[[#This Row],[Jméno]])</f>
        <v>Petr</v>
      </c>
      <c r="E232" t="str">
        <f>TRIM(Tabulka1[[#This Row],[Příjmení]])</f>
        <v>Grunt</v>
      </c>
      <c r="F232" s="2" t="str">
        <f>MID(Tabulka1[[#This Row],[Adresa]],1,SEARCH(",",Tabulka1[[#This Row],[Adresa]])-1)</f>
        <v>Sokolská 1373</v>
      </c>
      <c r="G232" s="2" t="str">
        <f>RIGHT(Tabulka1[[#This Row],[Adresa]],LEN(Tabulka1[[#This Row],[Adresa]])-LEN(Tabulka1[[#This Row],[Ulice]])-1)</f>
        <v>Lesonice</v>
      </c>
      <c r="H232" s="2" t="str">
        <f>_xlfn.CONCAT(LOWER(Tabulka1[[#This Row],[Příjmení bez mezer]]),".",LOWER(Tabulka1[[#This Row],[Jméno bez mezer]]),"@firmaabc.cz")</f>
        <v>grunt.petr@firmaabc.cz</v>
      </c>
      <c r="I232" s="2" t="str">
        <f>_xlfn.CONCAT(LEFT(LOWER(Tabulka1[[#This Row],[Příjmení bez mezer]]),3),RIGHT(UPPER(Tabulka1[[#This Row],[Jméno bez mezer]]),2))</f>
        <v>gruTR</v>
      </c>
    </row>
    <row r="233" spans="1:9">
      <c r="A233" s="2" t="s">
        <v>556</v>
      </c>
      <c r="B233" t="s">
        <v>147</v>
      </c>
      <c r="C233" t="s">
        <v>557</v>
      </c>
      <c r="D233" t="str">
        <f>TRIM(Tabulka1[[#This Row],[Jméno]])</f>
        <v>Hana</v>
      </c>
      <c r="E233" t="str">
        <f>TRIM(Tabulka1[[#This Row],[Příjmení]])</f>
        <v>Janouskova</v>
      </c>
      <c r="F233" s="2" t="str">
        <f>MID(Tabulka1[[#This Row],[Adresa]],1,SEARCH(",",Tabulka1[[#This Row],[Adresa]])-1)</f>
        <v>Havlíčkova 85</v>
      </c>
      <c r="G233" s="2" t="str">
        <f>RIGHT(Tabulka1[[#This Row],[Adresa]],LEN(Tabulka1[[#This Row],[Adresa]])-LEN(Tabulka1[[#This Row],[Ulice]])-1)</f>
        <v>Kacice</v>
      </c>
      <c r="H233" s="2" t="str">
        <f>_xlfn.CONCAT(LOWER(Tabulka1[[#This Row],[Příjmení bez mezer]]),".",LOWER(Tabulka1[[#This Row],[Jméno bez mezer]]),"@firmaabc.cz")</f>
        <v>janouskova.hana@firmaabc.cz</v>
      </c>
      <c r="I233" s="2" t="str">
        <f>_xlfn.CONCAT(LEFT(LOWER(Tabulka1[[#This Row],[Příjmení bez mezer]]),3),RIGHT(UPPER(Tabulka1[[#This Row],[Jméno bez mezer]]),2))</f>
        <v>janNA</v>
      </c>
    </row>
    <row r="234" spans="1:9">
      <c r="A234" s="2" t="s">
        <v>558</v>
      </c>
      <c r="B234" t="s">
        <v>98</v>
      </c>
      <c r="C234" t="s">
        <v>559</v>
      </c>
      <c r="D234" t="str">
        <f>TRIM(Tabulka1[[#This Row],[Jméno]])</f>
        <v>Lukas</v>
      </c>
      <c r="E234" t="str">
        <f>TRIM(Tabulka1[[#This Row],[Příjmení]])</f>
        <v>Kabelac</v>
      </c>
      <c r="F234" s="2" t="str">
        <f>MID(Tabulka1[[#This Row],[Adresa]],1,SEARCH(",",Tabulka1[[#This Row],[Adresa]])-1)</f>
        <v>Za Školou 677</v>
      </c>
      <c r="G234" s="2" t="str">
        <f>RIGHT(Tabulka1[[#This Row],[Adresa]],LEN(Tabulka1[[#This Row],[Adresa]])-LEN(Tabulka1[[#This Row],[Ulice]])-1)</f>
        <v>Brno 42</v>
      </c>
      <c r="H234" s="2" t="str">
        <f>_xlfn.CONCAT(LOWER(Tabulka1[[#This Row],[Příjmení bez mezer]]),".",LOWER(Tabulka1[[#This Row],[Jméno bez mezer]]),"@firmaabc.cz")</f>
        <v>kabelac.lukas@firmaabc.cz</v>
      </c>
      <c r="I234" s="2" t="str">
        <f>_xlfn.CONCAT(LEFT(LOWER(Tabulka1[[#This Row],[Příjmení bez mezer]]),3),RIGHT(UPPER(Tabulka1[[#This Row],[Jméno bez mezer]]),2))</f>
        <v>kabAS</v>
      </c>
    </row>
    <row r="235" spans="1:9">
      <c r="A235" s="2" t="s">
        <v>560</v>
      </c>
      <c r="B235" t="s">
        <v>44</v>
      </c>
      <c r="C235" t="s">
        <v>561</v>
      </c>
      <c r="D235" t="str">
        <f>TRIM(Tabulka1[[#This Row],[Jméno]])</f>
        <v>Marie</v>
      </c>
      <c r="E235" t="str">
        <f>TRIM(Tabulka1[[#This Row],[Příjmení]])</f>
        <v>Kyselova</v>
      </c>
      <c r="F235" s="2" t="str">
        <f>MID(Tabulka1[[#This Row],[Adresa]],1,SEARCH(",",Tabulka1[[#This Row],[Adresa]])-1)</f>
        <v>Lesní 258</v>
      </c>
      <c r="G235" s="2" t="str">
        <f>RIGHT(Tabulka1[[#This Row],[Adresa]],LEN(Tabulka1[[#This Row],[Adresa]])-LEN(Tabulka1[[#This Row],[Ulice]])-1)</f>
        <v>Jablonné nad Orlicí</v>
      </c>
      <c r="H235" s="2" t="str">
        <f>_xlfn.CONCAT(LOWER(Tabulka1[[#This Row],[Příjmení bez mezer]]),".",LOWER(Tabulka1[[#This Row],[Jméno bez mezer]]),"@firmaabc.cz")</f>
        <v>kyselova.marie@firmaabc.cz</v>
      </c>
      <c r="I235" s="2" t="str">
        <f>_xlfn.CONCAT(LEFT(LOWER(Tabulka1[[#This Row],[Příjmení bez mezer]]),3),RIGHT(UPPER(Tabulka1[[#This Row],[Jméno bez mezer]]),2))</f>
        <v>kysIE</v>
      </c>
    </row>
    <row r="236" spans="1:9">
      <c r="A236" s="2" t="s">
        <v>562</v>
      </c>
      <c r="B236" t="s">
        <v>289</v>
      </c>
      <c r="C236" t="s">
        <v>563</v>
      </c>
      <c r="D236" t="str">
        <f>TRIM(Tabulka1[[#This Row],[Jméno]])</f>
        <v>Petr</v>
      </c>
      <c r="E236" t="str">
        <f>TRIM(Tabulka1[[#This Row],[Příjmení]])</f>
        <v>Trnecka</v>
      </c>
      <c r="F236" s="2" t="str">
        <f>MID(Tabulka1[[#This Row],[Adresa]],1,SEARCH(",",Tabulka1[[#This Row],[Adresa]])-1)</f>
        <v>Vostelčická 992</v>
      </c>
      <c r="G236" s="2" t="str">
        <f>RIGHT(Tabulka1[[#This Row],[Adresa]],LEN(Tabulka1[[#This Row],[Adresa]])-LEN(Tabulka1[[#This Row],[Ulice]])-1)</f>
        <v>Svitavy 2</v>
      </c>
      <c r="H236" s="2" t="str">
        <f>_xlfn.CONCAT(LOWER(Tabulka1[[#This Row],[Příjmení bez mezer]]),".",LOWER(Tabulka1[[#This Row],[Jméno bez mezer]]),"@firmaabc.cz")</f>
        <v>trnecka.petr@firmaabc.cz</v>
      </c>
      <c r="I236" s="2" t="str">
        <f>_xlfn.CONCAT(LEFT(LOWER(Tabulka1[[#This Row],[Příjmení bez mezer]]),3),RIGHT(UPPER(Tabulka1[[#This Row],[Jméno bez mezer]]),2))</f>
        <v>trnTR</v>
      </c>
    </row>
    <row r="237" spans="1:9" ht="30">
      <c r="A237" s="2" t="s">
        <v>564</v>
      </c>
      <c r="B237" t="s">
        <v>565</v>
      </c>
      <c r="C237" t="s">
        <v>566</v>
      </c>
      <c r="D237" t="str">
        <f>TRIM(Tabulka1[[#This Row],[Jméno]])</f>
        <v>Anezka</v>
      </c>
      <c r="E237" t="str">
        <f>TRIM(Tabulka1[[#This Row],[Příjmení]])</f>
        <v>Zivna</v>
      </c>
      <c r="F237" s="2" t="str">
        <f>MID(Tabulka1[[#This Row],[Adresa]],1,SEARCH(",",Tabulka1[[#This Row],[Adresa]])-1)</f>
        <v>Dvořákova 406</v>
      </c>
      <c r="G237" s="2" t="str">
        <f>RIGHT(Tabulka1[[#This Row],[Adresa]],LEN(Tabulka1[[#This Row],[Adresa]])-LEN(Tabulka1[[#This Row],[Ulice]])-1)</f>
        <v>Rícany u Prahy</v>
      </c>
      <c r="H237" s="2" t="str">
        <f>_xlfn.CONCAT(LOWER(Tabulka1[[#This Row],[Příjmení bez mezer]]),".",LOWER(Tabulka1[[#This Row],[Jméno bez mezer]]),"@firmaabc.cz")</f>
        <v>zivna.anezka@firmaabc.cz</v>
      </c>
      <c r="I237" s="2" t="str">
        <f>_xlfn.CONCAT(LEFT(LOWER(Tabulka1[[#This Row],[Příjmení bez mezer]]),3),RIGHT(UPPER(Tabulka1[[#This Row],[Jméno bez mezer]]),2))</f>
        <v>zivKA</v>
      </c>
    </row>
    <row r="238" spans="1:9">
      <c r="A238" s="2" t="s">
        <v>567</v>
      </c>
      <c r="B238" t="s">
        <v>115</v>
      </c>
      <c r="C238" t="s">
        <v>452</v>
      </c>
      <c r="D238" t="str">
        <f>TRIM(Tabulka1[[#This Row],[Jméno]])</f>
        <v>Jiri</v>
      </c>
      <c r="E238" t="str">
        <f>TRIM(Tabulka1[[#This Row],[Příjmení]])</f>
        <v>Prazak</v>
      </c>
      <c r="F238" s="2" t="str">
        <f>MID(Tabulka1[[#This Row],[Adresa]],1,SEARCH(",",Tabulka1[[#This Row],[Adresa]])-1)</f>
        <v>U Parku 1681</v>
      </c>
      <c r="G238" s="2" t="str">
        <f>RIGHT(Tabulka1[[#This Row],[Adresa]],LEN(Tabulka1[[#This Row],[Adresa]])-LEN(Tabulka1[[#This Row],[Ulice]])-1)</f>
        <v>Borek</v>
      </c>
      <c r="H238" s="2" t="str">
        <f>_xlfn.CONCAT(LOWER(Tabulka1[[#This Row],[Příjmení bez mezer]]),".",LOWER(Tabulka1[[#This Row],[Jméno bez mezer]]),"@firmaabc.cz")</f>
        <v>prazak.jiri@firmaabc.cz</v>
      </c>
      <c r="I238" s="2" t="str">
        <f>_xlfn.CONCAT(LEFT(LOWER(Tabulka1[[#This Row],[Příjmení bez mezer]]),3),RIGHT(UPPER(Tabulka1[[#This Row],[Jméno bez mezer]]),2))</f>
        <v>praRI</v>
      </c>
    </row>
    <row r="239" spans="1:9" ht="30">
      <c r="A239" s="2" t="s">
        <v>568</v>
      </c>
      <c r="B239" t="s">
        <v>150</v>
      </c>
      <c r="C239" t="s">
        <v>569</v>
      </c>
      <c r="D239" t="str">
        <f>TRIM(Tabulka1[[#This Row],[Jméno]])</f>
        <v>Josef</v>
      </c>
      <c r="E239" t="str">
        <f>TRIM(Tabulka1[[#This Row],[Příjmení]])</f>
        <v>Klas</v>
      </c>
      <c r="F239" s="2" t="str">
        <f>MID(Tabulka1[[#This Row],[Adresa]],1,SEARCH(",",Tabulka1[[#This Row],[Adresa]])-1)</f>
        <v>Nerudova 693</v>
      </c>
      <c r="G239" s="2" t="str">
        <f>RIGHT(Tabulka1[[#This Row],[Adresa]],LEN(Tabulka1[[#This Row],[Adresa]])-LEN(Tabulka1[[#This Row],[Ulice]])-1)</f>
        <v>Dobrá Voda u Ceských Budejovic</v>
      </c>
      <c r="H239" s="2" t="str">
        <f>_xlfn.CONCAT(LOWER(Tabulka1[[#This Row],[Příjmení bez mezer]]),".",LOWER(Tabulka1[[#This Row],[Jméno bez mezer]]),"@firmaabc.cz")</f>
        <v>klas.josef@firmaabc.cz</v>
      </c>
      <c r="I239" s="2" t="str">
        <f>_xlfn.CONCAT(LEFT(LOWER(Tabulka1[[#This Row],[Příjmení bez mezer]]),3),RIGHT(UPPER(Tabulka1[[#This Row],[Jméno bez mezer]]),2))</f>
        <v>klaEF</v>
      </c>
    </row>
    <row r="240" spans="1:9">
      <c r="A240" s="2" t="s">
        <v>570</v>
      </c>
      <c r="B240" t="s">
        <v>191</v>
      </c>
      <c r="C240" t="s">
        <v>571</v>
      </c>
      <c r="D240" t="str">
        <f>TRIM(Tabulka1[[#This Row],[Jméno]])</f>
        <v>Jana</v>
      </c>
      <c r="E240" t="str">
        <f>TRIM(Tabulka1[[#This Row],[Příjmení]])</f>
        <v>Puncocharova</v>
      </c>
      <c r="F240" s="2" t="str">
        <f>MID(Tabulka1[[#This Row],[Adresa]],1,SEARCH(",",Tabulka1[[#This Row],[Adresa]])-1)</f>
        <v>V Zahradách 686</v>
      </c>
      <c r="G240" s="2" t="str">
        <f>RIGHT(Tabulka1[[#This Row],[Adresa]],LEN(Tabulka1[[#This Row],[Adresa]])-LEN(Tabulka1[[#This Row],[Ulice]])-1)</f>
        <v>Vítkov 1</v>
      </c>
      <c r="H240" s="2" t="str">
        <f>_xlfn.CONCAT(LOWER(Tabulka1[[#This Row],[Příjmení bez mezer]]),".",LOWER(Tabulka1[[#This Row],[Jméno bez mezer]]),"@firmaabc.cz")</f>
        <v>puncocharova.jana@firmaabc.cz</v>
      </c>
      <c r="I240" s="2" t="str">
        <f>_xlfn.CONCAT(LEFT(LOWER(Tabulka1[[#This Row],[Příjmení bez mezer]]),3),RIGHT(UPPER(Tabulka1[[#This Row],[Jméno bez mezer]]),2))</f>
        <v>punNA</v>
      </c>
    </row>
    <row r="241" spans="1:9">
      <c r="A241" s="2" t="s">
        <v>572</v>
      </c>
      <c r="B241" t="s">
        <v>81</v>
      </c>
      <c r="C241" t="s">
        <v>573</v>
      </c>
      <c r="D241" t="str">
        <f>TRIM(Tabulka1[[#This Row],[Jméno]])</f>
        <v>Miroslav</v>
      </c>
      <c r="E241" t="str">
        <f>TRIM(Tabulka1[[#This Row],[Příjmení]])</f>
        <v>Zouhar</v>
      </c>
      <c r="F241" s="2" t="str">
        <f>MID(Tabulka1[[#This Row],[Adresa]],1,SEARCH(",",Tabulka1[[#This Row],[Adresa]])-1)</f>
        <v>Školní 1912</v>
      </c>
      <c r="G241" s="2" t="str">
        <f>RIGHT(Tabulka1[[#This Row],[Adresa]],LEN(Tabulka1[[#This Row],[Adresa]])-LEN(Tabulka1[[#This Row],[Ulice]])-1)</f>
        <v>Nebahovy</v>
      </c>
      <c r="H241" s="2" t="str">
        <f>_xlfn.CONCAT(LOWER(Tabulka1[[#This Row],[Příjmení bez mezer]]),".",LOWER(Tabulka1[[#This Row],[Jméno bez mezer]]),"@firmaabc.cz")</f>
        <v>zouhar.miroslav@firmaabc.cz</v>
      </c>
      <c r="I241" s="2" t="str">
        <f>_xlfn.CONCAT(LEFT(LOWER(Tabulka1[[#This Row],[Příjmení bez mezer]]),3),RIGHT(UPPER(Tabulka1[[#This Row],[Jméno bez mezer]]),2))</f>
        <v>zouAV</v>
      </c>
    </row>
    <row r="242" spans="1:9">
      <c r="A242" s="2" t="s">
        <v>574</v>
      </c>
      <c r="B242" t="s">
        <v>41</v>
      </c>
      <c r="C242" t="s">
        <v>575</v>
      </c>
      <c r="D242" t="str">
        <f>TRIM(Tabulka1[[#This Row],[Jméno]])</f>
        <v>Ivana</v>
      </c>
      <c r="E242" t="str">
        <f>TRIM(Tabulka1[[#This Row],[Příjmení]])</f>
        <v>Karasova</v>
      </c>
      <c r="F242" s="2" t="str">
        <f>MID(Tabulka1[[#This Row],[Adresa]],1,SEARCH(",",Tabulka1[[#This Row],[Adresa]])-1)</f>
        <v>Nová 1872</v>
      </c>
      <c r="G242" s="2" t="str">
        <f>RIGHT(Tabulka1[[#This Row],[Adresa]],LEN(Tabulka1[[#This Row],[Adresa]])-LEN(Tabulka1[[#This Row],[Ulice]])-1)</f>
        <v>Mšeno u Melníka</v>
      </c>
      <c r="H242" s="2" t="str">
        <f>_xlfn.CONCAT(LOWER(Tabulka1[[#This Row],[Příjmení bez mezer]]),".",LOWER(Tabulka1[[#This Row],[Jméno bez mezer]]),"@firmaabc.cz")</f>
        <v>karasova.ivana@firmaabc.cz</v>
      </c>
      <c r="I242" s="2" t="str">
        <f>_xlfn.CONCAT(LEFT(LOWER(Tabulka1[[#This Row],[Příjmení bez mezer]]),3),RIGHT(UPPER(Tabulka1[[#This Row],[Jméno bez mezer]]),2))</f>
        <v>karNA</v>
      </c>
    </row>
    <row r="243" spans="1:9" ht="30">
      <c r="A243" s="2" t="s">
        <v>576</v>
      </c>
      <c r="B243" t="s">
        <v>577</v>
      </c>
      <c r="C243" t="s">
        <v>578</v>
      </c>
      <c r="D243" t="str">
        <f>TRIM(Tabulka1[[#This Row],[Jméno]])</f>
        <v>Monika</v>
      </c>
      <c r="E243" t="str">
        <f>TRIM(Tabulka1[[#This Row],[Příjmení]])</f>
        <v>Krizova</v>
      </c>
      <c r="F243" s="2" t="str">
        <f>MID(Tabulka1[[#This Row],[Adresa]],1,SEARCH(",",Tabulka1[[#This Row],[Adresa]])-1)</f>
        <v>Lomená 1251</v>
      </c>
      <c r="G243" s="2" t="str">
        <f>RIGHT(Tabulka1[[#This Row],[Adresa]],LEN(Tabulka1[[#This Row],[Adresa]])-LEN(Tabulka1[[#This Row],[Ulice]])-1)</f>
        <v>Uhercice u Znojma</v>
      </c>
      <c r="H243" s="2" t="str">
        <f>_xlfn.CONCAT(LOWER(Tabulka1[[#This Row],[Příjmení bez mezer]]),".",LOWER(Tabulka1[[#This Row],[Jméno bez mezer]]),"@firmaabc.cz")</f>
        <v>krizova.monika@firmaabc.cz</v>
      </c>
      <c r="I243" s="2" t="str">
        <f>_xlfn.CONCAT(LEFT(LOWER(Tabulka1[[#This Row],[Příjmení bez mezer]]),3),RIGHT(UPPER(Tabulka1[[#This Row],[Jméno bez mezer]]),2))</f>
        <v>kriKA</v>
      </c>
    </row>
    <row r="244" spans="1:9">
      <c r="A244" s="2" t="s">
        <v>579</v>
      </c>
      <c r="B244" t="s">
        <v>41</v>
      </c>
      <c r="C244" t="s">
        <v>580</v>
      </c>
      <c r="D244" t="str">
        <f>TRIM(Tabulka1[[#This Row],[Jméno]])</f>
        <v>Ivana</v>
      </c>
      <c r="E244" t="str">
        <f>TRIM(Tabulka1[[#This Row],[Příjmení]])</f>
        <v>Schaferova</v>
      </c>
      <c r="F244" s="2" t="str">
        <f>MID(Tabulka1[[#This Row],[Adresa]],1,SEARCH(",",Tabulka1[[#This Row],[Adresa]])-1)</f>
        <v>Kovářská 1718</v>
      </c>
      <c r="G244" s="2" t="str">
        <f>RIGHT(Tabulka1[[#This Row],[Adresa]],LEN(Tabulka1[[#This Row],[Adresa]])-LEN(Tabulka1[[#This Row],[Ulice]])-1)</f>
        <v>Decín 5</v>
      </c>
      <c r="H244" s="2" t="str">
        <f>_xlfn.CONCAT(LOWER(Tabulka1[[#This Row],[Příjmení bez mezer]]),".",LOWER(Tabulka1[[#This Row],[Jméno bez mezer]]),"@firmaabc.cz")</f>
        <v>schaferova.ivana@firmaabc.cz</v>
      </c>
      <c r="I244" s="2" t="str">
        <f>_xlfn.CONCAT(LEFT(LOWER(Tabulka1[[#This Row],[Příjmení bez mezer]]),3),RIGHT(UPPER(Tabulka1[[#This Row],[Jméno bez mezer]]),2))</f>
        <v>schNA</v>
      </c>
    </row>
    <row r="245" spans="1:9">
      <c r="A245" s="2" t="s">
        <v>581</v>
      </c>
      <c r="B245" t="s">
        <v>17</v>
      </c>
      <c r="C245" t="s">
        <v>582</v>
      </c>
      <c r="D245" t="str">
        <f>TRIM(Tabulka1[[#This Row],[Jméno]])</f>
        <v>Vladimir</v>
      </c>
      <c r="E245" t="str">
        <f>TRIM(Tabulka1[[#This Row],[Příjmení]])</f>
        <v>Ferko</v>
      </c>
      <c r="F245" s="2" t="str">
        <f>MID(Tabulka1[[#This Row],[Adresa]],1,SEARCH(",",Tabulka1[[#This Row],[Adresa]])-1)</f>
        <v>Družstevní 1364</v>
      </c>
      <c r="G245" s="2" t="str">
        <f>RIGHT(Tabulka1[[#This Row],[Adresa]],LEN(Tabulka1[[#This Row],[Adresa]])-LEN(Tabulka1[[#This Row],[Ulice]])-1)</f>
        <v>Rokycany 1</v>
      </c>
      <c r="H245" s="2" t="str">
        <f>_xlfn.CONCAT(LOWER(Tabulka1[[#This Row],[Příjmení bez mezer]]),".",LOWER(Tabulka1[[#This Row],[Jméno bez mezer]]),"@firmaabc.cz")</f>
        <v>ferko.vladimir@firmaabc.cz</v>
      </c>
      <c r="I245" s="2" t="str">
        <f>_xlfn.CONCAT(LEFT(LOWER(Tabulka1[[#This Row],[Příjmení bez mezer]]),3),RIGHT(UPPER(Tabulka1[[#This Row],[Jméno bez mezer]]),2))</f>
        <v>ferIR</v>
      </c>
    </row>
    <row r="246" spans="1:9" ht="30">
      <c r="A246" s="2" t="s">
        <v>583</v>
      </c>
      <c r="B246" t="s">
        <v>584</v>
      </c>
      <c r="C246" t="s">
        <v>585</v>
      </c>
      <c r="D246" t="str">
        <f>TRIM(Tabulka1[[#This Row],[Jméno]])</f>
        <v>Boleslav</v>
      </c>
      <c r="E246" t="str">
        <f>TRIM(Tabulka1[[#This Row],[Příjmení]])</f>
        <v>Faltus</v>
      </c>
      <c r="F246" s="2" t="str">
        <f>MID(Tabulka1[[#This Row],[Adresa]],1,SEARCH(",",Tabulka1[[#This Row],[Adresa]])-1)</f>
        <v>Spodní Pustá 346</v>
      </c>
      <c r="G246" s="2" t="str">
        <f>RIGHT(Tabulka1[[#This Row],[Adresa]],LEN(Tabulka1[[#This Row],[Adresa]])-LEN(Tabulka1[[#This Row],[Ulice]])-1)</f>
        <v>Hustopece u Brna</v>
      </c>
      <c r="H246" s="2" t="str">
        <f>_xlfn.CONCAT(LOWER(Tabulka1[[#This Row],[Příjmení bez mezer]]),".",LOWER(Tabulka1[[#This Row],[Jméno bez mezer]]),"@firmaabc.cz")</f>
        <v>faltus.boleslav@firmaabc.cz</v>
      </c>
      <c r="I246" s="2" t="str">
        <f>_xlfn.CONCAT(LEFT(LOWER(Tabulka1[[#This Row],[Příjmení bez mezer]]),3),RIGHT(UPPER(Tabulka1[[#This Row],[Jméno bez mezer]]),2))</f>
        <v>falAV</v>
      </c>
    </row>
    <row r="247" spans="1:9">
      <c r="A247" s="2" t="s">
        <v>586</v>
      </c>
      <c r="B247" t="s">
        <v>180</v>
      </c>
      <c r="C247" t="s">
        <v>587</v>
      </c>
      <c r="D247" t="str">
        <f>TRIM(Tabulka1[[#This Row],[Jméno]])</f>
        <v>Jaroslav</v>
      </c>
      <c r="E247" t="str">
        <f>TRIM(Tabulka1[[#This Row],[Příjmení]])</f>
        <v>Sladek</v>
      </c>
      <c r="F247" s="2" t="str">
        <f>MID(Tabulka1[[#This Row],[Adresa]],1,SEARCH(",",Tabulka1[[#This Row],[Adresa]])-1)</f>
        <v>Masarykova 448</v>
      </c>
      <c r="G247" s="2" t="str">
        <f>RIGHT(Tabulka1[[#This Row],[Adresa]],LEN(Tabulka1[[#This Row],[Adresa]])-LEN(Tabulka1[[#This Row],[Ulice]])-1)</f>
        <v>Breznice</v>
      </c>
      <c r="H247" s="2" t="str">
        <f>_xlfn.CONCAT(LOWER(Tabulka1[[#This Row],[Příjmení bez mezer]]),".",LOWER(Tabulka1[[#This Row],[Jméno bez mezer]]),"@firmaabc.cz")</f>
        <v>sladek.jaroslav@firmaabc.cz</v>
      </c>
      <c r="I247" s="2" t="str">
        <f>_xlfn.CONCAT(LEFT(LOWER(Tabulka1[[#This Row],[Příjmení bez mezer]]),3),RIGHT(UPPER(Tabulka1[[#This Row],[Jméno bez mezer]]),2))</f>
        <v>slaAV</v>
      </c>
    </row>
    <row r="248" spans="1:9">
      <c r="A248" s="2" t="s">
        <v>588</v>
      </c>
      <c r="B248" t="s">
        <v>147</v>
      </c>
      <c r="C248" t="s">
        <v>589</v>
      </c>
      <c r="D248" t="str">
        <f>TRIM(Tabulka1[[#This Row],[Jméno]])</f>
        <v>Hana</v>
      </c>
      <c r="E248" t="str">
        <f>TRIM(Tabulka1[[#This Row],[Příjmení]])</f>
        <v>Juricova</v>
      </c>
      <c r="F248" s="2" t="str">
        <f>MID(Tabulka1[[#This Row],[Adresa]],1,SEARCH(",",Tabulka1[[#This Row],[Adresa]])-1)</f>
        <v>Hálkova 1533</v>
      </c>
      <c r="G248" s="2" t="str">
        <f>RIGHT(Tabulka1[[#This Row],[Adresa]],LEN(Tabulka1[[#This Row],[Adresa]])-LEN(Tabulka1[[#This Row],[Ulice]])-1)</f>
        <v>Volfartice</v>
      </c>
      <c r="H248" s="2" t="str">
        <f>_xlfn.CONCAT(LOWER(Tabulka1[[#This Row],[Příjmení bez mezer]]),".",LOWER(Tabulka1[[#This Row],[Jméno bez mezer]]),"@firmaabc.cz")</f>
        <v>juricova.hana@firmaabc.cz</v>
      </c>
      <c r="I248" s="2" t="str">
        <f>_xlfn.CONCAT(LEFT(LOWER(Tabulka1[[#This Row],[Příjmení bez mezer]]),3),RIGHT(UPPER(Tabulka1[[#This Row],[Jméno bez mezer]]),2))</f>
        <v>jurNA</v>
      </c>
    </row>
    <row r="249" spans="1:9" ht="30">
      <c r="A249" s="2" t="s">
        <v>590</v>
      </c>
      <c r="B249" t="s">
        <v>87</v>
      </c>
      <c r="C249" t="s">
        <v>189</v>
      </c>
      <c r="D249" t="str">
        <f>TRIM(Tabulka1[[#This Row],[Jméno]])</f>
        <v>Martin</v>
      </c>
      <c r="E249" t="str">
        <f>TRIM(Tabulka1[[#This Row],[Příjmení]])</f>
        <v>Jelinek</v>
      </c>
      <c r="F249" s="2" t="str">
        <f>MID(Tabulka1[[#This Row],[Adresa]],1,SEARCH(",",Tabulka1[[#This Row],[Adresa]])-1)</f>
        <v>Pod Floriánem 514</v>
      </c>
      <c r="G249" s="2" t="str">
        <f>RIGHT(Tabulka1[[#This Row],[Adresa]],LEN(Tabulka1[[#This Row],[Adresa]])-LEN(Tabulka1[[#This Row],[Ulice]])-1)</f>
        <v>Pelhrimov</v>
      </c>
      <c r="H249" s="2" t="str">
        <f>_xlfn.CONCAT(LOWER(Tabulka1[[#This Row],[Příjmení bez mezer]]),".",LOWER(Tabulka1[[#This Row],[Jméno bez mezer]]),"@firmaabc.cz")</f>
        <v>jelinek.martin@firmaabc.cz</v>
      </c>
      <c r="I249" s="2" t="str">
        <f>_xlfn.CONCAT(LEFT(LOWER(Tabulka1[[#This Row],[Příjmení bez mezer]]),3),RIGHT(UPPER(Tabulka1[[#This Row],[Jméno bez mezer]]),2))</f>
        <v>jelIN</v>
      </c>
    </row>
    <row r="250" spans="1:9">
      <c r="A250" s="2" t="s">
        <v>591</v>
      </c>
      <c r="B250" t="s">
        <v>592</v>
      </c>
      <c r="C250" t="s">
        <v>593</v>
      </c>
      <c r="D250" t="str">
        <f>TRIM(Tabulka1[[#This Row],[Jméno]])</f>
        <v>Kristyna</v>
      </c>
      <c r="E250" t="str">
        <f>TRIM(Tabulka1[[#This Row],[Příjmení]])</f>
        <v>Vostrelova</v>
      </c>
      <c r="F250" s="2" t="str">
        <f>MID(Tabulka1[[#This Row],[Adresa]],1,SEARCH(",",Tabulka1[[#This Row],[Adresa]])-1)</f>
        <v>Polní 1480</v>
      </c>
      <c r="G250" s="2" t="str">
        <f>RIGHT(Tabulka1[[#This Row],[Adresa]],LEN(Tabulka1[[#This Row],[Adresa]])-LEN(Tabulka1[[#This Row],[Ulice]])-1)</f>
        <v>Bezverov</v>
      </c>
      <c r="H250" s="2" t="str">
        <f>_xlfn.CONCAT(LOWER(Tabulka1[[#This Row],[Příjmení bez mezer]]),".",LOWER(Tabulka1[[#This Row],[Jméno bez mezer]]),"@firmaabc.cz")</f>
        <v>vostrelova.kristyna@firmaabc.cz</v>
      </c>
      <c r="I250" s="2" t="str">
        <f>_xlfn.CONCAT(LEFT(LOWER(Tabulka1[[#This Row],[Příjmení bez mezer]]),3),RIGHT(UPPER(Tabulka1[[#This Row],[Jméno bez mezer]]),2))</f>
        <v>vosNA</v>
      </c>
    </row>
    <row r="251" spans="1:9">
      <c r="A251" s="2" t="s">
        <v>594</v>
      </c>
      <c r="B251" t="s">
        <v>412</v>
      </c>
      <c r="C251" t="s">
        <v>595</v>
      </c>
      <c r="D251" t="str">
        <f>TRIM(Tabulka1[[#This Row],[Jméno]])</f>
        <v>Michaela</v>
      </c>
      <c r="E251" t="str">
        <f>TRIM(Tabulka1[[#This Row],[Příjmení]])</f>
        <v>Kolarova</v>
      </c>
      <c r="F251" s="2" t="str">
        <f>MID(Tabulka1[[#This Row],[Adresa]],1,SEARCH(",",Tabulka1[[#This Row],[Adresa]])-1)</f>
        <v>Vrchlického 857</v>
      </c>
      <c r="G251" s="2" t="str">
        <f>RIGHT(Tabulka1[[#This Row],[Adresa]],LEN(Tabulka1[[#This Row],[Adresa]])-LEN(Tabulka1[[#This Row],[Ulice]])-1)</f>
        <v>Tišnov 3</v>
      </c>
      <c r="H251" s="2" t="str">
        <f>_xlfn.CONCAT(LOWER(Tabulka1[[#This Row],[Příjmení bez mezer]]),".",LOWER(Tabulka1[[#This Row],[Jméno bez mezer]]),"@firmaabc.cz")</f>
        <v>kolarova.michaela@firmaabc.cz</v>
      </c>
      <c r="I251" s="2" t="str">
        <f>_xlfn.CONCAT(LEFT(LOWER(Tabulka1[[#This Row],[Příjmení bez mezer]]),3),RIGHT(UPPER(Tabulka1[[#This Row],[Jméno bez mezer]]),2))</f>
        <v>kolLA</v>
      </c>
    </row>
    <row r="252" spans="1:9">
      <c r="A252" s="2" t="s">
        <v>596</v>
      </c>
      <c r="B252" t="s">
        <v>180</v>
      </c>
      <c r="C252" t="s">
        <v>597</v>
      </c>
      <c r="D252" t="str">
        <f>TRIM(Tabulka1[[#This Row],[Jméno]])</f>
        <v>Jaroslav</v>
      </c>
      <c r="E252" t="str">
        <f>TRIM(Tabulka1[[#This Row],[Příjmení]])</f>
        <v>Slezak</v>
      </c>
      <c r="F252" s="2" t="str">
        <f>MID(Tabulka1[[#This Row],[Adresa]],1,SEARCH(",",Tabulka1[[#This Row],[Adresa]])-1)</f>
        <v>U Trati 1523</v>
      </c>
      <c r="G252" s="2" t="str">
        <f>RIGHT(Tabulka1[[#This Row],[Adresa]],LEN(Tabulka1[[#This Row],[Adresa]])-LEN(Tabulka1[[#This Row],[Ulice]])-1)</f>
        <v>Sušice 1</v>
      </c>
      <c r="H252" s="2" t="str">
        <f>_xlfn.CONCAT(LOWER(Tabulka1[[#This Row],[Příjmení bez mezer]]),".",LOWER(Tabulka1[[#This Row],[Jméno bez mezer]]),"@firmaabc.cz")</f>
        <v>slezak.jaroslav@firmaabc.cz</v>
      </c>
      <c r="I252" s="2" t="str">
        <f>_xlfn.CONCAT(LEFT(LOWER(Tabulka1[[#This Row],[Příjmení bez mezer]]),3),RIGHT(UPPER(Tabulka1[[#This Row],[Jméno bez mezer]]),2))</f>
        <v>sleAV</v>
      </c>
    </row>
    <row r="253" spans="1:9">
      <c r="A253" s="2" t="s">
        <v>598</v>
      </c>
      <c r="B253" t="s">
        <v>26</v>
      </c>
      <c r="C253" t="s">
        <v>599</v>
      </c>
      <c r="D253" t="str">
        <f>TRIM(Tabulka1[[#This Row],[Jméno]])</f>
        <v>Jan</v>
      </c>
      <c r="E253" t="str">
        <f>TRIM(Tabulka1[[#This Row],[Příjmení]])</f>
        <v>Sibor</v>
      </c>
      <c r="F253" s="2" t="str">
        <f>MID(Tabulka1[[#This Row],[Adresa]],1,SEARCH(",",Tabulka1[[#This Row],[Adresa]])-1)</f>
        <v>Na Loučkách 1458</v>
      </c>
      <c r="G253" s="2" t="str">
        <f>RIGHT(Tabulka1[[#This Row],[Adresa]],LEN(Tabulka1[[#This Row],[Adresa]])-LEN(Tabulka1[[#This Row],[Ulice]])-1)</f>
        <v>Adamov 1</v>
      </c>
      <c r="H253" s="2" t="str">
        <f>_xlfn.CONCAT(LOWER(Tabulka1[[#This Row],[Příjmení bez mezer]]),".",LOWER(Tabulka1[[#This Row],[Jméno bez mezer]]),"@firmaabc.cz")</f>
        <v>sibor.jan@firmaabc.cz</v>
      </c>
      <c r="I253" s="2" t="str">
        <f>_xlfn.CONCAT(LEFT(LOWER(Tabulka1[[#This Row],[Příjmení bez mezer]]),3),RIGHT(UPPER(Tabulka1[[#This Row],[Jméno bez mezer]]),2))</f>
        <v>sibAN</v>
      </c>
    </row>
    <row r="254" spans="1:9" ht="30">
      <c r="A254" s="2" t="s">
        <v>600</v>
      </c>
      <c r="B254" t="s">
        <v>66</v>
      </c>
      <c r="C254" t="s">
        <v>601</v>
      </c>
      <c r="D254" t="str">
        <f>TRIM(Tabulka1[[#This Row],[Jméno]])</f>
        <v>Karel</v>
      </c>
      <c r="E254" t="str">
        <f>TRIM(Tabulka1[[#This Row],[Příjmení]])</f>
        <v>Kalenda</v>
      </c>
      <c r="F254" s="2" t="str">
        <f>MID(Tabulka1[[#This Row],[Adresa]],1,SEARCH(",",Tabulka1[[#This Row],[Adresa]])-1)</f>
        <v>Bartákova 1114</v>
      </c>
      <c r="G254" s="2" t="str">
        <f>RIGHT(Tabulka1[[#This Row],[Adresa]],LEN(Tabulka1[[#This Row],[Adresa]])-LEN(Tabulka1[[#This Row],[Ulice]])-1)</f>
        <v>Dvorce u Bruntálu</v>
      </c>
      <c r="H254" s="2" t="str">
        <f>_xlfn.CONCAT(LOWER(Tabulka1[[#This Row],[Příjmení bez mezer]]),".",LOWER(Tabulka1[[#This Row],[Jméno bez mezer]]),"@firmaabc.cz")</f>
        <v>kalenda.karel@firmaabc.cz</v>
      </c>
      <c r="I254" s="2" t="str">
        <f>_xlfn.CONCAT(LEFT(LOWER(Tabulka1[[#This Row],[Příjmení bez mezer]]),3),RIGHT(UPPER(Tabulka1[[#This Row],[Jméno bez mezer]]),2))</f>
        <v>kalEL</v>
      </c>
    </row>
    <row r="255" spans="1:9">
      <c r="A255" s="2" t="s">
        <v>602</v>
      </c>
      <c r="B255" t="s">
        <v>172</v>
      </c>
      <c r="C255" t="s">
        <v>603</v>
      </c>
      <c r="D255" t="str">
        <f>TRIM(Tabulka1[[#This Row],[Jméno]])</f>
        <v>David</v>
      </c>
      <c r="E255" t="str">
        <f>TRIM(Tabulka1[[#This Row],[Příjmení]])</f>
        <v>Kutalek</v>
      </c>
      <c r="F255" s="2" t="str">
        <f>MID(Tabulka1[[#This Row],[Adresa]],1,SEARCH(",",Tabulka1[[#This Row],[Adresa]])-1)</f>
        <v>U divadla 1831</v>
      </c>
      <c r="G255" s="2" t="str">
        <f>RIGHT(Tabulka1[[#This Row],[Adresa]],LEN(Tabulka1[[#This Row],[Adresa]])-LEN(Tabulka1[[#This Row],[Ulice]])-1)</f>
        <v>Teplice 1</v>
      </c>
      <c r="H255" s="2" t="str">
        <f>_xlfn.CONCAT(LOWER(Tabulka1[[#This Row],[Příjmení bez mezer]]),".",LOWER(Tabulka1[[#This Row],[Jméno bez mezer]]),"@firmaabc.cz")</f>
        <v>kutalek.david@firmaabc.cz</v>
      </c>
      <c r="I255" s="2" t="str">
        <f>_xlfn.CONCAT(LEFT(LOWER(Tabulka1[[#This Row],[Příjmení bez mezer]]),3),RIGHT(UPPER(Tabulka1[[#This Row],[Jméno bez mezer]]),2))</f>
        <v>kutID</v>
      </c>
    </row>
    <row r="256" spans="1:9">
      <c r="A256" s="2" t="s">
        <v>604</v>
      </c>
      <c r="B256" t="s">
        <v>605</v>
      </c>
      <c r="C256" t="s">
        <v>606</v>
      </c>
      <c r="D256" t="str">
        <f>TRIM(Tabulka1[[#This Row],[Jméno]])</f>
        <v>Viktorie</v>
      </c>
      <c r="E256" t="str">
        <f>TRIM(Tabulka1[[#This Row],[Příjmení]])</f>
        <v>Sykorova</v>
      </c>
      <c r="F256" s="2" t="str">
        <f>MID(Tabulka1[[#This Row],[Adresa]],1,SEARCH(",",Tabulka1[[#This Row],[Adresa]])-1)</f>
        <v>Lidická 1330</v>
      </c>
      <c r="G256" s="2" t="str">
        <f>RIGHT(Tabulka1[[#This Row],[Adresa]],LEN(Tabulka1[[#This Row],[Adresa]])-LEN(Tabulka1[[#This Row],[Ulice]])-1)</f>
        <v>Litomyšl</v>
      </c>
      <c r="H256" s="2" t="str">
        <f>_xlfn.CONCAT(LOWER(Tabulka1[[#This Row],[Příjmení bez mezer]]),".",LOWER(Tabulka1[[#This Row],[Jméno bez mezer]]),"@firmaabc.cz")</f>
        <v>sykorova.viktorie@firmaabc.cz</v>
      </c>
      <c r="I256" s="2" t="str">
        <f>_xlfn.CONCAT(LEFT(LOWER(Tabulka1[[#This Row],[Příjmení bez mezer]]),3),RIGHT(UPPER(Tabulka1[[#This Row],[Jméno bez mezer]]),2))</f>
        <v>sykIE</v>
      </c>
    </row>
    <row r="257" spans="1:9" ht="30">
      <c r="A257" s="2" t="s">
        <v>607</v>
      </c>
      <c r="B257" t="s">
        <v>81</v>
      </c>
      <c r="C257" t="s">
        <v>320</v>
      </c>
      <c r="D257" t="str">
        <f>TRIM(Tabulka1[[#This Row],[Jméno]])</f>
        <v>Miroslav</v>
      </c>
      <c r="E257" t="str">
        <f>TRIM(Tabulka1[[#This Row],[Příjmení]])</f>
        <v>?Svoboda</v>
      </c>
      <c r="F257" s="2" t="str">
        <f>MID(Tabulka1[[#This Row],[Adresa]],1,SEARCH(",",Tabulka1[[#This Row],[Adresa]])-1)</f>
        <v>Pod Strání 1958</v>
      </c>
      <c r="G257" s="2" t="str">
        <f>RIGHT(Tabulka1[[#This Row],[Adresa]],LEN(Tabulka1[[#This Row],[Adresa]])-LEN(Tabulka1[[#This Row],[Ulice]])-1)</f>
        <v>Dvur Králové nad Labem</v>
      </c>
      <c r="H257" s="2" t="str">
        <f>_xlfn.CONCAT(LOWER(Tabulka1[[#This Row],[Příjmení bez mezer]]),".",LOWER(Tabulka1[[#This Row],[Jméno bez mezer]]),"@firmaabc.cz")</f>
        <v>?svoboda.miroslav@firmaabc.cz</v>
      </c>
      <c r="I257" s="2" t="str">
        <f>_xlfn.CONCAT(LEFT(LOWER(Tabulka1[[#This Row],[Příjmení bez mezer]]),3),RIGHT(UPPER(Tabulka1[[#This Row],[Jméno bez mezer]]),2))</f>
        <v>?svAV</v>
      </c>
    </row>
    <row r="258" spans="1:9">
      <c r="A258" s="2" t="s">
        <v>608</v>
      </c>
      <c r="B258" t="s">
        <v>172</v>
      </c>
      <c r="C258" t="s">
        <v>609</v>
      </c>
      <c r="D258" t="str">
        <f>TRIM(Tabulka1[[#This Row],[Jméno]])</f>
        <v>David</v>
      </c>
      <c r="E258" t="str">
        <f>TRIM(Tabulka1[[#This Row],[Příjmení]])</f>
        <v>Hartl</v>
      </c>
      <c r="F258" s="2" t="str">
        <f>MID(Tabulka1[[#This Row],[Adresa]],1,SEARCH(",",Tabulka1[[#This Row],[Adresa]])-1)</f>
        <v>Tylova 83</v>
      </c>
      <c r="G258" s="2" t="str">
        <f>RIGHT(Tabulka1[[#This Row],[Adresa]],LEN(Tabulka1[[#This Row],[Adresa]])-LEN(Tabulka1[[#This Row],[Ulice]])-1)</f>
        <v>Hroznetín</v>
      </c>
      <c r="H258" s="2" t="str">
        <f>_xlfn.CONCAT(LOWER(Tabulka1[[#This Row],[Příjmení bez mezer]]),".",LOWER(Tabulka1[[#This Row],[Jméno bez mezer]]),"@firmaabc.cz")</f>
        <v>hartl.david@firmaabc.cz</v>
      </c>
      <c r="I258" s="2" t="str">
        <f>_xlfn.CONCAT(LEFT(LOWER(Tabulka1[[#This Row],[Příjmení bez mezer]]),3),RIGHT(UPPER(Tabulka1[[#This Row],[Jméno bez mezer]]),2))</f>
        <v>harID</v>
      </c>
    </row>
    <row r="259" spans="1:9">
      <c r="A259" s="2" t="s">
        <v>610</v>
      </c>
      <c r="B259" t="s">
        <v>310</v>
      </c>
      <c r="C259" t="s">
        <v>611</v>
      </c>
      <c r="D259" t="str">
        <f>TRIM(Tabulka1[[#This Row],[Jméno]])</f>
        <v>Stanislav</v>
      </c>
      <c r="E259" t="str">
        <f>TRIM(Tabulka1[[#This Row],[Příjmení]])</f>
        <v>Kula</v>
      </c>
      <c r="F259" s="2" t="str">
        <f>MID(Tabulka1[[#This Row],[Adresa]],1,SEARCH(",",Tabulka1[[#This Row],[Adresa]])-1)</f>
        <v>Jiráskova 237</v>
      </c>
      <c r="G259" s="2" t="str">
        <f>RIGHT(Tabulka1[[#This Row],[Adresa]],LEN(Tabulka1[[#This Row],[Adresa]])-LEN(Tabulka1[[#This Row],[Ulice]])-1)</f>
        <v>Slatinany</v>
      </c>
      <c r="H259" s="2" t="str">
        <f>_xlfn.CONCAT(LOWER(Tabulka1[[#This Row],[Příjmení bez mezer]]),".",LOWER(Tabulka1[[#This Row],[Jméno bez mezer]]),"@firmaabc.cz")</f>
        <v>kula.stanislav@firmaabc.cz</v>
      </c>
      <c r="I259" s="2" t="str">
        <f>_xlfn.CONCAT(LEFT(LOWER(Tabulka1[[#This Row],[Příjmení bez mezer]]),3),RIGHT(UPPER(Tabulka1[[#This Row],[Jméno bez mezer]]),2))</f>
        <v>kulAV</v>
      </c>
    </row>
    <row r="260" spans="1:9">
      <c r="A260" s="2" t="s">
        <v>612</v>
      </c>
      <c r="B260" t="s">
        <v>17</v>
      </c>
      <c r="C260" t="s">
        <v>613</v>
      </c>
      <c r="D260" t="str">
        <f>TRIM(Tabulka1[[#This Row],[Jméno]])</f>
        <v>Vladimir</v>
      </c>
      <c r="E260" t="str">
        <f>TRIM(Tabulka1[[#This Row],[Příjmení]])</f>
        <v>Mestan</v>
      </c>
      <c r="F260" s="2" t="str">
        <f>MID(Tabulka1[[#This Row],[Adresa]],1,SEARCH(",",Tabulka1[[#This Row],[Adresa]])-1)</f>
        <v>Budovatelská 1033</v>
      </c>
      <c r="G260" s="2" t="str">
        <f>RIGHT(Tabulka1[[#This Row],[Adresa]],LEN(Tabulka1[[#This Row],[Adresa]])-LEN(Tabulka1[[#This Row],[Ulice]])-1)</f>
        <v>Bavorov</v>
      </c>
      <c r="H260" s="2" t="str">
        <f>_xlfn.CONCAT(LOWER(Tabulka1[[#This Row],[Příjmení bez mezer]]),".",LOWER(Tabulka1[[#This Row],[Jméno bez mezer]]),"@firmaabc.cz")</f>
        <v>mestan.vladimir@firmaabc.cz</v>
      </c>
      <c r="I260" s="2" t="str">
        <f>_xlfn.CONCAT(LEFT(LOWER(Tabulka1[[#This Row],[Příjmení bez mezer]]),3),RIGHT(UPPER(Tabulka1[[#This Row],[Jméno bez mezer]]),2))</f>
        <v>mesIR</v>
      </c>
    </row>
    <row r="261" spans="1:9">
      <c r="A261" s="2" t="s">
        <v>614</v>
      </c>
      <c r="B261" t="s">
        <v>103</v>
      </c>
      <c r="C261" t="s">
        <v>615</v>
      </c>
      <c r="D261" t="str">
        <f>TRIM(Tabulka1[[#This Row],[Jméno]])</f>
        <v>Frantisek</v>
      </c>
      <c r="E261" t="str">
        <f>TRIM(Tabulka1[[#This Row],[Příjmení]])</f>
        <v>Sadovsky</v>
      </c>
      <c r="F261" s="2" t="str">
        <f>MID(Tabulka1[[#This Row],[Adresa]],1,SEARCH(",",Tabulka1[[#This Row],[Adresa]])-1)</f>
        <v>Luční 1400</v>
      </c>
      <c r="G261" s="2" t="str">
        <f>RIGHT(Tabulka1[[#This Row],[Adresa]],LEN(Tabulka1[[#This Row],[Adresa]])-LEN(Tabulka1[[#This Row],[Ulice]])-1)</f>
        <v>Rovecné</v>
      </c>
      <c r="H261" s="2" t="str">
        <f>_xlfn.CONCAT(LOWER(Tabulka1[[#This Row],[Příjmení bez mezer]]),".",LOWER(Tabulka1[[#This Row],[Jméno bez mezer]]),"@firmaabc.cz")</f>
        <v>sadovsky.frantisek@firmaabc.cz</v>
      </c>
      <c r="I261" s="2" t="str">
        <f>_xlfn.CONCAT(LEFT(LOWER(Tabulka1[[#This Row],[Příjmení bez mezer]]),3),RIGHT(UPPER(Tabulka1[[#This Row],[Jméno bez mezer]]),2))</f>
        <v>sadEK</v>
      </c>
    </row>
    <row r="262" spans="1:9" ht="30">
      <c r="A262" s="2" t="s">
        <v>616</v>
      </c>
      <c r="B262" t="s">
        <v>617</v>
      </c>
      <c r="C262" t="s">
        <v>618</v>
      </c>
      <c r="D262" t="str">
        <f>TRIM(Tabulka1[[#This Row],[Jméno]])</f>
        <v>Nikola</v>
      </c>
      <c r="E262" t="str">
        <f>TRIM(Tabulka1[[#This Row],[Příjmení]])</f>
        <v>Pinkasova</v>
      </c>
      <c r="F262" s="2" t="str">
        <f>MID(Tabulka1[[#This Row],[Adresa]],1,SEARCH(",",Tabulka1[[#This Row],[Adresa]])-1)</f>
        <v>Jindřichova 126</v>
      </c>
      <c r="G262" s="2" t="str">
        <f>RIGHT(Tabulka1[[#This Row],[Adresa]],LEN(Tabulka1[[#This Row],[Adresa]])-LEN(Tabulka1[[#This Row],[Ulice]])-1)</f>
        <v>Jindrichuv Hradec 1</v>
      </c>
      <c r="H262" s="2" t="str">
        <f>_xlfn.CONCAT(LOWER(Tabulka1[[#This Row],[Příjmení bez mezer]]),".",LOWER(Tabulka1[[#This Row],[Jméno bez mezer]]),"@firmaabc.cz")</f>
        <v>pinkasova.nikola@firmaabc.cz</v>
      </c>
      <c r="I262" s="2" t="str">
        <f>_xlfn.CONCAT(LEFT(LOWER(Tabulka1[[#This Row],[Příjmení bez mezer]]),3),RIGHT(UPPER(Tabulka1[[#This Row],[Jméno bez mezer]]),2))</f>
        <v>pinLA</v>
      </c>
    </row>
    <row r="263" spans="1:9" ht="30">
      <c r="A263" s="2" t="s">
        <v>619</v>
      </c>
      <c r="B263" t="s">
        <v>281</v>
      </c>
      <c r="C263" t="s">
        <v>620</v>
      </c>
      <c r="D263" t="str">
        <f>TRIM(Tabulka1[[#This Row],[Jméno]])</f>
        <v>Zaneta</v>
      </c>
      <c r="E263" t="str">
        <f>TRIM(Tabulka1[[#This Row],[Příjmení]])</f>
        <v>Frohlichova</v>
      </c>
      <c r="F263" s="2" t="str">
        <f>MID(Tabulka1[[#This Row],[Adresa]],1,SEARCH(",",Tabulka1[[#This Row],[Adresa]])-1)</f>
        <v>Sluneční 1790</v>
      </c>
      <c r="G263" s="2" t="str">
        <f>RIGHT(Tabulka1[[#This Row],[Adresa]],LEN(Tabulka1[[#This Row],[Adresa]])-LEN(Tabulka1[[#This Row],[Ulice]])-1)</f>
        <v>Velké Heraltice</v>
      </c>
      <c r="H263" s="2" t="str">
        <f>_xlfn.CONCAT(LOWER(Tabulka1[[#This Row],[Příjmení bez mezer]]),".",LOWER(Tabulka1[[#This Row],[Jméno bez mezer]]),"@firmaabc.cz")</f>
        <v>frohlichova.zaneta@firmaabc.cz</v>
      </c>
      <c r="I263" s="2" t="str">
        <f>_xlfn.CONCAT(LEFT(LOWER(Tabulka1[[#This Row],[Příjmení bez mezer]]),3),RIGHT(UPPER(Tabulka1[[#This Row],[Jméno bez mezer]]),2))</f>
        <v>froTA</v>
      </c>
    </row>
    <row r="264" spans="1:9" ht="30">
      <c r="A264" s="2" t="s">
        <v>621</v>
      </c>
      <c r="B264" t="s">
        <v>32</v>
      </c>
      <c r="C264" t="s">
        <v>622</v>
      </c>
      <c r="D264" t="str">
        <f>TRIM(Tabulka1[[#This Row],[Jméno]])</f>
        <v>Michal</v>
      </c>
      <c r="E264" t="str">
        <f>TRIM(Tabulka1[[#This Row],[Příjmení]])</f>
        <v>Radil</v>
      </c>
      <c r="F264" s="2" t="str">
        <f>MID(Tabulka1[[#This Row],[Adresa]],1,SEARCH(",",Tabulka1[[#This Row],[Adresa]])-1)</f>
        <v>Luční 1528</v>
      </c>
      <c r="G264" s="2" t="str">
        <f>RIGHT(Tabulka1[[#This Row],[Adresa]],LEN(Tabulka1[[#This Row],[Adresa]])-LEN(Tabulka1[[#This Row],[Ulice]])-1)</f>
        <v>Bystrice nad Pernštejnem</v>
      </c>
      <c r="H264" s="2" t="str">
        <f>_xlfn.CONCAT(LOWER(Tabulka1[[#This Row],[Příjmení bez mezer]]),".",LOWER(Tabulka1[[#This Row],[Jméno bez mezer]]),"@firmaabc.cz")</f>
        <v>radil.michal@firmaabc.cz</v>
      </c>
      <c r="I264" s="2" t="str">
        <f>_xlfn.CONCAT(LEFT(LOWER(Tabulka1[[#This Row],[Příjmení bez mezer]]),3),RIGHT(UPPER(Tabulka1[[#This Row],[Jméno bez mezer]]),2))</f>
        <v>radAL</v>
      </c>
    </row>
    <row r="265" spans="1:9">
      <c r="A265" s="2" t="s">
        <v>623</v>
      </c>
      <c r="B265" t="s">
        <v>624</v>
      </c>
      <c r="C265" t="s">
        <v>625</v>
      </c>
      <c r="D265" t="str">
        <f>TRIM(Tabulka1[[#This Row],[Jméno]])</f>
        <v>Patrik</v>
      </c>
      <c r="E265" t="str">
        <f>TRIM(Tabulka1[[#This Row],[Příjmení]])</f>
        <v>Kapoun</v>
      </c>
      <c r="F265" s="2" t="str">
        <f>MID(Tabulka1[[#This Row],[Adresa]],1,SEARCH(",",Tabulka1[[#This Row],[Adresa]])-1)</f>
        <v>Tyršova 1887</v>
      </c>
      <c r="G265" s="2" t="str">
        <f>RIGHT(Tabulka1[[#This Row],[Adresa]],LEN(Tabulka1[[#This Row],[Adresa]])-LEN(Tabulka1[[#This Row],[Ulice]])-1)</f>
        <v>Strmilov</v>
      </c>
      <c r="H265" s="2" t="str">
        <f>_xlfn.CONCAT(LOWER(Tabulka1[[#This Row],[Příjmení bez mezer]]),".",LOWER(Tabulka1[[#This Row],[Jméno bez mezer]]),"@firmaabc.cz")</f>
        <v>kapoun.patrik@firmaabc.cz</v>
      </c>
      <c r="I265" s="2" t="str">
        <f>_xlfn.CONCAT(LEFT(LOWER(Tabulka1[[#This Row],[Příjmení bez mezer]]),3),RIGHT(UPPER(Tabulka1[[#This Row],[Jméno bez mezer]]),2))</f>
        <v>kapIK</v>
      </c>
    </row>
    <row r="266" spans="1:9" ht="30">
      <c r="A266" s="2" t="s">
        <v>626</v>
      </c>
      <c r="B266" t="s">
        <v>458</v>
      </c>
      <c r="C266" t="s">
        <v>627</v>
      </c>
      <c r="D266" t="str">
        <f>TRIM(Tabulka1[[#This Row],[Jméno]])</f>
        <v>Libor</v>
      </c>
      <c r="E266" t="str">
        <f>TRIM(Tabulka1[[#This Row],[Příjmení]])</f>
        <v>Kocourek</v>
      </c>
      <c r="F266" s="2" t="str">
        <f>MID(Tabulka1[[#This Row],[Adresa]],1,SEARCH(",",Tabulka1[[#This Row],[Adresa]])-1)</f>
        <v>Dvořákova 155</v>
      </c>
      <c r="G266" s="2" t="str">
        <f>RIGHT(Tabulka1[[#This Row],[Adresa]],LEN(Tabulka1[[#This Row],[Adresa]])-LEN(Tabulka1[[#This Row],[Ulice]])-1)</f>
        <v>Rícany u Prahy</v>
      </c>
      <c r="H266" s="2" t="str">
        <f>_xlfn.CONCAT(LOWER(Tabulka1[[#This Row],[Příjmení bez mezer]]),".",LOWER(Tabulka1[[#This Row],[Jméno bez mezer]]),"@firmaabc.cz")</f>
        <v>kocourek.libor@firmaabc.cz</v>
      </c>
      <c r="I266" s="2" t="str">
        <f>_xlfn.CONCAT(LEFT(LOWER(Tabulka1[[#This Row],[Příjmení bez mezer]]),3),RIGHT(UPPER(Tabulka1[[#This Row],[Jméno bez mezer]]),2))</f>
        <v>kocOR</v>
      </c>
    </row>
    <row r="267" spans="1:9">
      <c r="A267" s="2" t="s">
        <v>628</v>
      </c>
      <c r="B267" t="s">
        <v>26</v>
      </c>
      <c r="C267" t="s">
        <v>629</v>
      </c>
      <c r="D267" t="str">
        <f>TRIM(Tabulka1[[#This Row],[Jméno]])</f>
        <v>Jan</v>
      </c>
      <c r="E267" t="str">
        <f>TRIM(Tabulka1[[#This Row],[Příjmení]])</f>
        <v>Jurecka</v>
      </c>
      <c r="F267" s="2" t="str">
        <f>MID(Tabulka1[[#This Row],[Adresa]],1,SEARCH(",",Tabulka1[[#This Row],[Adresa]])-1)</f>
        <v>Bratří Čapků 567</v>
      </c>
      <c r="G267" s="2" t="str">
        <f>RIGHT(Tabulka1[[#This Row],[Adresa]],LEN(Tabulka1[[#This Row],[Adresa]])-LEN(Tabulka1[[#This Row],[Ulice]])-1)</f>
        <v>Náchod 1</v>
      </c>
      <c r="H267" s="2" t="str">
        <f>_xlfn.CONCAT(LOWER(Tabulka1[[#This Row],[Příjmení bez mezer]]),".",LOWER(Tabulka1[[#This Row],[Jméno bez mezer]]),"@firmaabc.cz")</f>
        <v>jurecka.jan@firmaabc.cz</v>
      </c>
      <c r="I267" s="2" t="str">
        <f>_xlfn.CONCAT(LEFT(LOWER(Tabulka1[[#This Row],[Příjmení bez mezer]]),3),RIGHT(UPPER(Tabulka1[[#This Row],[Jméno bez mezer]]),2))</f>
        <v>jurAN</v>
      </c>
    </row>
    <row r="268" spans="1:9">
      <c r="A268" s="2" t="s">
        <v>630</v>
      </c>
      <c r="B268" t="s">
        <v>35</v>
      </c>
      <c r="C268" t="s">
        <v>631</v>
      </c>
      <c r="D268" t="str">
        <f>TRIM(Tabulka1[[#This Row],[Jméno]])</f>
        <v>Karolina</v>
      </c>
      <c r="E268" t="str">
        <f>TRIM(Tabulka1[[#This Row],[Příjmení]])</f>
        <v>Horackova</v>
      </c>
      <c r="F268" s="2" t="str">
        <f>MID(Tabulka1[[#This Row],[Adresa]],1,SEARCH(",",Tabulka1[[#This Row],[Adresa]])-1)</f>
        <v>Žižkova 1319</v>
      </c>
      <c r="G268" s="2" t="str">
        <f>RIGHT(Tabulka1[[#This Row],[Adresa]],LEN(Tabulka1[[#This Row],[Adresa]])-LEN(Tabulka1[[#This Row],[Ulice]])-1)</f>
        <v>Kralice na Hané</v>
      </c>
      <c r="H268" s="2" t="str">
        <f>_xlfn.CONCAT(LOWER(Tabulka1[[#This Row],[Příjmení bez mezer]]),".",LOWER(Tabulka1[[#This Row],[Jméno bez mezer]]),"@firmaabc.cz")</f>
        <v>horackova.karolina@firmaabc.cz</v>
      </c>
      <c r="I268" s="2" t="str">
        <f>_xlfn.CONCAT(LEFT(LOWER(Tabulka1[[#This Row],[Příjmení bez mezer]]),3),RIGHT(UPPER(Tabulka1[[#This Row],[Jméno bez mezer]]),2))</f>
        <v>horNA</v>
      </c>
    </row>
    <row r="269" spans="1:9" ht="30">
      <c r="A269" s="2" t="s">
        <v>632</v>
      </c>
      <c r="B269" t="s">
        <v>98</v>
      </c>
      <c r="C269" t="s">
        <v>633</v>
      </c>
      <c r="D269" t="str">
        <f>TRIM(Tabulka1[[#This Row],[Jméno]])</f>
        <v>Lukas</v>
      </c>
      <c r="E269" t="str">
        <f>TRIM(Tabulka1[[#This Row],[Příjmení]])</f>
        <v>Holusa</v>
      </c>
      <c r="F269" s="2" t="str">
        <f>MID(Tabulka1[[#This Row],[Adresa]],1,SEARCH(",",Tabulka1[[#This Row],[Adresa]])-1)</f>
        <v>V Zahradách 413</v>
      </c>
      <c r="G269" s="2" t="str">
        <f>RIGHT(Tabulka1[[#This Row],[Adresa]],LEN(Tabulka1[[#This Row],[Adresa]])-LEN(Tabulka1[[#This Row],[Ulice]])-1)</f>
        <v>Brodek u Prerova</v>
      </c>
      <c r="H269" s="2" t="str">
        <f>_xlfn.CONCAT(LOWER(Tabulka1[[#This Row],[Příjmení bez mezer]]),".",LOWER(Tabulka1[[#This Row],[Jméno bez mezer]]),"@firmaabc.cz")</f>
        <v>holusa.lukas@firmaabc.cz</v>
      </c>
      <c r="I269" s="2" t="str">
        <f>_xlfn.CONCAT(LEFT(LOWER(Tabulka1[[#This Row],[Příjmení bez mezer]]),3),RIGHT(UPPER(Tabulka1[[#This Row],[Jméno bez mezer]]),2))</f>
        <v>holAS</v>
      </c>
    </row>
    <row r="270" spans="1:9">
      <c r="A270" s="2" t="s">
        <v>634</v>
      </c>
      <c r="B270" t="s">
        <v>17</v>
      </c>
      <c r="C270" t="s">
        <v>635</v>
      </c>
      <c r="D270" t="str">
        <f>TRIM(Tabulka1[[#This Row],[Jméno]])</f>
        <v>Vladimir</v>
      </c>
      <c r="E270" t="str">
        <f>TRIM(Tabulka1[[#This Row],[Příjmení]])</f>
        <v>Krajcovic</v>
      </c>
      <c r="F270" s="2" t="str">
        <f>MID(Tabulka1[[#This Row],[Adresa]],1,SEARCH(",",Tabulka1[[#This Row],[Adresa]])-1)</f>
        <v>K Pazderně 191</v>
      </c>
      <c r="G270" s="2" t="str">
        <f>RIGHT(Tabulka1[[#This Row],[Adresa]],LEN(Tabulka1[[#This Row],[Adresa]])-LEN(Tabulka1[[#This Row],[Ulice]])-1)</f>
        <v>Smilkov</v>
      </c>
      <c r="H270" s="2" t="str">
        <f>_xlfn.CONCAT(LOWER(Tabulka1[[#This Row],[Příjmení bez mezer]]),".",LOWER(Tabulka1[[#This Row],[Jméno bez mezer]]),"@firmaabc.cz")</f>
        <v>krajcovic.vladimir@firmaabc.cz</v>
      </c>
      <c r="I270" s="2" t="str">
        <f>_xlfn.CONCAT(LEFT(LOWER(Tabulka1[[#This Row],[Příjmení bez mezer]]),3),RIGHT(UPPER(Tabulka1[[#This Row],[Jméno bez mezer]]),2))</f>
        <v>kraIR</v>
      </c>
    </row>
    <row r="271" spans="1:9">
      <c r="A271" s="2" t="s">
        <v>636</v>
      </c>
      <c r="B271" t="s">
        <v>234</v>
      </c>
      <c r="C271" t="s">
        <v>637</v>
      </c>
      <c r="D271" t="str">
        <f>TRIM(Tabulka1[[#This Row],[Jméno]])</f>
        <v>Zdenek</v>
      </c>
      <c r="E271" t="str">
        <f>TRIM(Tabulka1[[#This Row],[Příjmení]])</f>
        <v>Andrle</v>
      </c>
      <c r="F271" s="2" t="str">
        <f>MID(Tabulka1[[#This Row],[Adresa]],1,SEARCH(",",Tabulka1[[#This Row],[Adresa]])-1)</f>
        <v>Příkopy 1504</v>
      </c>
      <c r="G271" s="2" t="str">
        <f>RIGHT(Tabulka1[[#This Row],[Adresa]],LEN(Tabulka1[[#This Row],[Adresa]])-LEN(Tabulka1[[#This Row],[Ulice]])-1)</f>
        <v>Lanškroun</v>
      </c>
      <c r="H271" s="2" t="str">
        <f>_xlfn.CONCAT(LOWER(Tabulka1[[#This Row],[Příjmení bez mezer]]),".",LOWER(Tabulka1[[#This Row],[Jméno bez mezer]]),"@firmaabc.cz")</f>
        <v>andrle.zdenek@firmaabc.cz</v>
      </c>
      <c r="I271" s="2" t="str">
        <f>_xlfn.CONCAT(LEFT(LOWER(Tabulka1[[#This Row],[Příjmení bez mezer]]),3),RIGHT(UPPER(Tabulka1[[#This Row],[Jméno bez mezer]]),2))</f>
        <v>andEK</v>
      </c>
    </row>
    <row r="272" spans="1:9">
      <c r="A272" s="2" t="s">
        <v>638</v>
      </c>
      <c r="B272" t="s">
        <v>270</v>
      </c>
      <c r="C272" t="s">
        <v>61</v>
      </c>
      <c r="D272" t="str">
        <f>TRIM(Tabulka1[[#This Row],[Jméno]])</f>
        <v>Anna</v>
      </c>
      <c r="E272" t="str">
        <f>TRIM(Tabulka1[[#This Row],[Příjmení]])</f>
        <v>Fiserova</v>
      </c>
      <c r="F272" s="2" t="str">
        <f>MID(Tabulka1[[#This Row],[Adresa]],1,SEARCH(",",Tabulka1[[#This Row],[Adresa]])-1)</f>
        <v>Střední 1201</v>
      </c>
      <c r="G272" s="2" t="str">
        <f>RIGHT(Tabulka1[[#This Row],[Adresa]],LEN(Tabulka1[[#This Row],[Adresa]])-LEN(Tabulka1[[#This Row],[Ulice]])-1)</f>
        <v>Dolní Belá</v>
      </c>
      <c r="H272" s="2" t="str">
        <f>_xlfn.CONCAT(LOWER(Tabulka1[[#This Row],[Příjmení bez mezer]]),".",LOWER(Tabulka1[[#This Row],[Jméno bez mezer]]),"@firmaabc.cz")</f>
        <v>fiserova.anna@firmaabc.cz</v>
      </c>
      <c r="I272" s="2" t="str">
        <f>_xlfn.CONCAT(LEFT(LOWER(Tabulka1[[#This Row],[Příjmení bez mezer]]),3),RIGHT(UPPER(Tabulka1[[#This Row],[Jméno bez mezer]]),2))</f>
        <v>fisNA</v>
      </c>
    </row>
    <row r="273" spans="1:9">
      <c r="A273" s="2" t="s">
        <v>639</v>
      </c>
      <c r="B273" t="s">
        <v>90</v>
      </c>
      <c r="C273" t="s">
        <v>640</v>
      </c>
      <c r="D273" t="str">
        <f>TRIM(Tabulka1[[#This Row],[Jméno]])</f>
        <v>Pavel</v>
      </c>
      <c r="E273" t="str">
        <f>TRIM(Tabulka1[[#This Row],[Příjmení]])</f>
        <v>Vymazal</v>
      </c>
      <c r="F273" s="2" t="str">
        <f>MID(Tabulka1[[#This Row],[Adresa]],1,SEARCH(",",Tabulka1[[#This Row],[Adresa]])-1)</f>
        <v>Jičín 709</v>
      </c>
      <c r="G273" s="2" t="str">
        <f>RIGHT(Tabulka1[[#This Row],[Adresa]],LEN(Tabulka1[[#This Row],[Adresa]])-LEN(Tabulka1[[#This Row],[Ulice]])-1)</f>
        <v>Jicín 1</v>
      </c>
      <c r="H273" s="2" t="str">
        <f>_xlfn.CONCAT(LOWER(Tabulka1[[#This Row],[Příjmení bez mezer]]),".",LOWER(Tabulka1[[#This Row],[Jméno bez mezer]]),"@firmaabc.cz")</f>
        <v>vymazal.pavel@firmaabc.cz</v>
      </c>
      <c r="I273" s="2" t="str">
        <f>_xlfn.CONCAT(LEFT(LOWER(Tabulka1[[#This Row],[Příjmení bez mezer]]),3),RIGHT(UPPER(Tabulka1[[#This Row],[Jméno bez mezer]]),2))</f>
        <v>vymEL</v>
      </c>
    </row>
    <row r="274" spans="1:9">
      <c r="A274" s="2" t="s">
        <v>641</v>
      </c>
      <c r="B274" t="s">
        <v>63</v>
      </c>
      <c r="C274" t="s">
        <v>642</v>
      </c>
      <c r="D274" t="str">
        <f>TRIM(Tabulka1[[#This Row],[Jméno]])</f>
        <v>Dagmar</v>
      </c>
      <c r="E274" t="str">
        <f>TRIM(Tabulka1[[#This Row],[Příjmení]])</f>
        <v>Souralova</v>
      </c>
      <c r="F274" s="2" t="str">
        <f>MID(Tabulka1[[#This Row],[Adresa]],1,SEARCH(",",Tabulka1[[#This Row],[Adresa]])-1)</f>
        <v>Na Loučkách 721</v>
      </c>
      <c r="G274" s="2" t="str">
        <f>RIGHT(Tabulka1[[#This Row],[Adresa]],LEN(Tabulka1[[#This Row],[Adresa]])-LEN(Tabulka1[[#This Row],[Ulice]])-1)</f>
        <v>Jedovnice</v>
      </c>
      <c r="H274" s="2" t="str">
        <f>_xlfn.CONCAT(LOWER(Tabulka1[[#This Row],[Příjmení bez mezer]]),".",LOWER(Tabulka1[[#This Row],[Jméno bez mezer]]),"@firmaabc.cz")</f>
        <v>souralova.dagmar@firmaabc.cz</v>
      </c>
      <c r="I274" s="2" t="str">
        <f>_xlfn.CONCAT(LEFT(LOWER(Tabulka1[[#This Row],[Příjmení bez mezer]]),3),RIGHT(UPPER(Tabulka1[[#This Row],[Jméno bez mezer]]),2))</f>
        <v>souAR</v>
      </c>
    </row>
    <row r="275" spans="1:9">
      <c r="A275" s="2" t="s">
        <v>643</v>
      </c>
      <c r="B275" t="s">
        <v>180</v>
      </c>
      <c r="C275" t="s">
        <v>644</v>
      </c>
      <c r="D275" t="str">
        <f>TRIM(Tabulka1[[#This Row],[Jméno]])</f>
        <v>Jaroslav</v>
      </c>
      <c r="E275" t="str">
        <f>TRIM(Tabulka1[[#This Row],[Příjmení]])</f>
        <v>Skoda</v>
      </c>
      <c r="F275" s="2" t="str">
        <f>MID(Tabulka1[[#This Row],[Adresa]],1,SEARCH(",",Tabulka1[[#This Row],[Adresa]])-1)</f>
        <v>Dobrovského 1207</v>
      </c>
      <c r="G275" s="2" t="str">
        <f>RIGHT(Tabulka1[[#This Row],[Adresa]],LEN(Tabulka1[[#This Row],[Adresa]])-LEN(Tabulka1[[#This Row],[Ulice]])-1)</f>
        <v>Trebíc 1</v>
      </c>
      <c r="H275" s="2" t="str">
        <f>_xlfn.CONCAT(LOWER(Tabulka1[[#This Row],[Příjmení bez mezer]]),".",LOWER(Tabulka1[[#This Row],[Jméno bez mezer]]),"@firmaabc.cz")</f>
        <v>skoda.jaroslav@firmaabc.cz</v>
      </c>
      <c r="I275" s="2" t="str">
        <f>_xlfn.CONCAT(LEFT(LOWER(Tabulka1[[#This Row],[Příjmení bez mezer]]),3),RIGHT(UPPER(Tabulka1[[#This Row],[Jméno bez mezer]]),2))</f>
        <v>skoAV</v>
      </c>
    </row>
    <row r="276" spans="1:9">
      <c r="A276" s="2" t="s">
        <v>645</v>
      </c>
      <c r="B276" t="s">
        <v>592</v>
      </c>
      <c r="C276" t="s">
        <v>365</v>
      </c>
      <c r="D276" t="str">
        <f>TRIM(Tabulka1[[#This Row],[Jméno]])</f>
        <v>Kristyna</v>
      </c>
      <c r="E276" t="str">
        <f>TRIM(Tabulka1[[#This Row],[Příjmení]])</f>
        <v>Hajkova</v>
      </c>
      <c r="F276" s="2" t="str">
        <f>MID(Tabulka1[[#This Row],[Adresa]],1,SEARCH(",",Tabulka1[[#This Row],[Adresa]])-1)</f>
        <v>Jana Šťastného 43</v>
      </c>
      <c r="G276" s="2" t="str">
        <f>RIGHT(Tabulka1[[#This Row],[Adresa]],LEN(Tabulka1[[#This Row],[Adresa]])-LEN(Tabulka1[[#This Row],[Ulice]])-1)</f>
        <v>Kamenice</v>
      </c>
      <c r="H276" s="2" t="str">
        <f>_xlfn.CONCAT(LOWER(Tabulka1[[#This Row],[Příjmení bez mezer]]),".",LOWER(Tabulka1[[#This Row],[Jméno bez mezer]]),"@firmaabc.cz")</f>
        <v>hajkova.kristyna@firmaabc.cz</v>
      </c>
      <c r="I276" s="2" t="str">
        <f>_xlfn.CONCAT(LEFT(LOWER(Tabulka1[[#This Row],[Příjmení bez mezer]]),3),RIGHT(UPPER(Tabulka1[[#This Row],[Jméno bez mezer]]),2))</f>
        <v>hajNA</v>
      </c>
    </row>
    <row r="277" spans="1:9" ht="30">
      <c r="A277" s="2" t="s">
        <v>646</v>
      </c>
      <c r="B277" t="s">
        <v>255</v>
      </c>
      <c r="C277" t="s">
        <v>647</v>
      </c>
      <c r="D277" t="str">
        <f>TRIM(Tabulka1[[#This Row],[Jméno]])</f>
        <v>Eva</v>
      </c>
      <c r="E277" t="str">
        <f>TRIM(Tabulka1[[#This Row],[Příjmení]])</f>
        <v>Doubravova</v>
      </c>
      <c r="F277" s="2" t="str">
        <f>MID(Tabulka1[[#This Row],[Adresa]],1,SEARCH(",",Tabulka1[[#This Row],[Adresa]])-1)</f>
        <v>Kovářská 1954</v>
      </c>
      <c r="G277" s="2" t="str">
        <f>RIGHT(Tabulka1[[#This Row],[Adresa]],LEN(Tabulka1[[#This Row],[Adresa]])-LEN(Tabulka1[[#This Row],[Ulice]])-1)</f>
        <v>Ústí nad Labem 2</v>
      </c>
      <c r="H277" s="2" t="str">
        <f>_xlfn.CONCAT(LOWER(Tabulka1[[#This Row],[Příjmení bez mezer]]),".",LOWER(Tabulka1[[#This Row],[Jméno bez mezer]]),"@firmaabc.cz")</f>
        <v>doubravova.eva@firmaabc.cz</v>
      </c>
      <c r="I277" s="2" t="str">
        <f>_xlfn.CONCAT(LEFT(LOWER(Tabulka1[[#This Row],[Příjmení bez mezer]]),3),RIGHT(UPPER(Tabulka1[[#This Row],[Jméno bez mezer]]),2))</f>
        <v>douVA</v>
      </c>
    </row>
    <row r="278" spans="1:9">
      <c r="A278" s="2" t="s">
        <v>648</v>
      </c>
      <c r="B278" t="s">
        <v>649</v>
      </c>
      <c r="C278" t="s">
        <v>334</v>
      </c>
      <c r="D278" t="str">
        <f>TRIM(Tabulka1[[#This Row],[Jméno]])</f>
        <v>Marcel</v>
      </c>
      <c r="E278" t="str">
        <f>TRIM(Tabulka1[[#This Row],[Příjmení]])</f>
        <v>?Prochazka</v>
      </c>
      <c r="F278" s="2" t="str">
        <f>MID(Tabulka1[[#This Row],[Adresa]],1,SEARCH(",",Tabulka1[[#This Row],[Adresa]])-1)</f>
        <v>Jana Nerudy 765</v>
      </c>
      <c r="G278" s="2" t="str">
        <f>RIGHT(Tabulka1[[#This Row],[Adresa]],LEN(Tabulka1[[#This Row],[Adresa]])-LEN(Tabulka1[[#This Row],[Ulice]])-1)</f>
        <v>Nová Paka</v>
      </c>
      <c r="H278" s="2" t="str">
        <f>_xlfn.CONCAT(LOWER(Tabulka1[[#This Row],[Příjmení bez mezer]]),".",LOWER(Tabulka1[[#This Row],[Jméno bez mezer]]),"@firmaabc.cz")</f>
        <v>?prochazka.marcel@firmaabc.cz</v>
      </c>
      <c r="I278" s="2" t="str">
        <f>_xlfn.CONCAT(LEFT(LOWER(Tabulka1[[#This Row],[Příjmení bez mezer]]),3),RIGHT(UPPER(Tabulka1[[#This Row],[Jméno bez mezer]]),2))</f>
        <v>?prEL</v>
      </c>
    </row>
    <row r="279" spans="1:9">
      <c r="A279" s="2" t="s">
        <v>650</v>
      </c>
      <c r="B279" t="s">
        <v>98</v>
      </c>
      <c r="C279" t="s">
        <v>651</v>
      </c>
      <c r="D279" t="str">
        <f>TRIM(Tabulka1[[#This Row],[Jméno]])</f>
        <v>Lukas</v>
      </c>
      <c r="E279" t="str">
        <f>TRIM(Tabulka1[[#This Row],[Příjmení]])</f>
        <v>Rysavy</v>
      </c>
      <c r="F279" s="2" t="str">
        <f>MID(Tabulka1[[#This Row],[Adresa]],1,SEARCH(",",Tabulka1[[#This Row],[Adresa]])-1)</f>
        <v>U divadla 867</v>
      </c>
      <c r="G279" s="2" t="str">
        <f>RIGHT(Tabulka1[[#This Row],[Adresa]],LEN(Tabulka1[[#This Row],[Adresa]])-LEN(Tabulka1[[#This Row],[Ulice]])-1)</f>
        <v>Teplice 1</v>
      </c>
      <c r="H279" s="2" t="str">
        <f>_xlfn.CONCAT(LOWER(Tabulka1[[#This Row],[Příjmení bez mezer]]),".",LOWER(Tabulka1[[#This Row],[Jméno bez mezer]]),"@firmaabc.cz")</f>
        <v>rysavy.lukas@firmaabc.cz</v>
      </c>
      <c r="I279" s="2" t="str">
        <f>_xlfn.CONCAT(LEFT(LOWER(Tabulka1[[#This Row],[Příjmení bez mezer]]),3),RIGHT(UPPER(Tabulka1[[#This Row],[Jméno bez mezer]]),2))</f>
        <v>rysAS</v>
      </c>
    </row>
    <row r="280" spans="1:9" ht="30">
      <c r="A280" s="2" t="s">
        <v>652</v>
      </c>
      <c r="B280" t="s">
        <v>115</v>
      </c>
      <c r="C280" t="s">
        <v>653</v>
      </c>
      <c r="D280" t="str">
        <f>TRIM(Tabulka1[[#This Row],[Jméno]])</f>
        <v>Jiri</v>
      </c>
      <c r="E280" t="str">
        <f>TRIM(Tabulka1[[#This Row],[Příjmení]])</f>
        <v>Dedic</v>
      </c>
      <c r="F280" s="2" t="str">
        <f>MID(Tabulka1[[#This Row],[Adresa]],1,SEARCH(",",Tabulka1[[#This Row],[Adresa]])-1)</f>
        <v>Ke hřišti 581</v>
      </c>
      <c r="G280" s="2" t="str">
        <f>RIGHT(Tabulka1[[#This Row],[Adresa]],LEN(Tabulka1[[#This Row],[Adresa]])-LEN(Tabulka1[[#This Row],[Ulice]])-1)</f>
        <v>Týnec nad Labem</v>
      </c>
      <c r="H280" s="2" t="str">
        <f>_xlfn.CONCAT(LOWER(Tabulka1[[#This Row],[Příjmení bez mezer]]),".",LOWER(Tabulka1[[#This Row],[Jméno bez mezer]]),"@firmaabc.cz")</f>
        <v>dedic.jiri@firmaabc.cz</v>
      </c>
      <c r="I280" s="2" t="str">
        <f>_xlfn.CONCAT(LEFT(LOWER(Tabulka1[[#This Row],[Příjmení bez mezer]]),3),RIGHT(UPPER(Tabulka1[[#This Row],[Jméno bez mezer]]),2))</f>
        <v>dedRI</v>
      </c>
    </row>
    <row r="281" spans="1:9">
      <c r="A281" s="2" t="s">
        <v>654</v>
      </c>
      <c r="B281" t="s">
        <v>98</v>
      </c>
      <c r="C281" t="s">
        <v>353</v>
      </c>
      <c r="D281" t="str">
        <f>TRIM(Tabulka1[[#This Row],[Jméno]])</f>
        <v>Lukas</v>
      </c>
      <c r="E281" t="str">
        <f>TRIM(Tabulka1[[#This Row],[Příjmení]])</f>
        <v>?Cerny</v>
      </c>
      <c r="F281" s="2" t="str">
        <f>MID(Tabulka1[[#This Row],[Adresa]],1,SEARCH(",",Tabulka1[[#This Row],[Adresa]])-1)</f>
        <v>Nové Město 735</v>
      </c>
      <c r="G281" s="2" t="str">
        <f>RIGHT(Tabulka1[[#This Row],[Adresa]],LEN(Tabulka1[[#This Row],[Adresa]])-LEN(Tabulka1[[#This Row],[Ulice]])-1)</f>
        <v>Dušejov</v>
      </c>
      <c r="H281" s="2" t="str">
        <f>_xlfn.CONCAT(LOWER(Tabulka1[[#This Row],[Příjmení bez mezer]]),".",LOWER(Tabulka1[[#This Row],[Jméno bez mezer]]),"@firmaabc.cz")</f>
        <v>?cerny.lukas@firmaabc.cz</v>
      </c>
      <c r="I281" s="2" t="str">
        <f>_xlfn.CONCAT(LEFT(LOWER(Tabulka1[[#This Row],[Příjmení bez mezer]]),3),RIGHT(UPPER(Tabulka1[[#This Row],[Jméno bez mezer]]),2))</f>
        <v>?ceAS</v>
      </c>
    </row>
    <row r="282" spans="1:9" ht="30">
      <c r="A282" s="2" t="s">
        <v>655</v>
      </c>
      <c r="B282" t="s">
        <v>98</v>
      </c>
      <c r="C282" t="s">
        <v>656</v>
      </c>
      <c r="D282" t="str">
        <f>TRIM(Tabulka1[[#This Row],[Jméno]])</f>
        <v>Lukas</v>
      </c>
      <c r="E282" t="str">
        <f>TRIM(Tabulka1[[#This Row],[Příjmení]])</f>
        <v>?Horak</v>
      </c>
      <c r="F282" s="2" t="str">
        <f>MID(Tabulka1[[#This Row],[Adresa]],1,SEARCH(",",Tabulka1[[#This Row],[Adresa]])-1)</f>
        <v>Na Průhonu 769</v>
      </c>
      <c r="G282" s="2" t="str">
        <f>RIGHT(Tabulka1[[#This Row],[Adresa]],LEN(Tabulka1[[#This Row],[Adresa]])-LEN(Tabulka1[[#This Row],[Ulice]])-1)</f>
        <v>Mnichovo Hradište</v>
      </c>
      <c r="H282" s="2" t="str">
        <f>_xlfn.CONCAT(LOWER(Tabulka1[[#This Row],[Příjmení bez mezer]]),".",LOWER(Tabulka1[[#This Row],[Jméno bez mezer]]),"@firmaabc.cz")</f>
        <v>?horak.lukas@firmaabc.cz</v>
      </c>
      <c r="I282" s="2" t="str">
        <f>_xlfn.CONCAT(LEFT(LOWER(Tabulka1[[#This Row],[Příjmení bez mezer]]),3),RIGHT(UPPER(Tabulka1[[#This Row],[Jméno bez mezer]]),2))</f>
        <v>?hoAS</v>
      </c>
    </row>
    <row r="283" spans="1:9">
      <c r="A283" s="2" t="s">
        <v>657</v>
      </c>
      <c r="B283" t="s">
        <v>32</v>
      </c>
      <c r="C283" t="s">
        <v>290</v>
      </c>
      <c r="D283" t="str">
        <f>TRIM(Tabulka1[[#This Row],[Jméno]])</f>
        <v>Michal</v>
      </c>
      <c r="E283" t="str">
        <f>TRIM(Tabulka1[[#This Row],[Příjmení]])</f>
        <v>Konecny</v>
      </c>
      <c r="F283" s="2" t="str">
        <f>MID(Tabulka1[[#This Row],[Adresa]],1,SEARCH(",",Tabulka1[[#This Row],[Adresa]])-1)</f>
        <v>Družstevní 317</v>
      </c>
      <c r="G283" s="2" t="str">
        <f>RIGHT(Tabulka1[[#This Row],[Adresa]],LEN(Tabulka1[[#This Row],[Adresa]])-LEN(Tabulka1[[#This Row],[Ulice]])-1)</f>
        <v>Holoubkov</v>
      </c>
      <c r="H283" s="2" t="str">
        <f>_xlfn.CONCAT(LOWER(Tabulka1[[#This Row],[Příjmení bez mezer]]),".",LOWER(Tabulka1[[#This Row],[Jméno bez mezer]]),"@firmaabc.cz")</f>
        <v>konecny.michal@firmaabc.cz</v>
      </c>
      <c r="I283" s="2" t="str">
        <f>_xlfn.CONCAT(LEFT(LOWER(Tabulka1[[#This Row],[Příjmení bez mezer]]),3),RIGHT(UPPER(Tabulka1[[#This Row],[Jméno bez mezer]]),2))</f>
        <v>konAL</v>
      </c>
    </row>
    <row r="284" spans="1:9">
      <c r="A284" s="2" t="s">
        <v>658</v>
      </c>
      <c r="B284" t="s">
        <v>255</v>
      </c>
      <c r="C284" t="s">
        <v>659</v>
      </c>
      <c r="D284" t="str">
        <f>TRIM(Tabulka1[[#This Row],[Jméno]])</f>
        <v>Eva</v>
      </c>
      <c r="E284" t="str">
        <f>TRIM(Tabulka1[[#This Row],[Příjmení]])</f>
        <v>Halfarova</v>
      </c>
      <c r="F284" s="2" t="str">
        <f>MID(Tabulka1[[#This Row],[Adresa]],1,SEARCH(",",Tabulka1[[#This Row],[Adresa]])-1)</f>
        <v>Havlíčkova 1722</v>
      </c>
      <c r="G284" s="2" t="str">
        <f>RIGHT(Tabulka1[[#This Row],[Adresa]],LEN(Tabulka1[[#This Row],[Adresa]])-LEN(Tabulka1[[#This Row],[Ulice]])-1)</f>
        <v>Dobríš</v>
      </c>
      <c r="H284" s="2" t="str">
        <f>_xlfn.CONCAT(LOWER(Tabulka1[[#This Row],[Příjmení bez mezer]]),".",LOWER(Tabulka1[[#This Row],[Jméno bez mezer]]),"@firmaabc.cz")</f>
        <v>halfarova.eva@firmaabc.cz</v>
      </c>
      <c r="I284" s="2" t="str">
        <f>_xlfn.CONCAT(LEFT(LOWER(Tabulka1[[#This Row],[Příjmení bez mezer]]),3),RIGHT(UPPER(Tabulka1[[#This Row],[Jméno bez mezer]]),2))</f>
        <v>halVA</v>
      </c>
    </row>
    <row r="285" spans="1:9">
      <c r="A285" s="2" t="s">
        <v>660</v>
      </c>
      <c r="B285" t="s">
        <v>425</v>
      </c>
      <c r="C285" t="s">
        <v>661</v>
      </c>
      <c r="D285" t="str">
        <f>TRIM(Tabulka1[[#This Row],[Jméno]])</f>
        <v>Ruzena</v>
      </c>
      <c r="E285" t="str">
        <f>TRIM(Tabulka1[[#This Row],[Příjmení]])</f>
        <v>Gorolova</v>
      </c>
      <c r="F285" s="2" t="str">
        <f>MID(Tabulka1[[#This Row],[Adresa]],1,SEARCH(",",Tabulka1[[#This Row],[Adresa]])-1)</f>
        <v>U Parku 1519</v>
      </c>
      <c r="G285" s="2" t="str">
        <f>RIGHT(Tabulka1[[#This Row],[Adresa]],LEN(Tabulka1[[#This Row],[Adresa]])-LEN(Tabulka1[[#This Row],[Ulice]])-1)</f>
        <v>Borek</v>
      </c>
      <c r="H285" s="2" t="str">
        <f>_xlfn.CONCAT(LOWER(Tabulka1[[#This Row],[Příjmení bez mezer]]),".",LOWER(Tabulka1[[#This Row],[Jméno bez mezer]]),"@firmaabc.cz")</f>
        <v>gorolova.ruzena@firmaabc.cz</v>
      </c>
      <c r="I285" s="2" t="str">
        <f>_xlfn.CONCAT(LEFT(LOWER(Tabulka1[[#This Row],[Příjmení bez mezer]]),3),RIGHT(UPPER(Tabulka1[[#This Row],[Jméno bez mezer]]),2))</f>
        <v>gorNA</v>
      </c>
    </row>
    <row r="286" spans="1:9">
      <c r="A286" s="2" t="s">
        <v>662</v>
      </c>
      <c r="B286" t="s">
        <v>172</v>
      </c>
      <c r="C286" t="s">
        <v>663</v>
      </c>
      <c r="D286" t="str">
        <f>TRIM(Tabulka1[[#This Row],[Jméno]])</f>
        <v>David</v>
      </c>
      <c r="E286" t="str">
        <f>TRIM(Tabulka1[[#This Row],[Příjmení]])</f>
        <v>Petras</v>
      </c>
      <c r="F286" s="2" t="str">
        <f>MID(Tabulka1[[#This Row],[Adresa]],1,SEARCH(",",Tabulka1[[#This Row],[Adresa]])-1)</f>
        <v>Střední 883</v>
      </c>
      <c r="G286" s="2" t="str">
        <f>RIGHT(Tabulka1[[#This Row],[Adresa]],LEN(Tabulka1[[#This Row],[Adresa]])-LEN(Tabulka1[[#This Row],[Ulice]])-1)</f>
        <v>Stod</v>
      </c>
      <c r="H286" s="2" t="str">
        <f>_xlfn.CONCAT(LOWER(Tabulka1[[#This Row],[Příjmení bez mezer]]),".",LOWER(Tabulka1[[#This Row],[Jméno bez mezer]]),"@firmaabc.cz")</f>
        <v>petras.david@firmaabc.cz</v>
      </c>
      <c r="I286" s="2" t="str">
        <f>_xlfn.CONCAT(LEFT(LOWER(Tabulka1[[#This Row],[Příjmení bez mezer]]),3),RIGHT(UPPER(Tabulka1[[#This Row],[Jméno bez mezer]]),2))</f>
        <v>petID</v>
      </c>
    </row>
    <row r="287" spans="1:9">
      <c r="A287" s="2" t="s">
        <v>664</v>
      </c>
      <c r="B287" t="s">
        <v>313</v>
      </c>
      <c r="C287" t="s">
        <v>665</v>
      </c>
      <c r="D287" t="str">
        <f>TRIM(Tabulka1[[#This Row],[Jméno]])</f>
        <v>Lucie</v>
      </c>
      <c r="E287" t="str">
        <f>TRIM(Tabulka1[[#This Row],[Příjmení]])</f>
        <v>Chytilova</v>
      </c>
      <c r="F287" s="2" t="str">
        <f>MID(Tabulka1[[#This Row],[Adresa]],1,SEARCH(",",Tabulka1[[#This Row],[Adresa]])-1)</f>
        <v>Dobrovského 1582</v>
      </c>
      <c r="G287" s="2" t="str">
        <f>RIGHT(Tabulka1[[#This Row],[Adresa]],LEN(Tabulka1[[#This Row],[Adresa]])-LEN(Tabulka1[[#This Row],[Ulice]])-1)</f>
        <v>Trebíc 1</v>
      </c>
      <c r="H287" s="2" t="str">
        <f>_xlfn.CONCAT(LOWER(Tabulka1[[#This Row],[Příjmení bez mezer]]),".",LOWER(Tabulka1[[#This Row],[Jméno bez mezer]]),"@firmaabc.cz")</f>
        <v>chytilova.lucie@firmaabc.cz</v>
      </c>
      <c r="I287" s="2" t="str">
        <f>_xlfn.CONCAT(LEFT(LOWER(Tabulka1[[#This Row],[Příjmení bez mezer]]),3),RIGHT(UPPER(Tabulka1[[#This Row],[Jméno bez mezer]]),2))</f>
        <v>chyIE</v>
      </c>
    </row>
    <row r="288" spans="1:9" ht="30">
      <c r="A288" s="2" t="s">
        <v>666</v>
      </c>
      <c r="B288" t="s">
        <v>584</v>
      </c>
      <c r="C288" t="s">
        <v>667</v>
      </c>
      <c r="D288" t="str">
        <f>TRIM(Tabulka1[[#This Row],[Jméno]])</f>
        <v>Boleslav</v>
      </c>
      <c r="E288" t="str">
        <f>TRIM(Tabulka1[[#This Row],[Příjmení]])</f>
        <v>Poul</v>
      </c>
      <c r="F288" s="2" t="str">
        <f>MID(Tabulka1[[#This Row],[Adresa]],1,SEARCH(",",Tabulka1[[#This Row],[Adresa]])-1)</f>
        <v>Bratří Čapků 32</v>
      </c>
      <c r="G288" s="2" t="str">
        <f>RIGHT(Tabulka1[[#This Row],[Adresa]],LEN(Tabulka1[[#This Row],[Adresa]])-LEN(Tabulka1[[#This Row],[Ulice]])-1)</f>
        <v>Nové Mesto nad Metují 1</v>
      </c>
      <c r="H288" s="2" t="str">
        <f>_xlfn.CONCAT(LOWER(Tabulka1[[#This Row],[Příjmení bez mezer]]),".",LOWER(Tabulka1[[#This Row],[Jméno bez mezer]]),"@firmaabc.cz")</f>
        <v>poul.boleslav@firmaabc.cz</v>
      </c>
      <c r="I288" s="2" t="str">
        <f>_xlfn.CONCAT(LEFT(LOWER(Tabulka1[[#This Row],[Příjmení bez mezer]]),3),RIGHT(UPPER(Tabulka1[[#This Row],[Jméno bez mezer]]),2))</f>
        <v>pouAV</v>
      </c>
    </row>
    <row r="289" spans="1:9">
      <c r="A289" s="2" t="s">
        <v>668</v>
      </c>
      <c r="B289" t="s">
        <v>442</v>
      </c>
      <c r="C289" t="s">
        <v>669</v>
      </c>
      <c r="D289" t="str">
        <f>TRIM(Tabulka1[[#This Row],[Jméno]])</f>
        <v>Ludek</v>
      </c>
      <c r="E289" t="str">
        <f>TRIM(Tabulka1[[#This Row],[Příjmení]])</f>
        <v>Liska</v>
      </c>
      <c r="F289" s="2" t="str">
        <f>MID(Tabulka1[[#This Row],[Adresa]],1,SEARCH(",",Tabulka1[[#This Row],[Adresa]])-1)</f>
        <v>Na Kopci 497</v>
      </c>
      <c r="G289" s="2" t="str">
        <f>RIGHT(Tabulka1[[#This Row],[Adresa]],LEN(Tabulka1[[#This Row],[Adresa]])-LEN(Tabulka1[[#This Row],[Ulice]])-1)</f>
        <v>Sezemice</v>
      </c>
      <c r="H289" s="2" t="str">
        <f>_xlfn.CONCAT(LOWER(Tabulka1[[#This Row],[Příjmení bez mezer]]),".",LOWER(Tabulka1[[#This Row],[Jméno bez mezer]]),"@firmaabc.cz")</f>
        <v>liska.ludek@firmaabc.cz</v>
      </c>
      <c r="I289" s="2" t="str">
        <f>_xlfn.CONCAT(LEFT(LOWER(Tabulka1[[#This Row],[Příjmení bez mezer]]),3),RIGHT(UPPER(Tabulka1[[#This Row],[Jméno bez mezer]]),2))</f>
        <v>lisEK</v>
      </c>
    </row>
    <row r="290" spans="1:9" ht="30">
      <c r="A290" s="2" t="s">
        <v>670</v>
      </c>
      <c r="B290" t="s">
        <v>255</v>
      </c>
      <c r="C290" t="s">
        <v>671</v>
      </c>
      <c r="D290" t="str">
        <f>TRIM(Tabulka1[[#This Row],[Jméno]])</f>
        <v>Eva</v>
      </c>
      <c r="E290" t="str">
        <f>TRIM(Tabulka1[[#This Row],[Příjmení]])</f>
        <v>Luksova</v>
      </c>
      <c r="F290" s="2" t="str">
        <f>MID(Tabulka1[[#This Row],[Adresa]],1,SEARCH(",",Tabulka1[[#This Row],[Adresa]])-1)</f>
        <v>Jiřího z Poděbrad 413</v>
      </c>
      <c r="G290" s="2" t="str">
        <f>RIGHT(Tabulka1[[#This Row],[Adresa]],LEN(Tabulka1[[#This Row],[Adresa]])-LEN(Tabulka1[[#This Row],[Ulice]])-1)</f>
        <v>Vernerice</v>
      </c>
      <c r="H290" s="2" t="str">
        <f>_xlfn.CONCAT(LOWER(Tabulka1[[#This Row],[Příjmení bez mezer]]),".",LOWER(Tabulka1[[#This Row],[Jméno bez mezer]]),"@firmaabc.cz")</f>
        <v>luksova.eva@firmaabc.cz</v>
      </c>
      <c r="I290" s="2" t="str">
        <f>_xlfn.CONCAT(LEFT(LOWER(Tabulka1[[#This Row],[Příjmení bez mezer]]),3),RIGHT(UPPER(Tabulka1[[#This Row],[Jméno bez mezer]]),2))</f>
        <v>lukVA</v>
      </c>
    </row>
    <row r="291" spans="1:9">
      <c r="A291" s="2" t="s">
        <v>672</v>
      </c>
      <c r="B291" t="s">
        <v>112</v>
      </c>
      <c r="C291" t="s">
        <v>673</v>
      </c>
      <c r="D291" t="str">
        <f>TRIM(Tabulka1[[#This Row],[Jméno]])</f>
        <v>Oldrich</v>
      </c>
      <c r="E291" t="str">
        <f>TRIM(Tabulka1[[#This Row],[Příjmení]])</f>
        <v>Rak</v>
      </c>
      <c r="F291" s="2" t="str">
        <f>MID(Tabulka1[[#This Row],[Adresa]],1,SEARCH(",",Tabulka1[[#This Row],[Adresa]])-1)</f>
        <v>Havlíčkova 624</v>
      </c>
      <c r="G291" s="2" t="str">
        <f>RIGHT(Tabulka1[[#This Row],[Adresa]],LEN(Tabulka1[[#This Row],[Adresa]])-LEN(Tabulka1[[#This Row],[Ulice]])-1)</f>
        <v>Výsluní</v>
      </c>
      <c r="H291" s="2" t="str">
        <f>_xlfn.CONCAT(LOWER(Tabulka1[[#This Row],[Příjmení bez mezer]]),".",LOWER(Tabulka1[[#This Row],[Jméno bez mezer]]),"@firmaabc.cz")</f>
        <v>rak.oldrich@firmaabc.cz</v>
      </c>
      <c r="I291" s="2" t="str">
        <f>_xlfn.CONCAT(LEFT(LOWER(Tabulka1[[#This Row],[Příjmení bez mezer]]),3),RIGHT(UPPER(Tabulka1[[#This Row],[Jméno bez mezer]]),2))</f>
        <v>rakCH</v>
      </c>
    </row>
    <row r="292" spans="1:9">
      <c r="A292" s="2" t="s">
        <v>674</v>
      </c>
      <c r="B292" t="s">
        <v>191</v>
      </c>
      <c r="C292" t="s">
        <v>675</v>
      </c>
      <c r="D292" t="str">
        <f>TRIM(Tabulka1[[#This Row],[Jméno]])</f>
        <v>Jana</v>
      </c>
      <c r="E292" t="str">
        <f>TRIM(Tabulka1[[#This Row],[Příjmení]])</f>
        <v>Benesova</v>
      </c>
      <c r="F292" s="2" t="str">
        <f>MID(Tabulka1[[#This Row],[Adresa]],1,SEARCH(",",Tabulka1[[#This Row],[Adresa]])-1)</f>
        <v>Příkopy 400</v>
      </c>
      <c r="G292" s="2" t="str">
        <f>RIGHT(Tabulka1[[#This Row],[Adresa]],LEN(Tabulka1[[#This Row],[Adresa]])-LEN(Tabulka1[[#This Row],[Ulice]])-1)</f>
        <v>Ústí nad Orlicí 1</v>
      </c>
      <c r="H292" s="2" t="str">
        <f>_xlfn.CONCAT(LOWER(Tabulka1[[#This Row],[Příjmení bez mezer]]),".",LOWER(Tabulka1[[#This Row],[Jméno bez mezer]]),"@firmaabc.cz")</f>
        <v>benesova.jana@firmaabc.cz</v>
      </c>
      <c r="I292" s="2" t="str">
        <f>_xlfn.CONCAT(LEFT(LOWER(Tabulka1[[#This Row],[Příjmení bez mezer]]),3),RIGHT(UPPER(Tabulka1[[#This Row],[Jméno bez mezer]]),2))</f>
        <v>benNA</v>
      </c>
    </row>
    <row r="293" spans="1:9" ht="30">
      <c r="A293" s="2" t="s">
        <v>676</v>
      </c>
      <c r="B293" t="s">
        <v>677</v>
      </c>
      <c r="C293" t="s">
        <v>389</v>
      </c>
      <c r="D293" t="str">
        <f>TRIM(Tabulka1[[#This Row],[Jméno]])</f>
        <v>Radka</v>
      </c>
      <c r="E293" t="str">
        <f>TRIM(Tabulka1[[#This Row],[Příjmení]])</f>
        <v>Vaneckova</v>
      </c>
      <c r="F293" s="2" t="str">
        <f>MID(Tabulka1[[#This Row],[Adresa]],1,SEARCH(",",Tabulka1[[#This Row],[Adresa]])-1)</f>
        <v>Nové Město 1</v>
      </c>
      <c r="G293" s="2" t="str">
        <f>RIGHT(Tabulka1[[#This Row],[Adresa]],LEN(Tabulka1[[#This Row],[Adresa]])-LEN(Tabulka1[[#This Row],[Ulice]])-1)</f>
        <v>Ledec nad Sázavou</v>
      </c>
      <c r="H293" s="2" t="str">
        <f>_xlfn.CONCAT(LOWER(Tabulka1[[#This Row],[Příjmení bez mezer]]),".",LOWER(Tabulka1[[#This Row],[Jméno bez mezer]]),"@firmaabc.cz")</f>
        <v>vaneckova.radka@firmaabc.cz</v>
      </c>
      <c r="I293" s="2" t="str">
        <f>_xlfn.CONCAT(LEFT(LOWER(Tabulka1[[#This Row],[Příjmení bez mezer]]),3),RIGHT(UPPER(Tabulka1[[#This Row],[Jméno bez mezer]]),2))</f>
        <v>vanKA</v>
      </c>
    </row>
    <row r="294" spans="1:9">
      <c r="A294" s="2" t="s">
        <v>678</v>
      </c>
      <c r="B294" t="s">
        <v>679</v>
      </c>
      <c r="C294" t="s">
        <v>680</v>
      </c>
      <c r="D294" t="str">
        <f>TRIM(Tabulka1[[#This Row],[Jméno]])</f>
        <v>Miluse</v>
      </c>
      <c r="E294" t="str">
        <f>TRIM(Tabulka1[[#This Row],[Příjmení]])</f>
        <v>Masterova</v>
      </c>
      <c r="F294" s="2" t="str">
        <f>MID(Tabulka1[[#This Row],[Adresa]],1,SEARCH(",",Tabulka1[[#This Row],[Adresa]])-1)</f>
        <v>Jabloňová 119</v>
      </c>
      <c r="G294" s="2" t="str">
        <f>RIGHT(Tabulka1[[#This Row],[Adresa]],LEN(Tabulka1[[#This Row],[Adresa]])-LEN(Tabulka1[[#This Row],[Ulice]])-1)</f>
        <v>Luže</v>
      </c>
      <c r="H294" s="2" t="str">
        <f>_xlfn.CONCAT(LOWER(Tabulka1[[#This Row],[Příjmení bez mezer]]),".",LOWER(Tabulka1[[#This Row],[Jméno bez mezer]]),"@firmaabc.cz")</f>
        <v>masterova.miluse@firmaabc.cz</v>
      </c>
      <c r="I294" s="2" t="str">
        <f>_xlfn.CONCAT(LEFT(LOWER(Tabulka1[[#This Row],[Příjmení bez mezer]]),3),RIGHT(UPPER(Tabulka1[[#This Row],[Jméno bez mezer]]),2))</f>
        <v>masSE</v>
      </c>
    </row>
    <row r="295" spans="1:9">
      <c r="A295" s="2" t="s">
        <v>681</v>
      </c>
      <c r="B295" t="s">
        <v>260</v>
      </c>
      <c r="C295" t="s">
        <v>682</v>
      </c>
      <c r="D295" t="str">
        <f>TRIM(Tabulka1[[#This Row],[Jméno]])</f>
        <v>Bohuslav</v>
      </c>
      <c r="E295" t="str">
        <f>TRIM(Tabulka1[[#This Row],[Příjmení]])</f>
        <v>Prochazka</v>
      </c>
      <c r="F295" s="2" t="str">
        <f>MID(Tabulka1[[#This Row],[Adresa]],1,SEARCH(",",Tabulka1[[#This Row],[Adresa]])-1)</f>
        <v>Suhrady 735</v>
      </c>
      <c r="G295" s="2" t="str">
        <f>RIGHT(Tabulka1[[#This Row],[Adresa]],LEN(Tabulka1[[#This Row],[Adresa]])-LEN(Tabulka1[[#This Row],[Ulice]])-1)</f>
        <v>Ludgerovice</v>
      </c>
      <c r="H295" s="2" t="str">
        <f>_xlfn.CONCAT(LOWER(Tabulka1[[#This Row],[Příjmení bez mezer]]),".",LOWER(Tabulka1[[#This Row],[Jméno bez mezer]]),"@firmaabc.cz")</f>
        <v>prochazka.bohuslav@firmaabc.cz</v>
      </c>
      <c r="I295" s="2" t="str">
        <f>_xlfn.CONCAT(LEFT(LOWER(Tabulka1[[#This Row],[Příjmení bez mezer]]),3),RIGHT(UPPER(Tabulka1[[#This Row],[Jméno bez mezer]]),2))</f>
        <v>proAV</v>
      </c>
    </row>
    <row r="296" spans="1:9">
      <c r="A296" s="2" t="s">
        <v>683</v>
      </c>
      <c r="B296" t="s">
        <v>684</v>
      </c>
      <c r="C296" t="s">
        <v>685</v>
      </c>
      <c r="D296" t="str">
        <f>TRIM(Tabulka1[[#This Row],[Jméno]])</f>
        <v>Vladimira</v>
      </c>
      <c r="E296" t="str">
        <f>TRIM(Tabulka1[[#This Row],[Příjmení]])</f>
        <v>Pospisilova</v>
      </c>
      <c r="F296" s="2" t="str">
        <f>MID(Tabulka1[[#This Row],[Adresa]],1,SEARCH(",",Tabulka1[[#This Row],[Adresa]])-1)</f>
        <v>Nová 1626</v>
      </c>
      <c r="G296" s="2" t="str">
        <f>RIGHT(Tabulka1[[#This Row],[Adresa]],LEN(Tabulka1[[#This Row],[Adresa]])-LEN(Tabulka1[[#This Row],[Ulice]])-1)</f>
        <v>Mšeno u Melníka</v>
      </c>
      <c r="H296" s="2" t="str">
        <f>_xlfn.CONCAT(LOWER(Tabulka1[[#This Row],[Příjmení bez mezer]]),".",LOWER(Tabulka1[[#This Row],[Jméno bez mezer]]),"@firmaabc.cz")</f>
        <v>pospisilova.vladimira@firmaabc.cz</v>
      </c>
      <c r="I296" s="2" t="str">
        <f>_xlfn.CONCAT(LEFT(LOWER(Tabulka1[[#This Row],[Příjmení bez mezer]]),3),RIGHT(UPPER(Tabulka1[[#This Row],[Jméno bez mezer]]),2))</f>
        <v>posRA</v>
      </c>
    </row>
    <row r="297" spans="1:9" ht="30">
      <c r="A297" s="2" t="s">
        <v>686</v>
      </c>
      <c r="B297" t="s">
        <v>687</v>
      </c>
      <c r="C297" t="s">
        <v>688</v>
      </c>
      <c r="D297" t="str">
        <f>TRIM(Tabulka1[[#This Row],[Jméno]])</f>
        <v>Vlastislav</v>
      </c>
      <c r="E297" t="str">
        <f>TRIM(Tabulka1[[#This Row],[Příjmení]])</f>
        <v>Repa</v>
      </c>
      <c r="F297" s="2" t="str">
        <f>MID(Tabulka1[[#This Row],[Adresa]],1,SEARCH(",",Tabulka1[[#This Row],[Adresa]])-1)</f>
        <v>U Sokolovny 1763</v>
      </c>
      <c r="G297" s="2" t="str">
        <f>RIGHT(Tabulka1[[#This Row],[Adresa]],LEN(Tabulka1[[#This Row],[Adresa]])-LEN(Tabulka1[[#This Row],[Ulice]])-1)</f>
        <v>Nový Bydžov</v>
      </c>
      <c r="H297" s="2" t="str">
        <f>_xlfn.CONCAT(LOWER(Tabulka1[[#This Row],[Příjmení bez mezer]]),".",LOWER(Tabulka1[[#This Row],[Jméno bez mezer]]),"@firmaabc.cz")</f>
        <v>repa.vlastislav@firmaabc.cz</v>
      </c>
      <c r="I297" s="2" t="str">
        <f>_xlfn.CONCAT(LEFT(LOWER(Tabulka1[[#This Row],[Příjmení bez mezer]]),3),RIGHT(UPPER(Tabulka1[[#This Row],[Jméno bez mezer]]),2))</f>
        <v>repAV</v>
      </c>
    </row>
    <row r="298" spans="1:9" ht="30">
      <c r="A298" s="2" t="s">
        <v>689</v>
      </c>
      <c r="B298" t="s">
        <v>425</v>
      </c>
      <c r="C298" t="s">
        <v>690</v>
      </c>
      <c r="D298" t="str">
        <f>TRIM(Tabulka1[[#This Row],[Jméno]])</f>
        <v>Ruzena</v>
      </c>
      <c r="E298" t="str">
        <f>TRIM(Tabulka1[[#This Row],[Příjmení]])</f>
        <v>Krausova</v>
      </c>
      <c r="F298" s="2" t="str">
        <f>MID(Tabulka1[[#This Row],[Adresa]],1,SEARCH(",",Tabulka1[[#This Row],[Adresa]])-1)</f>
        <v>Hálkova 1508</v>
      </c>
      <c r="G298" s="2" t="str">
        <f>RIGHT(Tabulka1[[#This Row],[Adresa]],LEN(Tabulka1[[#This Row],[Adresa]])-LEN(Tabulka1[[#This Row],[Ulice]])-1)</f>
        <v>Stráž pod Ralskem</v>
      </c>
      <c r="H298" s="2" t="str">
        <f>_xlfn.CONCAT(LOWER(Tabulka1[[#This Row],[Příjmení bez mezer]]),".",LOWER(Tabulka1[[#This Row],[Jméno bez mezer]]),"@firmaabc.cz")</f>
        <v>krausova.ruzena@firmaabc.cz</v>
      </c>
      <c r="I298" s="2" t="str">
        <f>_xlfn.CONCAT(LEFT(LOWER(Tabulka1[[#This Row],[Příjmení bez mezer]]),3),RIGHT(UPPER(Tabulka1[[#This Row],[Jméno bez mezer]]),2))</f>
        <v>kraNA</v>
      </c>
    </row>
    <row r="299" spans="1:9" ht="30">
      <c r="A299" s="2" t="s">
        <v>691</v>
      </c>
      <c r="B299" t="s">
        <v>244</v>
      </c>
      <c r="C299" t="s">
        <v>692</v>
      </c>
      <c r="D299" t="str">
        <f>TRIM(Tabulka1[[#This Row],[Jméno]])</f>
        <v>Roman</v>
      </c>
      <c r="E299" t="str">
        <f>TRIM(Tabulka1[[#This Row],[Příjmení]])</f>
        <v>Machacek</v>
      </c>
      <c r="F299" s="2" t="str">
        <f>MID(Tabulka1[[#This Row],[Adresa]],1,SEARCH(",",Tabulka1[[#This Row],[Adresa]])-1)</f>
        <v>U Křížku 990</v>
      </c>
      <c r="G299" s="2" t="str">
        <f>RIGHT(Tabulka1[[#This Row],[Adresa]],LEN(Tabulka1[[#This Row],[Adresa]])-LEN(Tabulka1[[#This Row],[Ulice]])-1)</f>
        <v>Frýdlant v Cechách</v>
      </c>
      <c r="H299" s="2" t="str">
        <f>_xlfn.CONCAT(LOWER(Tabulka1[[#This Row],[Příjmení bez mezer]]),".",LOWER(Tabulka1[[#This Row],[Jméno bez mezer]]),"@firmaabc.cz")</f>
        <v>machacek.roman@firmaabc.cz</v>
      </c>
      <c r="I299" s="2" t="str">
        <f>_xlfn.CONCAT(LEFT(LOWER(Tabulka1[[#This Row],[Příjmení bez mezer]]),3),RIGHT(UPPER(Tabulka1[[#This Row],[Jméno bez mezer]]),2))</f>
        <v>macAN</v>
      </c>
    </row>
    <row r="300" spans="1:9">
      <c r="A300" s="2" t="s">
        <v>693</v>
      </c>
      <c r="B300" t="s">
        <v>305</v>
      </c>
      <c r="C300" t="s">
        <v>694</v>
      </c>
      <c r="D300" t="str">
        <f>TRIM(Tabulka1[[#This Row],[Jméno]])</f>
        <v>Lenka</v>
      </c>
      <c r="E300" t="str">
        <f>TRIM(Tabulka1[[#This Row],[Příjmení]])</f>
        <v>Kejvalova</v>
      </c>
      <c r="F300" s="2" t="str">
        <f>MID(Tabulka1[[#This Row],[Adresa]],1,SEARCH(",",Tabulka1[[#This Row],[Adresa]])-1)</f>
        <v>Za humny 250</v>
      </c>
      <c r="G300" s="2" t="str">
        <f>RIGHT(Tabulka1[[#This Row],[Adresa]],LEN(Tabulka1[[#This Row],[Adresa]])-LEN(Tabulka1[[#This Row],[Ulice]])-1)</f>
        <v>Milevsko 1</v>
      </c>
      <c r="H300" s="2" t="str">
        <f>_xlfn.CONCAT(LOWER(Tabulka1[[#This Row],[Příjmení bez mezer]]),".",LOWER(Tabulka1[[#This Row],[Jméno bez mezer]]),"@firmaabc.cz")</f>
        <v>kejvalova.lenka@firmaabc.cz</v>
      </c>
      <c r="I300" s="2" t="str">
        <f>_xlfn.CONCAT(LEFT(LOWER(Tabulka1[[#This Row],[Příjmení bez mezer]]),3),RIGHT(UPPER(Tabulka1[[#This Row],[Jméno bez mezer]]),2))</f>
        <v>kejKA</v>
      </c>
    </row>
    <row r="301" spans="1:9" ht="30">
      <c r="A301" s="2" t="s">
        <v>695</v>
      </c>
      <c r="B301" t="s">
        <v>147</v>
      </c>
      <c r="C301" t="s">
        <v>696</v>
      </c>
      <c r="D301" t="str">
        <f>TRIM(Tabulka1[[#This Row],[Jméno]])</f>
        <v>Hana</v>
      </c>
      <c r="E301" t="str">
        <f>TRIM(Tabulka1[[#This Row],[Příjmení]])</f>
        <v>Hrdinova</v>
      </c>
      <c r="F301" s="2" t="str">
        <f>MID(Tabulka1[[#This Row],[Adresa]],1,SEARCH(",",Tabulka1[[#This Row],[Adresa]])-1)</f>
        <v>U Křížku 328</v>
      </c>
      <c r="G301" s="2" t="str">
        <f>RIGHT(Tabulka1[[#This Row],[Adresa]],LEN(Tabulka1[[#This Row],[Adresa]])-LEN(Tabulka1[[#This Row],[Ulice]])-1)</f>
        <v>Jablonec nad Nisou 4</v>
      </c>
      <c r="H301" s="2" t="str">
        <f>_xlfn.CONCAT(LOWER(Tabulka1[[#This Row],[Příjmení bez mezer]]),".",LOWER(Tabulka1[[#This Row],[Jméno bez mezer]]),"@firmaabc.cz")</f>
        <v>hrdinova.hana@firmaabc.cz</v>
      </c>
      <c r="I301" s="2" t="str">
        <f>_xlfn.CONCAT(LEFT(LOWER(Tabulka1[[#This Row],[Příjmení bez mezer]]),3),RIGHT(UPPER(Tabulka1[[#This Row],[Jméno bez mezer]]),2))</f>
        <v>hrdNA</v>
      </c>
    </row>
    <row r="302" spans="1:9">
      <c r="A302" s="2" t="s">
        <v>697</v>
      </c>
      <c r="B302" t="s">
        <v>26</v>
      </c>
      <c r="C302" t="s">
        <v>165</v>
      </c>
      <c r="D302" t="str">
        <f>TRIM(Tabulka1[[#This Row],[Jméno]])</f>
        <v>Jan</v>
      </c>
      <c r="E302" t="str">
        <f>TRIM(Tabulka1[[#This Row],[Příjmení]])</f>
        <v>Novak</v>
      </c>
      <c r="F302" s="2" t="str">
        <f>MID(Tabulka1[[#This Row],[Adresa]],1,SEARCH(",",Tabulka1[[#This Row],[Adresa]])-1)</f>
        <v>Vrchlického 326</v>
      </c>
      <c r="G302" s="2" t="str">
        <f>RIGHT(Tabulka1[[#This Row],[Adresa]],LEN(Tabulka1[[#This Row],[Adresa]])-LEN(Tabulka1[[#This Row],[Ulice]])-1)</f>
        <v>Znojmo 2</v>
      </c>
      <c r="H302" s="2" t="str">
        <f>_xlfn.CONCAT(LOWER(Tabulka1[[#This Row],[Příjmení bez mezer]]),".",LOWER(Tabulka1[[#This Row],[Jméno bez mezer]]),"@firmaabc.cz")</f>
        <v>novak.jan@firmaabc.cz</v>
      </c>
      <c r="I302" s="2" t="str">
        <f>_xlfn.CONCAT(LEFT(LOWER(Tabulka1[[#This Row],[Příjmení bez mezer]]),3),RIGHT(UPPER(Tabulka1[[#This Row],[Jméno bez mezer]]),2))</f>
        <v>novAN</v>
      </c>
    </row>
    <row r="303" spans="1:9" ht="30">
      <c r="A303" s="2" t="s">
        <v>698</v>
      </c>
      <c r="B303" t="s">
        <v>699</v>
      </c>
      <c r="C303" t="s">
        <v>700</v>
      </c>
      <c r="D303" t="str">
        <f>TRIM(Tabulka1[[#This Row],[Jméno]])</f>
        <v>Marcela</v>
      </c>
      <c r="E303" t="str">
        <f>TRIM(Tabulka1[[#This Row],[Příjmení]])</f>
        <v>Novakova</v>
      </c>
      <c r="F303" s="2" t="str">
        <f>MID(Tabulka1[[#This Row],[Adresa]],1,SEARCH(",",Tabulka1[[#This Row],[Adresa]])-1)</f>
        <v>Klimenta Čermáka 1759</v>
      </c>
      <c r="G303" s="2" t="str">
        <f>RIGHT(Tabulka1[[#This Row],[Adresa]],LEN(Tabulka1[[#This Row],[Adresa]])-LEN(Tabulka1[[#This Row],[Ulice]])-1)</f>
        <v>Cáslav</v>
      </c>
      <c r="H303" s="2" t="str">
        <f>_xlfn.CONCAT(LOWER(Tabulka1[[#This Row],[Příjmení bez mezer]]),".",LOWER(Tabulka1[[#This Row],[Jméno bez mezer]]),"@firmaabc.cz")</f>
        <v>novakova.marcela@firmaabc.cz</v>
      </c>
      <c r="I303" s="2" t="str">
        <f>_xlfn.CONCAT(LEFT(LOWER(Tabulka1[[#This Row],[Příjmení bez mezer]]),3),RIGHT(UPPER(Tabulka1[[#This Row],[Jméno bez mezer]]),2))</f>
        <v>novLA</v>
      </c>
    </row>
    <row r="304" spans="1:9" ht="30">
      <c r="A304" s="2" t="s">
        <v>701</v>
      </c>
      <c r="B304" t="s">
        <v>255</v>
      </c>
      <c r="C304" t="s">
        <v>702</v>
      </c>
      <c r="D304" t="str">
        <f>TRIM(Tabulka1[[#This Row],[Jméno]])</f>
        <v>Eva</v>
      </c>
      <c r="E304" t="str">
        <f>TRIM(Tabulka1[[#This Row],[Příjmení]])</f>
        <v>Zednikova</v>
      </c>
      <c r="F304" s="2" t="str">
        <f>MID(Tabulka1[[#This Row],[Adresa]],1,SEARCH(",",Tabulka1[[#This Row],[Adresa]])-1)</f>
        <v>Jana Šťastného 1221</v>
      </c>
      <c r="G304" s="2" t="str">
        <f>RIGHT(Tabulka1[[#This Row],[Adresa]],LEN(Tabulka1[[#This Row],[Adresa]])-LEN(Tabulka1[[#This Row],[Ulice]])-1)</f>
        <v>Hvozdnice</v>
      </c>
      <c r="H304" s="2" t="str">
        <f>_xlfn.CONCAT(LOWER(Tabulka1[[#This Row],[Příjmení bez mezer]]),".",LOWER(Tabulka1[[#This Row],[Jméno bez mezer]]),"@firmaabc.cz")</f>
        <v>zednikova.eva@firmaabc.cz</v>
      </c>
      <c r="I304" s="2" t="str">
        <f>_xlfn.CONCAT(LEFT(LOWER(Tabulka1[[#This Row],[Příjmení bez mezer]]),3),RIGHT(UPPER(Tabulka1[[#This Row],[Jméno bez mezer]]),2))</f>
        <v>zedVA</v>
      </c>
    </row>
    <row r="305" spans="1:9" ht="30">
      <c r="A305" s="2" t="s">
        <v>703</v>
      </c>
      <c r="B305" t="s">
        <v>704</v>
      </c>
      <c r="C305" t="s">
        <v>705</v>
      </c>
      <c r="D305" t="str">
        <f>TRIM(Tabulka1[[#This Row],[Jméno]])</f>
        <v>Ema</v>
      </c>
      <c r="E305" t="str">
        <f>TRIM(Tabulka1[[#This Row],[Příjmení]])</f>
        <v>Stiborova</v>
      </c>
      <c r="F305" s="2" t="str">
        <f>MID(Tabulka1[[#This Row],[Adresa]],1,SEARCH(",",Tabulka1[[#This Row],[Adresa]])-1)</f>
        <v>U Křížku 1657</v>
      </c>
      <c r="G305" s="2" t="str">
        <f>RIGHT(Tabulka1[[#This Row],[Adresa]],LEN(Tabulka1[[#This Row],[Adresa]])-LEN(Tabulka1[[#This Row],[Ulice]])-1)</f>
        <v>Frýdlant v Cechách</v>
      </c>
      <c r="H305" s="2" t="str">
        <f>_xlfn.CONCAT(LOWER(Tabulka1[[#This Row],[Příjmení bez mezer]]),".",LOWER(Tabulka1[[#This Row],[Jméno bez mezer]]),"@firmaabc.cz")</f>
        <v>stiborova.ema@firmaabc.cz</v>
      </c>
      <c r="I305" s="2" t="str">
        <f>_xlfn.CONCAT(LEFT(LOWER(Tabulka1[[#This Row],[Příjmení bez mezer]]),3),RIGHT(UPPER(Tabulka1[[#This Row],[Jméno bez mezer]]),2))</f>
        <v>stiMA</v>
      </c>
    </row>
    <row r="306" spans="1:9" ht="30">
      <c r="A306" s="2" t="s">
        <v>706</v>
      </c>
      <c r="B306" t="s">
        <v>293</v>
      </c>
      <c r="C306" t="s">
        <v>707</v>
      </c>
      <c r="D306" t="str">
        <f>TRIM(Tabulka1[[#This Row],[Jméno]])</f>
        <v>Jirina</v>
      </c>
      <c r="E306" t="str">
        <f>TRIM(Tabulka1[[#This Row],[Příjmení]])</f>
        <v>Provaznikova</v>
      </c>
      <c r="F306" s="2" t="str">
        <f>MID(Tabulka1[[#This Row],[Adresa]],1,SEARCH(",",Tabulka1[[#This Row],[Adresa]])-1)</f>
        <v>Dobrovského 1723</v>
      </c>
      <c r="G306" s="2" t="str">
        <f>RIGHT(Tabulka1[[#This Row],[Adresa]],LEN(Tabulka1[[#This Row],[Adresa]])-LEN(Tabulka1[[#This Row],[Ulice]])-1)</f>
        <v>Kostelec nad Cernými Lesy</v>
      </c>
      <c r="H306" s="2" t="str">
        <f>_xlfn.CONCAT(LOWER(Tabulka1[[#This Row],[Příjmení bez mezer]]),".",LOWER(Tabulka1[[#This Row],[Jméno bez mezer]]),"@firmaabc.cz")</f>
        <v>provaznikova.jirina@firmaabc.cz</v>
      </c>
      <c r="I306" s="2" t="str">
        <f>_xlfn.CONCAT(LEFT(LOWER(Tabulka1[[#This Row],[Příjmení bez mezer]]),3),RIGHT(UPPER(Tabulka1[[#This Row],[Jméno bez mezer]]),2))</f>
        <v>proNA</v>
      </c>
    </row>
    <row r="307" spans="1:9">
      <c r="A307" s="2" t="s">
        <v>708</v>
      </c>
      <c r="B307" t="s">
        <v>709</v>
      </c>
      <c r="C307" t="s">
        <v>710</v>
      </c>
      <c r="D307" t="str">
        <f>TRIM(Tabulka1[[#This Row],[Jméno]])</f>
        <v>Bozena</v>
      </c>
      <c r="E307" t="str">
        <f>TRIM(Tabulka1[[#This Row],[Příjmení]])</f>
        <v>Forejtova</v>
      </c>
      <c r="F307" s="2" t="str">
        <f>MID(Tabulka1[[#This Row],[Adresa]],1,SEARCH(",",Tabulka1[[#This Row],[Adresa]])-1)</f>
        <v>Družstevní 399</v>
      </c>
      <c r="G307" s="2" t="str">
        <f>RIGHT(Tabulka1[[#This Row],[Adresa]],LEN(Tabulka1[[#This Row],[Adresa]])-LEN(Tabulka1[[#This Row],[Ulice]])-1)</f>
        <v>Unhošt</v>
      </c>
      <c r="H307" s="2" t="str">
        <f>_xlfn.CONCAT(LOWER(Tabulka1[[#This Row],[Příjmení bez mezer]]),".",LOWER(Tabulka1[[#This Row],[Jméno bez mezer]]),"@firmaabc.cz")</f>
        <v>forejtova.bozena@firmaabc.cz</v>
      </c>
      <c r="I307" s="2" t="str">
        <f>_xlfn.CONCAT(LEFT(LOWER(Tabulka1[[#This Row],[Příjmení bez mezer]]),3),RIGHT(UPPER(Tabulka1[[#This Row],[Jméno bez mezer]]),2))</f>
        <v>forNA</v>
      </c>
    </row>
    <row r="308" spans="1:9">
      <c r="A308" s="2" t="s">
        <v>711</v>
      </c>
      <c r="B308" t="s">
        <v>712</v>
      </c>
      <c r="C308" t="s">
        <v>713</v>
      </c>
      <c r="D308" t="str">
        <f>TRIM(Tabulka1[[#This Row],[Jméno]])</f>
        <v>Valerie</v>
      </c>
      <c r="E308" t="str">
        <f>TRIM(Tabulka1[[#This Row],[Příjmení]])</f>
        <v>Hrabetova</v>
      </c>
      <c r="F308" s="2" t="str">
        <f>MID(Tabulka1[[#This Row],[Adresa]],1,SEARCH(",",Tabulka1[[#This Row],[Adresa]])-1)</f>
        <v>Petrželka 966</v>
      </c>
      <c r="G308" s="2" t="str">
        <f>RIGHT(Tabulka1[[#This Row],[Adresa]],LEN(Tabulka1[[#This Row],[Adresa]])-LEN(Tabulka1[[#This Row],[Ulice]])-1)</f>
        <v>Zdounky</v>
      </c>
      <c r="H308" s="2" t="str">
        <f>_xlfn.CONCAT(LOWER(Tabulka1[[#This Row],[Příjmení bez mezer]]),".",LOWER(Tabulka1[[#This Row],[Jméno bez mezer]]),"@firmaabc.cz")</f>
        <v>hrabetova.valerie@firmaabc.cz</v>
      </c>
      <c r="I308" s="2" t="str">
        <f>_xlfn.CONCAT(LEFT(LOWER(Tabulka1[[#This Row],[Příjmení bez mezer]]),3),RIGHT(UPPER(Tabulka1[[#This Row],[Jméno bez mezer]]),2))</f>
        <v>hraIE</v>
      </c>
    </row>
    <row r="309" spans="1:9" ht="30">
      <c r="A309" s="2" t="s">
        <v>714</v>
      </c>
      <c r="B309" t="s">
        <v>715</v>
      </c>
      <c r="C309" t="s">
        <v>716</v>
      </c>
      <c r="D309" t="str">
        <f>TRIM(Tabulka1[[#This Row],[Jméno]])</f>
        <v>Maria</v>
      </c>
      <c r="E309" t="str">
        <f>TRIM(Tabulka1[[#This Row],[Příjmení]])</f>
        <v>Zetkova</v>
      </c>
      <c r="F309" s="2" t="str">
        <f>MID(Tabulka1[[#This Row],[Adresa]],1,SEARCH(",",Tabulka1[[#This Row],[Adresa]])-1)</f>
        <v>V Zahradách 1987</v>
      </c>
      <c r="G309" s="2" t="str">
        <f>RIGHT(Tabulka1[[#This Row],[Adresa]],LEN(Tabulka1[[#This Row],[Adresa]])-LEN(Tabulka1[[#This Row],[Ulice]])-1)</f>
        <v>Domaželice u Prerova</v>
      </c>
      <c r="H309" s="2" t="str">
        <f>_xlfn.CONCAT(LOWER(Tabulka1[[#This Row],[Příjmení bez mezer]]),".",LOWER(Tabulka1[[#This Row],[Jméno bez mezer]]),"@firmaabc.cz")</f>
        <v>zetkova.maria@firmaabc.cz</v>
      </c>
      <c r="I309" s="2" t="str">
        <f>_xlfn.CONCAT(LEFT(LOWER(Tabulka1[[#This Row],[Příjmení bez mezer]]),3),RIGHT(UPPER(Tabulka1[[#This Row],[Jméno bez mezer]]),2))</f>
        <v>zetIA</v>
      </c>
    </row>
    <row r="310" spans="1:9" ht="30">
      <c r="A310" s="2" t="s">
        <v>717</v>
      </c>
      <c r="B310" t="s">
        <v>718</v>
      </c>
      <c r="C310" t="s">
        <v>719</v>
      </c>
      <c r="D310" t="str">
        <f>TRIM(Tabulka1[[#This Row],[Jméno]])</f>
        <v>Renata</v>
      </c>
      <c r="E310" t="str">
        <f>TRIM(Tabulka1[[#This Row],[Příjmení]])</f>
        <v>Jindrichova</v>
      </c>
      <c r="F310" s="2" t="str">
        <f>MID(Tabulka1[[#This Row],[Adresa]],1,SEARCH(",",Tabulka1[[#This Row],[Adresa]])-1)</f>
        <v>Palackého 1552</v>
      </c>
      <c r="G310" s="2" t="str">
        <f>RIGHT(Tabulka1[[#This Row],[Adresa]],LEN(Tabulka1[[#This Row],[Adresa]])-LEN(Tabulka1[[#This Row],[Ulice]])-1)</f>
        <v>Kostelec u Holešova</v>
      </c>
      <c r="H310" s="2" t="str">
        <f>_xlfn.CONCAT(LOWER(Tabulka1[[#This Row],[Příjmení bez mezer]]),".",LOWER(Tabulka1[[#This Row],[Jméno bez mezer]]),"@firmaabc.cz")</f>
        <v>jindrichova.renata@firmaabc.cz</v>
      </c>
      <c r="I310" s="2" t="str">
        <f>_xlfn.CONCAT(LEFT(LOWER(Tabulka1[[#This Row],[Příjmení bez mezer]]),3),RIGHT(UPPER(Tabulka1[[#This Row],[Jméno bez mezer]]),2))</f>
        <v>jinTA</v>
      </c>
    </row>
    <row r="311" spans="1:9" ht="30">
      <c r="A311" s="2" t="s">
        <v>720</v>
      </c>
      <c r="B311" t="s">
        <v>26</v>
      </c>
      <c r="C311" t="s">
        <v>721</v>
      </c>
      <c r="D311" t="str">
        <f>TRIM(Tabulka1[[#This Row],[Jméno]])</f>
        <v>Jan</v>
      </c>
      <c r="E311" t="str">
        <f>TRIM(Tabulka1[[#This Row],[Příjmení]])</f>
        <v>Zatloukal</v>
      </c>
      <c r="F311" s="2" t="str">
        <f>MID(Tabulka1[[#This Row],[Adresa]],1,SEARCH(",",Tabulka1[[#This Row],[Adresa]])-1)</f>
        <v>Rvačov 1564</v>
      </c>
      <c r="G311" s="2" t="str">
        <f>RIGHT(Tabulka1[[#This Row],[Adresa]],LEN(Tabulka1[[#This Row],[Adresa]])-LEN(Tabulka1[[#This Row],[Ulice]])-1)</f>
        <v>Roudnice nad Labem</v>
      </c>
      <c r="H311" s="2" t="str">
        <f>_xlfn.CONCAT(LOWER(Tabulka1[[#This Row],[Příjmení bez mezer]]),".",LOWER(Tabulka1[[#This Row],[Jméno bez mezer]]),"@firmaabc.cz")</f>
        <v>zatloukal.jan@firmaabc.cz</v>
      </c>
      <c r="I311" s="2" t="str">
        <f>_xlfn.CONCAT(LEFT(LOWER(Tabulka1[[#This Row],[Příjmení bez mezer]]),3),RIGHT(UPPER(Tabulka1[[#This Row],[Jméno bez mezer]]),2))</f>
        <v>zatAN</v>
      </c>
    </row>
    <row r="312" spans="1:9">
      <c r="A312" s="2" t="s">
        <v>722</v>
      </c>
      <c r="B312" t="s">
        <v>32</v>
      </c>
      <c r="C312" t="s">
        <v>723</v>
      </c>
      <c r="D312" t="str">
        <f>TRIM(Tabulka1[[#This Row],[Jméno]])</f>
        <v>Michal</v>
      </c>
      <c r="E312" t="str">
        <f>TRIM(Tabulka1[[#This Row],[Příjmení]])</f>
        <v>Vodehnal</v>
      </c>
      <c r="F312" s="2" t="str">
        <f>MID(Tabulka1[[#This Row],[Adresa]],1,SEARCH(",",Tabulka1[[#This Row],[Adresa]])-1)</f>
        <v>Pivovarská 1223</v>
      </c>
      <c r="G312" s="2" t="str">
        <f>RIGHT(Tabulka1[[#This Row],[Adresa]],LEN(Tabulka1[[#This Row],[Adresa]])-LEN(Tabulka1[[#This Row],[Ulice]])-1)</f>
        <v>Lovosice 2</v>
      </c>
      <c r="H312" s="2" t="str">
        <f>_xlfn.CONCAT(LOWER(Tabulka1[[#This Row],[Příjmení bez mezer]]),".",LOWER(Tabulka1[[#This Row],[Jméno bez mezer]]),"@firmaabc.cz")</f>
        <v>vodehnal.michal@firmaabc.cz</v>
      </c>
      <c r="I312" s="2" t="str">
        <f>_xlfn.CONCAT(LEFT(LOWER(Tabulka1[[#This Row],[Příjmení bez mezer]]),3),RIGHT(UPPER(Tabulka1[[#This Row],[Jméno bez mezer]]),2))</f>
        <v>vodAL</v>
      </c>
    </row>
    <row r="313" spans="1:9">
      <c r="A313" s="2" t="s">
        <v>724</v>
      </c>
      <c r="B313" t="s">
        <v>241</v>
      </c>
      <c r="C313" t="s">
        <v>725</v>
      </c>
      <c r="D313" t="str">
        <f>TRIM(Tabulka1[[#This Row],[Jméno]])</f>
        <v>Antonin</v>
      </c>
      <c r="E313" t="str">
        <f>TRIM(Tabulka1[[#This Row],[Příjmení]])</f>
        <v>Beneda</v>
      </c>
      <c r="F313" s="2" t="str">
        <f>MID(Tabulka1[[#This Row],[Adresa]],1,SEARCH(",",Tabulka1[[#This Row],[Adresa]])-1)</f>
        <v>Havlíčkova 565</v>
      </c>
      <c r="G313" s="2" t="str">
        <f>RIGHT(Tabulka1[[#This Row],[Adresa]],LEN(Tabulka1[[#This Row],[Adresa]])-LEN(Tabulka1[[#This Row],[Ulice]])-1)</f>
        <v>Mšec</v>
      </c>
      <c r="H313" s="2" t="str">
        <f>_xlfn.CONCAT(LOWER(Tabulka1[[#This Row],[Příjmení bez mezer]]),".",LOWER(Tabulka1[[#This Row],[Jméno bez mezer]]),"@firmaabc.cz")</f>
        <v>beneda.antonin@firmaabc.cz</v>
      </c>
      <c r="I313" s="2" t="str">
        <f>_xlfn.CONCAT(LEFT(LOWER(Tabulka1[[#This Row],[Příjmení bez mezer]]),3),RIGHT(UPPER(Tabulka1[[#This Row],[Jméno bez mezer]]),2))</f>
        <v>benIN</v>
      </c>
    </row>
    <row r="314" spans="1:9">
      <c r="A314" s="2" t="s">
        <v>726</v>
      </c>
      <c r="B314" t="s">
        <v>305</v>
      </c>
      <c r="C314" t="s">
        <v>306</v>
      </c>
      <c r="D314" t="str">
        <f>TRIM(Tabulka1[[#This Row],[Jméno]])</f>
        <v>Lenka</v>
      </c>
      <c r="E314" t="str">
        <f>TRIM(Tabulka1[[#This Row],[Příjmení]])</f>
        <v>Dolezalova</v>
      </c>
      <c r="F314" s="2" t="str">
        <f>MID(Tabulka1[[#This Row],[Adresa]],1,SEARCH(",",Tabulka1[[#This Row],[Adresa]])-1)</f>
        <v>Alšova 738</v>
      </c>
      <c r="G314" s="2" t="str">
        <f>RIGHT(Tabulka1[[#This Row],[Adresa]],LEN(Tabulka1[[#This Row],[Adresa]])-LEN(Tabulka1[[#This Row],[Ulice]])-1)</f>
        <v>Šlapanov</v>
      </c>
      <c r="H314" s="2" t="str">
        <f>_xlfn.CONCAT(LOWER(Tabulka1[[#This Row],[Příjmení bez mezer]]),".",LOWER(Tabulka1[[#This Row],[Jméno bez mezer]]),"@firmaabc.cz")</f>
        <v>dolezalova.lenka@firmaabc.cz</v>
      </c>
      <c r="I314" s="2" t="str">
        <f>_xlfn.CONCAT(LEFT(LOWER(Tabulka1[[#This Row],[Příjmení bez mezer]]),3),RIGHT(UPPER(Tabulka1[[#This Row],[Jméno bez mezer]]),2))</f>
        <v>dolKA</v>
      </c>
    </row>
    <row r="315" spans="1:9" ht="30">
      <c r="A315" s="2" t="s">
        <v>727</v>
      </c>
      <c r="B315" t="s">
        <v>728</v>
      </c>
      <c r="C315" t="s">
        <v>729</v>
      </c>
      <c r="D315" t="str">
        <f>TRIM(Tabulka1[[#This Row],[Jméno]])</f>
        <v>Andrea</v>
      </c>
      <c r="E315" t="str">
        <f>TRIM(Tabulka1[[#This Row],[Příjmení]])</f>
        <v>Navratilova</v>
      </c>
      <c r="F315" s="2" t="str">
        <f>MID(Tabulka1[[#This Row],[Adresa]],1,SEARCH(",",Tabulka1[[#This Row],[Adresa]])-1)</f>
        <v>Havlíčkova 1558</v>
      </c>
      <c r="G315" s="2" t="str">
        <f>RIGHT(Tabulka1[[#This Row],[Adresa]],LEN(Tabulka1[[#This Row],[Adresa]])-LEN(Tabulka1[[#This Row],[Ulice]])-1)</f>
        <v>Lubná u Rakovníka</v>
      </c>
      <c r="H315" s="2" t="str">
        <f>_xlfn.CONCAT(LOWER(Tabulka1[[#This Row],[Příjmení bez mezer]]),".",LOWER(Tabulka1[[#This Row],[Jméno bez mezer]]),"@firmaabc.cz")</f>
        <v>navratilova.andrea@firmaabc.cz</v>
      </c>
      <c r="I315" s="2" t="str">
        <f>_xlfn.CONCAT(LEFT(LOWER(Tabulka1[[#This Row],[Příjmení bez mezer]]),3),RIGHT(UPPER(Tabulka1[[#This Row],[Jméno bez mezer]]),2))</f>
        <v>navEA</v>
      </c>
    </row>
    <row r="316" spans="1:9">
      <c r="A316" s="2" t="s">
        <v>730</v>
      </c>
      <c r="B316" t="s">
        <v>115</v>
      </c>
      <c r="C316" t="s">
        <v>731</v>
      </c>
      <c r="D316" t="str">
        <f>TRIM(Tabulka1[[#This Row],[Jméno]])</f>
        <v>Jiri</v>
      </c>
      <c r="E316" t="str">
        <f>TRIM(Tabulka1[[#This Row],[Příjmení]])</f>
        <v>Charvat</v>
      </c>
      <c r="F316" s="2" t="str">
        <f>MID(Tabulka1[[#This Row],[Adresa]],1,SEARCH(",",Tabulka1[[#This Row],[Adresa]])-1)</f>
        <v>Školní 1944</v>
      </c>
      <c r="G316" s="2" t="str">
        <f>RIGHT(Tabulka1[[#This Row],[Adresa]],LEN(Tabulka1[[#This Row],[Adresa]])-LEN(Tabulka1[[#This Row],[Ulice]])-1)</f>
        <v>Malšice</v>
      </c>
      <c r="H316" s="2" t="str">
        <f>_xlfn.CONCAT(LOWER(Tabulka1[[#This Row],[Příjmení bez mezer]]),".",LOWER(Tabulka1[[#This Row],[Jméno bez mezer]]),"@firmaabc.cz")</f>
        <v>charvat.jiri@firmaabc.cz</v>
      </c>
      <c r="I316" s="2" t="str">
        <f>_xlfn.CONCAT(LEFT(LOWER(Tabulka1[[#This Row],[Příjmení bez mezer]]),3),RIGHT(UPPER(Tabulka1[[#This Row],[Jméno bez mezer]]),2))</f>
        <v>chaRI</v>
      </c>
    </row>
    <row r="317" spans="1:9">
      <c r="A317" s="2" t="s">
        <v>732</v>
      </c>
      <c r="B317" t="s">
        <v>44</v>
      </c>
      <c r="C317" t="s">
        <v>733</v>
      </c>
      <c r="D317" t="str">
        <f>TRIM(Tabulka1[[#This Row],[Jméno]])</f>
        <v>Marie</v>
      </c>
      <c r="E317" t="str">
        <f>TRIM(Tabulka1[[#This Row],[Příjmení]])</f>
        <v>Hejna</v>
      </c>
      <c r="F317" s="2" t="str">
        <f>MID(Tabulka1[[#This Row],[Adresa]],1,SEARCH(",",Tabulka1[[#This Row],[Adresa]])-1)</f>
        <v>Stožická 1512</v>
      </c>
      <c r="G317" s="2" t="str">
        <f>RIGHT(Tabulka1[[#This Row],[Adresa]],LEN(Tabulka1[[#This Row],[Adresa]])-LEN(Tabulka1[[#This Row],[Ulice]])-1)</f>
        <v>Vodnany</v>
      </c>
      <c r="H317" s="2" t="str">
        <f>_xlfn.CONCAT(LOWER(Tabulka1[[#This Row],[Příjmení bez mezer]]),".",LOWER(Tabulka1[[#This Row],[Jméno bez mezer]]),"@firmaabc.cz")</f>
        <v>hejna.marie@firmaabc.cz</v>
      </c>
      <c r="I317" s="2" t="str">
        <f>_xlfn.CONCAT(LEFT(LOWER(Tabulka1[[#This Row],[Příjmení bez mezer]]),3),RIGHT(UPPER(Tabulka1[[#This Row],[Jméno bez mezer]]),2))</f>
        <v>hejIE</v>
      </c>
    </row>
    <row r="318" spans="1:9">
      <c r="A318" s="2" t="s">
        <v>734</v>
      </c>
      <c r="B318" t="s">
        <v>84</v>
      </c>
      <c r="C318" t="s">
        <v>735</v>
      </c>
      <c r="D318" t="str">
        <f>TRIM(Tabulka1[[#This Row],[Jméno]])</f>
        <v>Katerina</v>
      </c>
      <c r="E318" t="str">
        <f>TRIM(Tabulka1[[#This Row],[Příjmení]])</f>
        <v>Zelena</v>
      </c>
      <c r="F318" s="2" t="str">
        <f>MID(Tabulka1[[#This Row],[Adresa]],1,SEARCH(",",Tabulka1[[#This Row],[Adresa]])-1)</f>
        <v>Dělnická 1372</v>
      </c>
      <c r="G318" s="2" t="str">
        <f>RIGHT(Tabulka1[[#This Row],[Adresa]],LEN(Tabulka1[[#This Row],[Adresa]])-LEN(Tabulka1[[#This Row],[Ulice]])-1)</f>
        <v>Hranice 4</v>
      </c>
      <c r="H318" s="2" t="str">
        <f>_xlfn.CONCAT(LOWER(Tabulka1[[#This Row],[Příjmení bez mezer]]),".",LOWER(Tabulka1[[#This Row],[Jméno bez mezer]]),"@firmaabc.cz")</f>
        <v>zelena.katerina@firmaabc.cz</v>
      </c>
      <c r="I318" s="2" t="str">
        <f>_xlfn.CONCAT(LEFT(LOWER(Tabulka1[[#This Row],[Příjmení bez mezer]]),3),RIGHT(UPPER(Tabulka1[[#This Row],[Jméno bez mezer]]),2))</f>
        <v>zelNA</v>
      </c>
    </row>
    <row r="319" spans="1:9">
      <c r="A319" s="2" t="s">
        <v>736</v>
      </c>
      <c r="B319" t="s">
        <v>255</v>
      </c>
      <c r="C319" t="s">
        <v>737</v>
      </c>
      <c r="D319" t="str">
        <f>TRIM(Tabulka1[[#This Row],[Jméno]])</f>
        <v>Eva</v>
      </c>
      <c r="E319" t="str">
        <f>TRIM(Tabulka1[[#This Row],[Příjmení]])</f>
        <v>Eliasova</v>
      </c>
      <c r="F319" s="2" t="str">
        <f>MID(Tabulka1[[#This Row],[Adresa]],1,SEARCH(",",Tabulka1[[#This Row],[Adresa]])-1)</f>
        <v>Štefanikova 1429</v>
      </c>
      <c r="G319" s="2" t="str">
        <f>RIGHT(Tabulka1[[#This Row],[Adresa]],LEN(Tabulka1[[#This Row],[Adresa]])-LEN(Tabulka1[[#This Row],[Ulice]])-1)</f>
        <v>Boskovice</v>
      </c>
      <c r="H319" s="2" t="str">
        <f>_xlfn.CONCAT(LOWER(Tabulka1[[#This Row],[Příjmení bez mezer]]),".",LOWER(Tabulka1[[#This Row],[Jméno bez mezer]]),"@firmaabc.cz")</f>
        <v>eliasova.eva@firmaabc.cz</v>
      </c>
      <c r="I319" s="2" t="str">
        <f>_xlfn.CONCAT(LEFT(LOWER(Tabulka1[[#This Row],[Příjmení bez mezer]]),3),RIGHT(UPPER(Tabulka1[[#This Row],[Jméno bez mezer]]),2))</f>
        <v>eliVA</v>
      </c>
    </row>
    <row r="320" spans="1:9" ht="30">
      <c r="A320" s="2" t="s">
        <v>738</v>
      </c>
      <c r="B320" t="s">
        <v>677</v>
      </c>
      <c r="C320" t="s">
        <v>186</v>
      </c>
      <c r="D320" t="str">
        <f>TRIM(Tabulka1[[#This Row],[Jméno]])</f>
        <v>Radka</v>
      </c>
      <c r="E320" t="str">
        <f>TRIM(Tabulka1[[#This Row],[Příjmení]])</f>
        <v>Prusova</v>
      </c>
      <c r="F320" s="2" t="str">
        <f>MID(Tabulka1[[#This Row],[Adresa]],1,SEARCH(",",Tabulka1[[#This Row],[Adresa]])-1)</f>
        <v>Václava Haňky 574</v>
      </c>
      <c r="G320" s="2" t="str">
        <f>RIGHT(Tabulka1[[#This Row],[Adresa]],LEN(Tabulka1[[#This Row],[Adresa]])-LEN(Tabulka1[[#This Row],[Ulice]])-1)</f>
        <v>Dolní Kounice</v>
      </c>
      <c r="H320" s="2" t="str">
        <f>_xlfn.CONCAT(LOWER(Tabulka1[[#This Row],[Příjmení bez mezer]]),".",LOWER(Tabulka1[[#This Row],[Jméno bez mezer]]),"@firmaabc.cz")</f>
        <v>prusova.radka@firmaabc.cz</v>
      </c>
      <c r="I320" s="2" t="str">
        <f>_xlfn.CONCAT(LEFT(LOWER(Tabulka1[[#This Row],[Příjmení bez mezer]]),3),RIGHT(UPPER(Tabulka1[[#This Row],[Jméno bez mezer]]),2))</f>
        <v>pruKA</v>
      </c>
    </row>
    <row r="321" spans="1:9" ht="30">
      <c r="A321" s="2" t="s">
        <v>739</v>
      </c>
      <c r="B321" t="s">
        <v>207</v>
      </c>
      <c r="C321" t="s">
        <v>740</v>
      </c>
      <c r="D321" t="str">
        <f>TRIM(Tabulka1[[#This Row],[Jméno]])</f>
        <v>Rudolf</v>
      </c>
      <c r="E321" t="str">
        <f>TRIM(Tabulka1[[#This Row],[Příjmení]])</f>
        <v>Uhlir</v>
      </c>
      <c r="F321" s="2" t="str">
        <f>MID(Tabulka1[[#This Row],[Adresa]],1,SEARCH(",",Tabulka1[[#This Row],[Adresa]])-1)</f>
        <v>Žerotínova 132</v>
      </c>
      <c r="G321" s="2" t="str">
        <f>RIGHT(Tabulka1[[#This Row],[Adresa]],LEN(Tabulka1[[#This Row],[Adresa]])-LEN(Tabulka1[[#This Row],[Ulice]])-1)</f>
        <v>Horice v Podkrkonoší</v>
      </c>
      <c r="H321" s="2" t="str">
        <f>_xlfn.CONCAT(LOWER(Tabulka1[[#This Row],[Příjmení bez mezer]]),".",LOWER(Tabulka1[[#This Row],[Jméno bez mezer]]),"@firmaabc.cz")</f>
        <v>uhlir.rudolf@firmaabc.cz</v>
      </c>
      <c r="I321" s="2" t="str">
        <f>_xlfn.CONCAT(LEFT(LOWER(Tabulka1[[#This Row],[Příjmení bez mezer]]),3),RIGHT(UPPER(Tabulka1[[#This Row],[Jméno bez mezer]]),2))</f>
        <v>uhlLF</v>
      </c>
    </row>
    <row r="322" spans="1:9">
      <c r="A322" s="2" t="s">
        <v>741</v>
      </c>
      <c r="B322" t="s">
        <v>289</v>
      </c>
      <c r="C322" t="s">
        <v>742</v>
      </c>
      <c r="D322" t="str">
        <f>TRIM(Tabulka1[[#This Row],[Jméno]])</f>
        <v>Petr</v>
      </c>
      <c r="E322" t="str">
        <f>TRIM(Tabulka1[[#This Row],[Příjmení]])</f>
        <v>Zavadil</v>
      </c>
      <c r="F322" s="2" t="str">
        <f>MID(Tabulka1[[#This Row],[Adresa]],1,SEARCH(",",Tabulka1[[#This Row],[Adresa]])-1)</f>
        <v>Jana Šťastného 1425</v>
      </c>
      <c r="G322" s="2" t="str">
        <f>RIGHT(Tabulka1[[#This Row],[Adresa]],LEN(Tabulka1[[#This Row],[Adresa]])-LEN(Tabulka1[[#This Row],[Ulice]])-1)</f>
        <v>Pyšely</v>
      </c>
      <c r="H322" s="2" t="str">
        <f>_xlfn.CONCAT(LOWER(Tabulka1[[#This Row],[Příjmení bez mezer]]),".",LOWER(Tabulka1[[#This Row],[Jméno bez mezer]]),"@firmaabc.cz")</f>
        <v>zavadil.petr@firmaabc.cz</v>
      </c>
      <c r="I322" s="2" t="str">
        <f>_xlfn.CONCAT(LEFT(LOWER(Tabulka1[[#This Row],[Příjmení bez mezer]]),3),RIGHT(UPPER(Tabulka1[[#This Row],[Jméno bez mezer]]),2))</f>
        <v>zavTR</v>
      </c>
    </row>
    <row r="323" spans="1:9">
      <c r="A323" s="2" t="s">
        <v>743</v>
      </c>
      <c r="B323" t="s">
        <v>326</v>
      </c>
      <c r="C323" t="s">
        <v>744</v>
      </c>
      <c r="D323" t="str">
        <f>TRIM(Tabulka1[[#This Row],[Jméno]])</f>
        <v>Milan</v>
      </c>
      <c r="E323" t="str">
        <f>TRIM(Tabulka1[[#This Row],[Příjmení]])</f>
        <v>Pajer</v>
      </c>
      <c r="F323" s="2" t="str">
        <f>MID(Tabulka1[[#This Row],[Adresa]],1,SEARCH(",",Tabulka1[[#This Row],[Adresa]])-1)</f>
        <v>U Křížku 1007</v>
      </c>
      <c r="G323" s="2" t="str">
        <f>RIGHT(Tabulka1[[#This Row],[Adresa]],LEN(Tabulka1[[#This Row],[Adresa]])-LEN(Tabulka1[[#This Row],[Ulice]])-1)</f>
        <v>Všelibice</v>
      </c>
      <c r="H323" s="2" t="str">
        <f>_xlfn.CONCAT(LOWER(Tabulka1[[#This Row],[Příjmení bez mezer]]),".",LOWER(Tabulka1[[#This Row],[Jméno bez mezer]]),"@firmaabc.cz")</f>
        <v>pajer.milan@firmaabc.cz</v>
      </c>
      <c r="I323" s="2" t="str">
        <f>_xlfn.CONCAT(LEFT(LOWER(Tabulka1[[#This Row],[Příjmení bez mezer]]),3),RIGHT(UPPER(Tabulka1[[#This Row],[Jméno bez mezer]]),2))</f>
        <v>pajAN</v>
      </c>
    </row>
    <row r="324" spans="1:9" ht="30">
      <c r="A324" s="2" t="s">
        <v>745</v>
      </c>
      <c r="B324" t="s">
        <v>746</v>
      </c>
      <c r="C324" t="s">
        <v>747</v>
      </c>
      <c r="D324" t="str">
        <f>TRIM(Tabulka1[[#This Row],[Jméno]])</f>
        <v>Vlastimila</v>
      </c>
      <c r="E324" t="str">
        <f>TRIM(Tabulka1[[#This Row],[Příjmení]])</f>
        <v>Karafiatova</v>
      </c>
      <c r="F324" s="2" t="str">
        <f>MID(Tabulka1[[#This Row],[Adresa]],1,SEARCH(",",Tabulka1[[#This Row],[Adresa]])-1)</f>
        <v>Kovářská 1657</v>
      </c>
      <c r="G324" s="2" t="str">
        <f>RIGHT(Tabulka1[[#This Row],[Adresa]],LEN(Tabulka1[[#This Row],[Adresa]])-LEN(Tabulka1[[#This Row],[Ulice]])-1)</f>
        <v>Chlumec u Ústí nad Labem</v>
      </c>
      <c r="H324" s="2" t="str">
        <f>_xlfn.CONCAT(LOWER(Tabulka1[[#This Row],[Příjmení bez mezer]]),".",LOWER(Tabulka1[[#This Row],[Jméno bez mezer]]),"@firmaabc.cz")</f>
        <v>karafiatova.vlastimila@firmaabc.cz</v>
      </c>
      <c r="I324" s="2" t="str">
        <f>_xlfn.CONCAT(LEFT(LOWER(Tabulka1[[#This Row],[Příjmení bez mezer]]),3),RIGHT(UPPER(Tabulka1[[#This Row],[Jméno bez mezer]]),2))</f>
        <v>karLA</v>
      </c>
    </row>
    <row r="325" spans="1:9" ht="30">
      <c r="A325" s="2" t="s">
        <v>748</v>
      </c>
      <c r="B325" t="s">
        <v>447</v>
      </c>
      <c r="C325" t="s">
        <v>749</v>
      </c>
      <c r="D325" t="str">
        <f>TRIM(Tabulka1[[#This Row],[Jméno]])</f>
        <v>Vlastimil</v>
      </c>
      <c r="E325" t="str">
        <f>TRIM(Tabulka1[[#This Row],[Příjmení]])</f>
        <v>Domansky</v>
      </c>
      <c r="F325" s="2" t="str">
        <f>MID(Tabulka1[[#This Row],[Adresa]],1,SEARCH(",",Tabulka1[[#This Row],[Adresa]])-1)</f>
        <v>Bavorovská 1520</v>
      </c>
      <c r="G325" s="2" t="str">
        <f>RIGHT(Tabulka1[[#This Row],[Adresa]],LEN(Tabulka1[[#This Row],[Adresa]])-LEN(Tabulka1[[#This Row],[Ulice]])-1)</f>
        <v>Vlachovo Brezí</v>
      </c>
      <c r="H325" s="2" t="str">
        <f>_xlfn.CONCAT(LOWER(Tabulka1[[#This Row],[Příjmení bez mezer]]),".",LOWER(Tabulka1[[#This Row],[Jméno bez mezer]]),"@firmaabc.cz")</f>
        <v>domansky.vlastimil@firmaabc.cz</v>
      </c>
      <c r="I325" s="2" t="str">
        <f>_xlfn.CONCAT(LEFT(LOWER(Tabulka1[[#This Row],[Příjmení bez mezer]]),3),RIGHT(UPPER(Tabulka1[[#This Row],[Jméno bez mezer]]),2))</f>
        <v>domIL</v>
      </c>
    </row>
    <row r="326" spans="1:9">
      <c r="A326" s="2" t="s">
        <v>750</v>
      </c>
      <c r="B326" t="s">
        <v>305</v>
      </c>
      <c r="C326" t="s">
        <v>751</v>
      </c>
      <c r="D326" t="str">
        <f>TRIM(Tabulka1[[#This Row],[Jméno]])</f>
        <v>Lenka</v>
      </c>
      <c r="E326" t="str">
        <f>TRIM(Tabulka1[[#This Row],[Příjmení]])</f>
        <v>Uchytilova</v>
      </c>
      <c r="F326" s="2" t="str">
        <f>MID(Tabulka1[[#This Row],[Adresa]],1,SEARCH(",",Tabulka1[[#This Row],[Adresa]])-1)</f>
        <v>Hálkova 1976</v>
      </c>
      <c r="G326" s="2" t="str">
        <f>RIGHT(Tabulka1[[#This Row],[Adresa]],LEN(Tabulka1[[#This Row],[Adresa]])-LEN(Tabulka1[[#This Row],[Ulice]])-1)</f>
        <v>Ceská Lípa 2</v>
      </c>
      <c r="H326" s="2" t="str">
        <f>_xlfn.CONCAT(LOWER(Tabulka1[[#This Row],[Příjmení bez mezer]]),".",LOWER(Tabulka1[[#This Row],[Jméno bez mezer]]),"@firmaabc.cz")</f>
        <v>uchytilova.lenka@firmaabc.cz</v>
      </c>
      <c r="I326" s="2" t="str">
        <f>_xlfn.CONCAT(LEFT(LOWER(Tabulka1[[#This Row],[Příjmení bez mezer]]),3),RIGHT(UPPER(Tabulka1[[#This Row],[Jméno bez mezer]]),2))</f>
        <v>uchKA</v>
      </c>
    </row>
    <row r="327" spans="1:9" ht="30">
      <c r="A327" s="2" t="s">
        <v>752</v>
      </c>
      <c r="B327" t="s">
        <v>753</v>
      </c>
      <c r="C327" t="s">
        <v>754</v>
      </c>
      <c r="D327" t="str">
        <f>TRIM(Tabulka1[[#This Row],[Jméno]])</f>
        <v>Jolana</v>
      </c>
      <c r="E327" t="str">
        <f>TRIM(Tabulka1[[#This Row],[Příjmení]])</f>
        <v>Vladykova</v>
      </c>
      <c r="F327" s="2" t="str">
        <f>MID(Tabulka1[[#This Row],[Adresa]],1,SEARCH(",",Tabulka1[[#This Row],[Adresa]])-1)</f>
        <v>Prokopská 807</v>
      </c>
      <c r="G327" s="2" t="str">
        <f>RIGHT(Tabulka1[[#This Row],[Adresa]],LEN(Tabulka1[[#This Row],[Adresa]])-LEN(Tabulka1[[#This Row],[Ulice]])-1)</f>
        <v>Stará Hut u Dobríše</v>
      </c>
      <c r="H327" s="2" t="str">
        <f>_xlfn.CONCAT(LOWER(Tabulka1[[#This Row],[Příjmení bez mezer]]),".",LOWER(Tabulka1[[#This Row],[Jméno bez mezer]]),"@firmaabc.cz")</f>
        <v>vladykova.jolana@firmaabc.cz</v>
      </c>
      <c r="I327" s="2" t="str">
        <f>_xlfn.CONCAT(LEFT(LOWER(Tabulka1[[#This Row],[Příjmení bez mezer]]),3),RIGHT(UPPER(Tabulka1[[#This Row],[Jméno bez mezer]]),2))</f>
        <v>vlaNA</v>
      </c>
    </row>
    <row r="328" spans="1:9" ht="30">
      <c r="A328" s="2" t="s">
        <v>755</v>
      </c>
      <c r="B328" t="s">
        <v>718</v>
      </c>
      <c r="C328" t="s">
        <v>756</v>
      </c>
      <c r="D328" t="str">
        <f>TRIM(Tabulka1[[#This Row],[Jméno]])</f>
        <v>Renata</v>
      </c>
      <c r="E328" t="str">
        <f>TRIM(Tabulka1[[#This Row],[Příjmení]])</f>
        <v>Lahodova</v>
      </c>
      <c r="F328" s="2" t="str">
        <f>MID(Tabulka1[[#This Row],[Adresa]],1,SEARCH(",",Tabulka1[[#This Row],[Adresa]])-1)</f>
        <v>Československé legií 1319</v>
      </c>
      <c r="G328" s="2" t="str">
        <f>RIGHT(Tabulka1[[#This Row],[Adresa]],LEN(Tabulka1[[#This Row],[Adresa]])-LEN(Tabulka1[[#This Row],[Ulice]])-1)</f>
        <v>Lipník nad Becvou</v>
      </c>
      <c r="H328" s="2" t="str">
        <f>_xlfn.CONCAT(LOWER(Tabulka1[[#This Row],[Příjmení bez mezer]]),".",LOWER(Tabulka1[[#This Row],[Jméno bez mezer]]),"@firmaabc.cz")</f>
        <v>lahodova.renata@firmaabc.cz</v>
      </c>
      <c r="I328" s="2" t="str">
        <f>_xlfn.CONCAT(LEFT(LOWER(Tabulka1[[#This Row],[Příjmení bez mezer]]),3),RIGHT(UPPER(Tabulka1[[#This Row],[Jméno bez mezer]]),2))</f>
        <v>lahTA</v>
      </c>
    </row>
    <row r="329" spans="1:9" ht="30">
      <c r="A329" s="2" t="s">
        <v>757</v>
      </c>
      <c r="B329" t="s">
        <v>343</v>
      </c>
      <c r="C329" t="s">
        <v>758</v>
      </c>
      <c r="D329" t="str">
        <f>TRIM(Tabulka1[[#This Row],[Jméno]])</f>
        <v>Pavlina</v>
      </c>
      <c r="E329" t="str">
        <f>TRIM(Tabulka1[[#This Row],[Příjmení]])</f>
        <v>Flidrova</v>
      </c>
      <c r="F329" s="2" t="str">
        <f>MID(Tabulka1[[#This Row],[Adresa]],1,SEARCH(",",Tabulka1[[#This Row],[Adresa]])-1)</f>
        <v>Družstevní práce 464</v>
      </c>
      <c r="G329" s="2" t="str">
        <f>RIGHT(Tabulka1[[#This Row],[Adresa]],LEN(Tabulka1[[#This Row],[Adresa]])-LEN(Tabulka1[[#This Row],[Ulice]])-1)</f>
        <v>Chlumec nad Cidlinou</v>
      </c>
      <c r="H329" s="2" t="str">
        <f>_xlfn.CONCAT(LOWER(Tabulka1[[#This Row],[Příjmení bez mezer]]),".",LOWER(Tabulka1[[#This Row],[Jméno bez mezer]]),"@firmaabc.cz")</f>
        <v>flidrova.pavlina@firmaabc.cz</v>
      </c>
      <c r="I329" s="2" t="str">
        <f>_xlfn.CONCAT(LEFT(LOWER(Tabulka1[[#This Row],[Příjmení bez mezer]]),3),RIGHT(UPPER(Tabulka1[[#This Row],[Jméno bez mezer]]),2))</f>
        <v>fliNA</v>
      </c>
    </row>
    <row r="330" spans="1:9" ht="30">
      <c r="A330" s="2" t="s">
        <v>759</v>
      </c>
      <c r="B330" t="s">
        <v>191</v>
      </c>
      <c r="C330" t="s">
        <v>760</v>
      </c>
      <c r="D330" t="str">
        <f>TRIM(Tabulka1[[#This Row],[Jméno]])</f>
        <v>Jana</v>
      </c>
      <c r="E330" t="str">
        <f>TRIM(Tabulka1[[#This Row],[Příjmení]])</f>
        <v>Havrdova</v>
      </c>
      <c r="F330" s="2" t="str">
        <f>MID(Tabulka1[[#This Row],[Adresa]],1,SEARCH(",",Tabulka1[[#This Row],[Adresa]])-1)</f>
        <v>U divadla 1341</v>
      </c>
      <c r="G330" s="2" t="str">
        <f>RIGHT(Tabulka1[[#This Row],[Adresa]],LEN(Tabulka1[[#This Row],[Adresa]])-LEN(Tabulka1[[#This Row],[Ulice]])-1)</f>
        <v>Straškov-Vodochody</v>
      </c>
      <c r="H330" s="2" t="str">
        <f>_xlfn.CONCAT(LOWER(Tabulka1[[#This Row],[Příjmení bez mezer]]),".",LOWER(Tabulka1[[#This Row],[Jméno bez mezer]]),"@firmaabc.cz")</f>
        <v>havrdova.jana@firmaabc.cz</v>
      </c>
      <c r="I330" s="2" t="str">
        <f>_xlfn.CONCAT(LEFT(LOWER(Tabulka1[[#This Row],[Příjmení bez mezer]]),3),RIGHT(UPPER(Tabulka1[[#This Row],[Jméno bez mezer]]),2))</f>
        <v>havNA</v>
      </c>
    </row>
    <row r="331" spans="1:9">
      <c r="A331" s="2" t="s">
        <v>761</v>
      </c>
      <c r="B331" t="s">
        <v>44</v>
      </c>
      <c r="C331" t="s">
        <v>762</v>
      </c>
      <c r="D331" t="str">
        <f>TRIM(Tabulka1[[#This Row],[Jméno]])</f>
        <v>Marie</v>
      </c>
      <c r="E331" t="str">
        <f>TRIM(Tabulka1[[#This Row],[Příjmení]])</f>
        <v>Vesela</v>
      </c>
      <c r="F331" s="2" t="str">
        <f>MID(Tabulka1[[#This Row],[Adresa]],1,SEARCH(",",Tabulka1[[#This Row],[Adresa]])-1)</f>
        <v>Hálkova 1665</v>
      </c>
      <c r="G331" s="2" t="str">
        <f>RIGHT(Tabulka1[[#This Row],[Adresa]],LEN(Tabulka1[[#This Row],[Adresa]])-LEN(Tabulka1[[#This Row],[Ulice]])-1)</f>
        <v>Mimon</v>
      </c>
      <c r="H331" s="2" t="str">
        <f>_xlfn.CONCAT(LOWER(Tabulka1[[#This Row],[Příjmení bez mezer]]),".",LOWER(Tabulka1[[#This Row],[Jméno bez mezer]]),"@firmaabc.cz")</f>
        <v>vesela.marie@firmaabc.cz</v>
      </c>
      <c r="I331" s="2" t="str">
        <f>_xlfn.CONCAT(LEFT(LOWER(Tabulka1[[#This Row],[Příjmení bez mezer]]),3),RIGHT(UPPER(Tabulka1[[#This Row],[Jméno bez mezer]]),2))</f>
        <v>vesIE</v>
      </c>
    </row>
    <row r="332" spans="1:9" ht="30">
      <c r="A332" s="2" t="s">
        <v>763</v>
      </c>
      <c r="B332" t="s">
        <v>764</v>
      </c>
      <c r="C332" t="s">
        <v>765</v>
      </c>
      <c r="D332" t="str">
        <f>TRIM(Tabulka1[[#This Row],[Jméno]])</f>
        <v>Viktoriya</v>
      </c>
      <c r="E332" t="str">
        <f>TRIM(Tabulka1[[#This Row],[Příjmení]])</f>
        <v>Matejkova</v>
      </c>
      <c r="F332" s="2" t="str">
        <f>MID(Tabulka1[[#This Row],[Adresa]],1,SEARCH(",",Tabulka1[[#This Row],[Adresa]])-1)</f>
        <v>Dobrovského 1682</v>
      </c>
      <c r="G332" s="2" t="str">
        <f>RIGHT(Tabulka1[[#This Row],[Adresa]],LEN(Tabulka1[[#This Row],[Adresa]])-LEN(Tabulka1[[#This Row],[Ulice]])-1)</f>
        <v>Jirice u Miroslavi</v>
      </c>
      <c r="H332" s="2" t="str">
        <f>_xlfn.CONCAT(LOWER(Tabulka1[[#This Row],[Příjmení bez mezer]]),".",LOWER(Tabulka1[[#This Row],[Jméno bez mezer]]),"@firmaabc.cz")</f>
        <v>matejkova.viktoriya@firmaabc.cz</v>
      </c>
      <c r="I332" s="2" t="str">
        <f>_xlfn.CONCAT(LEFT(LOWER(Tabulka1[[#This Row],[Příjmení bez mezer]]),3),RIGHT(UPPER(Tabulka1[[#This Row],[Jméno bez mezer]]),2))</f>
        <v>matYA</v>
      </c>
    </row>
    <row r="333" spans="1:9">
      <c r="A333" s="2" t="s">
        <v>766</v>
      </c>
      <c r="B333" t="s">
        <v>103</v>
      </c>
      <c r="C333" t="s">
        <v>767</v>
      </c>
      <c r="D333" t="str">
        <f>TRIM(Tabulka1[[#This Row],[Jméno]])</f>
        <v>Frantisek</v>
      </c>
      <c r="E333" t="str">
        <f>TRIM(Tabulka1[[#This Row],[Příjmení]])</f>
        <v>Necas</v>
      </c>
      <c r="F333" s="2" t="str">
        <f>MID(Tabulka1[[#This Row],[Adresa]],1,SEARCH(",",Tabulka1[[#This Row],[Adresa]])-1)</f>
        <v>K Lukárně 567</v>
      </c>
      <c r="G333" s="2" t="str">
        <f>RIGHT(Tabulka1[[#This Row],[Adresa]],LEN(Tabulka1[[#This Row],[Adresa]])-LEN(Tabulka1[[#This Row],[Ulice]])-1)</f>
        <v>Horovice</v>
      </c>
      <c r="H333" s="2" t="str">
        <f>_xlfn.CONCAT(LOWER(Tabulka1[[#This Row],[Příjmení bez mezer]]),".",LOWER(Tabulka1[[#This Row],[Jméno bez mezer]]),"@firmaabc.cz")</f>
        <v>necas.frantisek@firmaabc.cz</v>
      </c>
      <c r="I333" s="2" t="str">
        <f>_xlfn.CONCAT(LEFT(LOWER(Tabulka1[[#This Row],[Příjmení bez mezer]]),3),RIGHT(UPPER(Tabulka1[[#This Row],[Jméno bez mezer]]),2))</f>
        <v>necEK</v>
      </c>
    </row>
    <row r="334" spans="1:9" ht="30">
      <c r="A334" s="2" t="s">
        <v>768</v>
      </c>
      <c r="B334" t="s">
        <v>75</v>
      </c>
      <c r="C334" t="s">
        <v>289</v>
      </c>
      <c r="D334" t="str">
        <f>TRIM(Tabulka1[[#This Row],[Jméno]])</f>
        <v>Daniel</v>
      </c>
      <c r="E334" t="str">
        <f>TRIM(Tabulka1[[#This Row],[Příjmení]])</f>
        <v>Petr</v>
      </c>
      <c r="F334" s="2" t="str">
        <f>MID(Tabulka1[[#This Row],[Adresa]],1,SEARCH(",",Tabulka1[[#This Row],[Adresa]])-1)</f>
        <v>Pod Floriánem 734</v>
      </c>
      <c r="G334" s="2" t="str">
        <f>RIGHT(Tabulka1[[#This Row],[Adresa]],LEN(Tabulka1[[#This Row],[Adresa]])-LEN(Tabulka1[[#This Row],[Ulice]])-1)</f>
        <v>Pelhrimov</v>
      </c>
      <c r="H334" s="2" t="str">
        <f>_xlfn.CONCAT(LOWER(Tabulka1[[#This Row],[Příjmení bez mezer]]),".",LOWER(Tabulka1[[#This Row],[Jméno bez mezer]]),"@firmaabc.cz")</f>
        <v>petr.daniel@firmaabc.cz</v>
      </c>
      <c r="I334" s="2" t="str">
        <f>_xlfn.CONCAT(LEFT(LOWER(Tabulka1[[#This Row],[Příjmení bez mezer]]),3),RIGHT(UPPER(Tabulka1[[#This Row],[Jméno bez mezer]]),2))</f>
        <v>petEL</v>
      </c>
    </row>
    <row r="335" spans="1:9">
      <c r="A335" s="2" t="s">
        <v>769</v>
      </c>
      <c r="B335" t="s">
        <v>699</v>
      </c>
      <c r="C335" t="s">
        <v>770</v>
      </c>
      <c r="D335" t="str">
        <f>TRIM(Tabulka1[[#This Row],[Jméno]])</f>
        <v>Marcela</v>
      </c>
      <c r="E335" t="str">
        <f>TRIM(Tabulka1[[#This Row],[Příjmení]])</f>
        <v>Souckova</v>
      </c>
      <c r="F335" s="2" t="str">
        <f>MID(Tabulka1[[#This Row],[Adresa]],1,SEARCH(",",Tabulka1[[#This Row],[Adresa]])-1)</f>
        <v>Jiráskova 442</v>
      </c>
      <c r="G335" s="2" t="str">
        <f>RIGHT(Tabulka1[[#This Row],[Adresa]],LEN(Tabulka1[[#This Row],[Adresa]])-LEN(Tabulka1[[#This Row],[Ulice]])-1)</f>
        <v>Kopidlno</v>
      </c>
      <c r="H335" s="2" t="str">
        <f>_xlfn.CONCAT(LOWER(Tabulka1[[#This Row],[Příjmení bez mezer]]),".",LOWER(Tabulka1[[#This Row],[Jméno bez mezer]]),"@firmaabc.cz")</f>
        <v>souckova.marcela@firmaabc.cz</v>
      </c>
      <c r="I335" s="2" t="str">
        <f>_xlfn.CONCAT(LEFT(LOWER(Tabulka1[[#This Row],[Příjmení bez mezer]]),3),RIGHT(UPPER(Tabulka1[[#This Row],[Jméno bez mezer]]),2))</f>
        <v>souLA</v>
      </c>
    </row>
    <row r="336" spans="1:9">
      <c r="A336" s="2" t="s">
        <v>771</v>
      </c>
      <c r="B336" t="s">
        <v>772</v>
      </c>
      <c r="C336" t="s">
        <v>773</v>
      </c>
      <c r="D336" t="str">
        <f>TRIM(Tabulka1[[#This Row],[Jméno]])</f>
        <v>Danuska</v>
      </c>
      <c r="E336" t="str">
        <f>TRIM(Tabulka1[[#This Row],[Příjmení]])</f>
        <v>Taborska</v>
      </c>
      <c r="F336" s="2" t="str">
        <f>MID(Tabulka1[[#This Row],[Adresa]],1,SEARCH(",",Tabulka1[[#This Row],[Adresa]])-1)</f>
        <v>U Parku 255</v>
      </c>
      <c r="G336" s="2" t="str">
        <f>RIGHT(Tabulka1[[#This Row],[Adresa]],LEN(Tabulka1[[#This Row],[Adresa]])-LEN(Tabulka1[[#This Row],[Ulice]])-1)</f>
        <v>Dolní Bukovsko</v>
      </c>
      <c r="H336" s="2" t="str">
        <f>_xlfn.CONCAT(LOWER(Tabulka1[[#This Row],[Příjmení bez mezer]]),".",LOWER(Tabulka1[[#This Row],[Jméno bez mezer]]),"@firmaabc.cz")</f>
        <v>taborska.danuska@firmaabc.cz</v>
      </c>
      <c r="I336" s="2" t="str">
        <f>_xlfn.CONCAT(LEFT(LOWER(Tabulka1[[#This Row],[Příjmení bez mezer]]),3),RIGHT(UPPER(Tabulka1[[#This Row],[Jméno bez mezer]]),2))</f>
        <v>tabKA</v>
      </c>
    </row>
    <row r="337" spans="1:9">
      <c r="A337" s="2" t="s">
        <v>774</v>
      </c>
      <c r="B337" t="s">
        <v>172</v>
      </c>
      <c r="C337" t="s">
        <v>202</v>
      </c>
      <c r="D337" t="str">
        <f>TRIM(Tabulka1[[#This Row],[Jméno]])</f>
        <v>David</v>
      </c>
      <c r="E337" t="str">
        <f>TRIM(Tabulka1[[#This Row],[Příjmení]])</f>
        <v>?Novak</v>
      </c>
      <c r="F337" s="2" t="str">
        <f>MID(Tabulka1[[#This Row],[Adresa]],1,SEARCH(",",Tabulka1[[#This Row],[Adresa]])-1)</f>
        <v>Jindřichova 1382</v>
      </c>
      <c r="G337" s="2" t="str">
        <f>RIGHT(Tabulka1[[#This Row],[Adresa]],LEN(Tabulka1[[#This Row],[Adresa]])-LEN(Tabulka1[[#This Row],[Ulice]])-1)</f>
        <v>Majdalena</v>
      </c>
      <c r="H337" s="2" t="str">
        <f>_xlfn.CONCAT(LOWER(Tabulka1[[#This Row],[Příjmení bez mezer]]),".",LOWER(Tabulka1[[#This Row],[Jméno bez mezer]]),"@firmaabc.cz")</f>
        <v>?novak.david@firmaabc.cz</v>
      </c>
      <c r="I337" s="2" t="str">
        <f>_xlfn.CONCAT(LEFT(LOWER(Tabulka1[[#This Row],[Příjmení bez mezer]]),3),RIGHT(UPPER(Tabulka1[[#This Row],[Jméno bez mezer]]),2))</f>
        <v>?noID</v>
      </c>
    </row>
    <row r="338" spans="1:9" ht="30">
      <c r="A338" s="2" t="s">
        <v>775</v>
      </c>
      <c r="B338" t="s">
        <v>322</v>
      </c>
      <c r="C338" t="s">
        <v>776</v>
      </c>
      <c r="D338" t="str">
        <f>TRIM(Tabulka1[[#This Row],[Jméno]])</f>
        <v>Helena</v>
      </c>
      <c r="E338" t="str">
        <f>TRIM(Tabulka1[[#This Row],[Příjmení]])</f>
        <v>Kafkova</v>
      </c>
      <c r="F338" s="2" t="str">
        <f>MID(Tabulka1[[#This Row],[Adresa]],1,SEARCH(",",Tabulka1[[#This Row],[Adresa]])-1)</f>
        <v>Bratří Čapků 1899</v>
      </c>
      <c r="G338" s="2" t="str">
        <f>RIGHT(Tabulka1[[#This Row],[Adresa]],LEN(Tabulka1[[#This Row],[Adresa]])-LEN(Tabulka1[[#This Row],[Ulice]])-1)</f>
        <v>Bílá Tremešná</v>
      </c>
      <c r="H338" s="2" t="str">
        <f>_xlfn.CONCAT(LOWER(Tabulka1[[#This Row],[Příjmení bez mezer]]),".",LOWER(Tabulka1[[#This Row],[Jméno bez mezer]]),"@firmaabc.cz")</f>
        <v>kafkova.helena@firmaabc.cz</v>
      </c>
      <c r="I338" s="2" t="str">
        <f>_xlfn.CONCAT(LEFT(LOWER(Tabulka1[[#This Row],[Příjmení bez mezer]]),3),RIGHT(UPPER(Tabulka1[[#This Row],[Jméno bez mezer]]),2))</f>
        <v>kafNA</v>
      </c>
    </row>
    <row r="339" spans="1:9" ht="30">
      <c r="A339" s="2" t="s">
        <v>777</v>
      </c>
      <c r="B339" t="s">
        <v>180</v>
      </c>
      <c r="C339" t="s">
        <v>778</v>
      </c>
      <c r="D339" t="str">
        <f>TRIM(Tabulka1[[#This Row],[Jméno]])</f>
        <v>Jaroslav</v>
      </c>
      <c r="E339" t="str">
        <f>TRIM(Tabulka1[[#This Row],[Příjmení]])</f>
        <v>Novotny</v>
      </c>
      <c r="F339" s="2" t="str">
        <f>MID(Tabulka1[[#This Row],[Adresa]],1,SEARCH(",",Tabulka1[[#This Row],[Adresa]])-1)</f>
        <v>Mlýnská 1667</v>
      </c>
      <c r="G339" s="2" t="str">
        <f>RIGHT(Tabulka1[[#This Row],[Adresa]],LEN(Tabulka1[[#This Row],[Adresa]])-LEN(Tabulka1[[#This Row],[Ulice]])-1)</f>
        <v>Olšany u Šumperka</v>
      </c>
      <c r="H339" s="2" t="str">
        <f>_xlfn.CONCAT(LOWER(Tabulka1[[#This Row],[Příjmení bez mezer]]),".",LOWER(Tabulka1[[#This Row],[Jméno bez mezer]]),"@firmaabc.cz")</f>
        <v>novotny.jaroslav@firmaabc.cz</v>
      </c>
      <c r="I339" s="2" t="str">
        <f>_xlfn.CONCAT(LEFT(LOWER(Tabulka1[[#This Row],[Příjmení bez mezer]]),3),RIGHT(UPPER(Tabulka1[[#This Row],[Jméno bez mezer]]),2))</f>
        <v>novAV</v>
      </c>
    </row>
    <row r="340" spans="1:9">
      <c r="A340" s="2" t="s">
        <v>779</v>
      </c>
      <c r="B340" t="s">
        <v>289</v>
      </c>
      <c r="C340" t="s">
        <v>780</v>
      </c>
      <c r="D340" t="str">
        <f>TRIM(Tabulka1[[#This Row],[Jméno]])</f>
        <v>Petr</v>
      </c>
      <c r="E340" t="str">
        <f>TRIM(Tabulka1[[#This Row],[Příjmení]])</f>
        <v>Lastuvka</v>
      </c>
      <c r="F340" s="2" t="str">
        <f>MID(Tabulka1[[#This Row],[Adresa]],1,SEARCH(",",Tabulka1[[#This Row],[Adresa]])-1)</f>
        <v>Jiráskova 1119</v>
      </c>
      <c r="G340" s="2" t="str">
        <f>RIGHT(Tabulka1[[#This Row],[Adresa]],LEN(Tabulka1[[#This Row],[Adresa]])-LEN(Tabulka1[[#This Row],[Ulice]])-1)</f>
        <v>Prepere</v>
      </c>
      <c r="H340" s="2" t="str">
        <f>_xlfn.CONCAT(LOWER(Tabulka1[[#This Row],[Příjmení bez mezer]]),".",LOWER(Tabulka1[[#This Row],[Jméno bez mezer]]),"@firmaabc.cz")</f>
        <v>lastuvka.petr@firmaabc.cz</v>
      </c>
      <c r="I340" s="2" t="str">
        <f>_xlfn.CONCAT(LEFT(LOWER(Tabulka1[[#This Row],[Příjmení bez mezer]]),3),RIGHT(UPPER(Tabulka1[[#This Row],[Jméno bez mezer]]),2))</f>
        <v>lasTR</v>
      </c>
    </row>
    <row r="341" spans="1:9">
      <c r="A341" s="2" t="s">
        <v>781</v>
      </c>
      <c r="B341" t="s">
        <v>782</v>
      </c>
      <c r="C341" t="s">
        <v>783</v>
      </c>
      <c r="D341" t="str">
        <f>TRIM(Tabulka1[[#This Row],[Jméno]])</f>
        <v>Karla</v>
      </c>
      <c r="E341" t="str">
        <f>TRIM(Tabulka1[[#This Row],[Příjmení]])</f>
        <v>Oslejskova</v>
      </c>
      <c r="F341" s="2" t="str">
        <f>MID(Tabulka1[[#This Row],[Adresa]],1,SEARCH(",",Tabulka1[[#This Row],[Adresa]])-1)</f>
        <v>Alšova 481</v>
      </c>
      <c r="G341" s="2" t="str">
        <f>RIGHT(Tabulka1[[#This Row],[Adresa]],LEN(Tabulka1[[#This Row],[Adresa]])-LEN(Tabulka1[[#This Row],[Ulice]])-1)</f>
        <v>Cimelice</v>
      </c>
      <c r="H341" s="2" t="str">
        <f>_xlfn.CONCAT(LOWER(Tabulka1[[#This Row],[Příjmení bez mezer]]),".",LOWER(Tabulka1[[#This Row],[Jméno bez mezer]]),"@firmaabc.cz")</f>
        <v>oslejskova.karla@firmaabc.cz</v>
      </c>
      <c r="I341" s="2" t="str">
        <f>_xlfn.CONCAT(LEFT(LOWER(Tabulka1[[#This Row],[Příjmení bez mezer]]),3),RIGHT(UPPER(Tabulka1[[#This Row],[Jméno bez mezer]]),2))</f>
        <v>oslLA</v>
      </c>
    </row>
    <row r="342" spans="1:9">
      <c r="A342" s="2" t="s">
        <v>784</v>
      </c>
      <c r="B342" t="s">
        <v>98</v>
      </c>
      <c r="C342" t="s">
        <v>785</v>
      </c>
      <c r="D342" t="str">
        <f>TRIM(Tabulka1[[#This Row],[Jméno]])</f>
        <v>Lukas</v>
      </c>
      <c r="E342" t="str">
        <f>TRIM(Tabulka1[[#This Row],[Příjmení]])</f>
        <v>Dockal</v>
      </c>
      <c r="F342" s="2" t="str">
        <f>MID(Tabulka1[[#This Row],[Adresa]],1,SEARCH(",",Tabulka1[[#This Row],[Adresa]])-1)</f>
        <v>Větrník 1725</v>
      </c>
      <c r="G342" s="2" t="str">
        <f>RIGHT(Tabulka1[[#This Row],[Adresa]],LEN(Tabulka1[[#This Row],[Adresa]])-LEN(Tabulka1[[#This Row],[Ulice]])-1)</f>
        <v>Hronov 1</v>
      </c>
      <c r="H342" s="2" t="str">
        <f>_xlfn.CONCAT(LOWER(Tabulka1[[#This Row],[Příjmení bez mezer]]),".",LOWER(Tabulka1[[#This Row],[Jméno bez mezer]]),"@firmaabc.cz")</f>
        <v>dockal.lukas@firmaabc.cz</v>
      </c>
      <c r="I342" s="2" t="str">
        <f>_xlfn.CONCAT(LEFT(LOWER(Tabulka1[[#This Row],[Příjmení bez mezer]]),3),RIGHT(UPPER(Tabulka1[[#This Row],[Jméno bez mezer]]),2))</f>
        <v>docAS</v>
      </c>
    </row>
    <row r="343" spans="1:9">
      <c r="A343" s="2" t="s">
        <v>786</v>
      </c>
      <c r="B343" t="s">
        <v>787</v>
      </c>
      <c r="C343" t="s">
        <v>788</v>
      </c>
      <c r="D343" t="str">
        <f>TRIM(Tabulka1[[#This Row],[Jméno]])</f>
        <v>Marketa</v>
      </c>
      <c r="E343" t="str">
        <f>TRIM(Tabulka1[[#This Row],[Příjmení]])</f>
        <v>Hubkova</v>
      </c>
      <c r="F343" s="2" t="str">
        <f>MID(Tabulka1[[#This Row],[Adresa]],1,SEARCH(",",Tabulka1[[#This Row],[Adresa]])-1)</f>
        <v>Hrubínova 287</v>
      </c>
      <c r="G343" s="2" t="str">
        <f>RIGHT(Tabulka1[[#This Row],[Adresa]],LEN(Tabulka1[[#This Row],[Adresa]])-LEN(Tabulka1[[#This Row],[Ulice]])-1)</f>
        <v>Neveklov</v>
      </c>
      <c r="H343" s="2" t="str">
        <f>_xlfn.CONCAT(LOWER(Tabulka1[[#This Row],[Příjmení bez mezer]]),".",LOWER(Tabulka1[[#This Row],[Jméno bez mezer]]),"@firmaabc.cz")</f>
        <v>hubkova.marketa@firmaabc.cz</v>
      </c>
      <c r="I343" s="2" t="str">
        <f>_xlfn.CONCAT(LEFT(LOWER(Tabulka1[[#This Row],[Příjmení bez mezer]]),3),RIGHT(UPPER(Tabulka1[[#This Row],[Jméno bez mezer]]),2))</f>
        <v>hubTA</v>
      </c>
    </row>
    <row r="344" spans="1:9">
      <c r="A344" s="2" t="s">
        <v>789</v>
      </c>
      <c r="B344" t="s">
        <v>191</v>
      </c>
      <c r="C344" t="s">
        <v>790</v>
      </c>
      <c r="D344" t="str">
        <f>TRIM(Tabulka1[[#This Row],[Jméno]])</f>
        <v>Jana</v>
      </c>
      <c r="E344" t="str">
        <f>TRIM(Tabulka1[[#This Row],[Příjmení]])</f>
        <v>Olivova</v>
      </c>
      <c r="F344" s="2" t="str">
        <f>MID(Tabulka1[[#This Row],[Adresa]],1,SEARCH(",",Tabulka1[[#This Row],[Adresa]])-1)</f>
        <v>Sokolská 894</v>
      </c>
      <c r="G344" s="2" t="str">
        <f>RIGHT(Tabulka1[[#This Row],[Adresa]],LEN(Tabulka1[[#This Row],[Adresa]])-LEN(Tabulka1[[#This Row],[Ulice]])-1)</f>
        <v>Troubelice</v>
      </c>
      <c r="H344" s="2" t="str">
        <f>_xlfn.CONCAT(LOWER(Tabulka1[[#This Row],[Příjmení bez mezer]]),".",LOWER(Tabulka1[[#This Row],[Jméno bez mezer]]),"@firmaabc.cz")</f>
        <v>olivova.jana@firmaabc.cz</v>
      </c>
      <c r="I344" s="2" t="str">
        <f>_xlfn.CONCAT(LEFT(LOWER(Tabulka1[[#This Row],[Příjmení bez mezer]]),3),RIGHT(UPPER(Tabulka1[[#This Row],[Jméno bez mezer]]),2))</f>
        <v>oliNA</v>
      </c>
    </row>
    <row r="345" spans="1:9" ht="30">
      <c r="A345" s="2" t="s">
        <v>791</v>
      </c>
      <c r="B345" t="s">
        <v>103</v>
      </c>
      <c r="C345" t="s">
        <v>792</v>
      </c>
      <c r="D345" t="str">
        <f>TRIM(Tabulka1[[#This Row],[Jméno]])</f>
        <v>Frantisek</v>
      </c>
      <c r="E345" t="str">
        <f>TRIM(Tabulka1[[#This Row],[Příjmení]])</f>
        <v>Jezek</v>
      </c>
      <c r="F345" s="2" t="str">
        <f>MID(Tabulka1[[#This Row],[Adresa]],1,SEARCH(",",Tabulka1[[#This Row],[Adresa]])-1)</f>
        <v>Velký průhon 1604</v>
      </c>
      <c r="G345" s="2" t="str">
        <f>RIGHT(Tabulka1[[#This Row],[Adresa]],LEN(Tabulka1[[#This Row],[Adresa]])-LEN(Tabulka1[[#This Row],[Ulice]])-1)</f>
        <v>Knežice u Mestce Králové</v>
      </c>
      <c r="H345" s="2" t="str">
        <f>_xlfn.CONCAT(LOWER(Tabulka1[[#This Row],[Příjmení bez mezer]]),".",LOWER(Tabulka1[[#This Row],[Jméno bez mezer]]),"@firmaabc.cz")</f>
        <v>jezek.frantisek@firmaabc.cz</v>
      </c>
      <c r="I345" s="2" t="str">
        <f>_xlfn.CONCAT(LEFT(LOWER(Tabulka1[[#This Row],[Příjmení bez mezer]]),3),RIGHT(UPPER(Tabulka1[[#This Row],[Jméno bez mezer]]),2))</f>
        <v>jezEK</v>
      </c>
    </row>
    <row r="346" spans="1:9">
      <c r="A346" s="2" t="s">
        <v>793</v>
      </c>
      <c r="B346" t="s">
        <v>109</v>
      </c>
      <c r="C346" t="s">
        <v>794</v>
      </c>
      <c r="D346" t="str">
        <f>TRIM(Tabulka1[[#This Row],[Jméno]])</f>
        <v>Sarka</v>
      </c>
      <c r="E346" t="str">
        <f>TRIM(Tabulka1[[#This Row],[Příjmení]])</f>
        <v>Skoupa</v>
      </c>
      <c r="F346" s="2" t="str">
        <f>MID(Tabulka1[[#This Row],[Adresa]],1,SEARCH(",",Tabulka1[[#This Row],[Adresa]])-1)</f>
        <v>Bartákova 1769</v>
      </c>
      <c r="G346" s="2" t="str">
        <f>RIGHT(Tabulka1[[#This Row],[Adresa]],LEN(Tabulka1[[#This Row],[Adresa]])-LEN(Tabulka1[[#This Row],[Ulice]])-1)</f>
        <v>Plumlov</v>
      </c>
      <c r="H346" s="2" t="str">
        <f>_xlfn.CONCAT(LOWER(Tabulka1[[#This Row],[Příjmení bez mezer]]),".",LOWER(Tabulka1[[#This Row],[Jméno bez mezer]]),"@firmaabc.cz")</f>
        <v>skoupa.sarka@firmaabc.cz</v>
      </c>
      <c r="I346" s="2" t="str">
        <f>_xlfn.CONCAT(LEFT(LOWER(Tabulka1[[#This Row],[Příjmení bez mezer]]),3),RIGHT(UPPER(Tabulka1[[#This Row],[Jméno bez mezer]]),2))</f>
        <v>skoKA</v>
      </c>
    </row>
    <row r="347" spans="1:9">
      <c r="A347" s="2" t="s">
        <v>795</v>
      </c>
      <c r="B347" t="s">
        <v>219</v>
      </c>
      <c r="C347" t="s">
        <v>796</v>
      </c>
      <c r="D347" t="str">
        <f>TRIM(Tabulka1[[#This Row],[Jméno]])</f>
        <v>Marek</v>
      </c>
      <c r="E347" t="str">
        <f>TRIM(Tabulka1[[#This Row],[Příjmení]])</f>
        <v>Mikula</v>
      </c>
      <c r="F347" s="2" t="str">
        <f>MID(Tabulka1[[#This Row],[Adresa]],1,SEARCH(",",Tabulka1[[#This Row],[Adresa]])-1)</f>
        <v>Fibichova 256</v>
      </c>
      <c r="G347" s="2" t="str">
        <f>RIGHT(Tabulka1[[#This Row],[Adresa]],LEN(Tabulka1[[#This Row],[Adresa]])-LEN(Tabulka1[[#This Row],[Ulice]])-1)</f>
        <v>Melník 1</v>
      </c>
      <c r="H347" s="2" t="str">
        <f>_xlfn.CONCAT(LOWER(Tabulka1[[#This Row],[Příjmení bez mezer]]),".",LOWER(Tabulka1[[#This Row],[Jméno bez mezer]]),"@firmaabc.cz")</f>
        <v>mikula.marek@firmaabc.cz</v>
      </c>
      <c r="I347" s="2" t="str">
        <f>_xlfn.CONCAT(LEFT(LOWER(Tabulka1[[#This Row],[Příjmení bez mezer]]),3),RIGHT(UPPER(Tabulka1[[#This Row],[Jméno bez mezer]]),2))</f>
        <v>mikEK</v>
      </c>
    </row>
    <row r="348" spans="1:9">
      <c r="A348" s="2" t="s">
        <v>797</v>
      </c>
      <c r="B348" t="s">
        <v>191</v>
      </c>
      <c r="C348" t="s">
        <v>798</v>
      </c>
      <c r="D348" t="str">
        <f>TRIM(Tabulka1[[#This Row],[Jméno]])</f>
        <v>Jana</v>
      </c>
      <c r="E348" t="str">
        <f>TRIM(Tabulka1[[#This Row],[Příjmení]])</f>
        <v>Koubkova</v>
      </c>
      <c r="F348" s="2" t="str">
        <f>MID(Tabulka1[[#This Row],[Adresa]],1,SEARCH(",",Tabulka1[[#This Row],[Adresa]])-1)</f>
        <v>Luční 279</v>
      </c>
      <c r="G348" s="2" t="str">
        <f>RIGHT(Tabulka1[[#This Row],[Adresa]],LEN(Tabulka1[[#This Row],[Adresa]])-LEN(Tabulka1[[#This Row],[Ulice]])-1)</f>
        <v>Velké Mezirící</v>
      </c>
      <c r="H348" s="2" t="str">
        <f>_xlfn.CONCAT(LOWER(Tabulka1[[#This Row],[Příjmení bez mezer]]),".",LOWER(Tabulka1[[#This Row],[Jméno bez mezer]]),"@firmaabc.cz")</f>
        <v>koubkova.jana@firmaabc.cz</v>
      </c>
      <c r="I348" s="2" t="str">
        <f>_xlfn.CONCAT(LEFT(LOWER(Tabulka1[[#This Row],[Příjmení bez mezer]]),3),RIGHT(UPPER(Tabulka1[[#This Row],[Jméno bez mezer]]),2))</f>
        <v>kouNA</v>
      </c>
    </row>
    <row r="349" spans="1:9" ht="30">
      <c r="A349" s="2" t="s">
        <v>799</v>
      </c>
      <c r="B349" t="s">
        <v>219</v>
      </c>
      <c r="C349" t="s">
        <v>800</v>
      </c>
      <c r="D349" t="str">
        <f>TRIM(Tabulka1[[#This Row],[Jméno]])</f>
        <v>Marek</v>
      </c>
      <c r="E349" t="str">
        <f>TRIM(Tabulka1[[#This Row],[Příjmení]])</f>
        <v>Hajek</v>
      </c>
      <c r="F349" s="2" t="str">
        <f>MID(Tabulka1[[#This Row],[Adresa]],1,SEARCH(",",Tabulka1[[#This Row],[Adresa]])-1)</f>
        <v>U medvídků 1483</v>
      </c>
      <c r="G349" s="2" t="str">
        <f>RIGHT(Tabulka1[[#This Row],[Adresa]],LEN(Tabulka1[[#This Row],[Adresa]])-LEN(Tabulka1[[#This Row],[Ulice]])-1)</f>
        <v>Kamýk nad Vltavou</v>
      </c>
      <c r="H349" s="2" t="str">
        <f>_xlfn.CONCAT(LOWER(Tabulka1[[#This Row],[Příjmení bez mezer]]),".",LOWER(Tabulka1[[#This Row],[Jméno bez mezer]]),"@firmaabc.cz")</f>
        <v>hajek.marek@firmaabc.cz</v>
      </c>
      <c r="I349" s="2" t="str">
        <f>_xlfn.CONCAT(LEFT(LOWER(Tabulka1[[#This Row],[Příjmení bez mezer]]),3),RIGHT(UPPER(Tabulka1[[#This Row],[Jméno bez mezer]]),2))</f>
        <v>hajEK</v>
      </c>
    </row>
    <row r="350" spans="1:9" ht="30">
      <c r="A350" s="2" t="s">
        <v>801</v>
      </c>
      <c r="B350" t="s">
        <v>802</v>
      </c>
      <c r="C350" t="s">
        <v>803</v>
      </c>
      <c r="D350" t="str">
        <f>TRIM(Tabulka1[[#This Row],[Jméno]])</f>
        <v>Julie</v>
      </c>
      <c r="E350" t="str">
        <f>TRIM(Tabulka1[[#This Row],[Příjmení]])</f>
        <v>Majorova</v>
      </c>
      <c r="F350" s="2" t="str">
        <f>MID(Tabulka1[[#This Row],[Adresa]],1,SEARCH(",",Tabulka1[[#This Row],[Adresa]])-1)</f>
        <v>Strojírenská 1809</v>
      </c>
      <c r="G350" s="2" t="str">
        <f>RIGHT(Tabulka1[[#This Row],[Adresa]],LEN(Tabulka1[[#This Row],[Adresa]])-LEN(Tabulka1[[#This Row],[Ulice]])-1)</f>
        <v>Ždár nad Sázavou 2</v>
      </c>
      <c r="H350" s="2" t="str">
        <f>_xlfn.CONCAT(LOWER(Tabulka1[[#This Row],[Příjmení bez mezer]]),".",LOWER(Tabulka1[[#This Row],[Jméno bez mezer]]),"@firmaabc.cz")</f>
        <v>majorova.julie@firmaabc.cz</v>
      </c>
      <c r="I350" s="2" t="str">
        <f>_xlfn.CONCAT(LEFT(LOWER(Tabulka1[[#This Row],[Příjmení bez mezer]]),3),RIGHT(UPPER(Tabulka1[[#This Row],[Jméno bez mezer]]),2))</f>
        <v>majIE</v>
      </c>
    </row>
    <row r="351" spans="1:9">
      <c r="A351" s="2" t="s">
        <v>804</v>
      </c>
      <c r="B351" t="s">
        <v>310</v>
      </c>
      <c r="C351" t="s">
        <v>805</v>
      </c>
      <c r="D351" t="str">
        <f>TRIM(Tabulka1[[#This Row],[Jméno]])</f>
        <v>Stanislav</v>
      </c>
      <c r="E351" t="str">
        <f>TRIM(Tabulka1[[#This Row],[Příjmení]])</f>
        <v>Hofman</v>
      </c>
      <c r="F351" s="2" t="str">
        <f>MID(Tabulka1[[#This Row],[Adresa]],1,SEARCH(",",Tabulka1[[#This Row],[Adresa]])-1)</f>
        <v>Havlíčkova 1443</v>
      </c>
      <c r="G351" s="2" t="str">
        <f>RIGHT(Tabulka1[[#This Row],[Adresa]],LEN(Tabulka1[[#This Row],[Adresa]])-LEN(Tabulka1[[#This Row],[Ulice]])-1)</f>
        <v>Vejprty</v>
      </c>
      <c r="H351" s="2" t="str">
        <f>_xlfn.CONCAT(LOWER(Tabulka1[[#This Row],[Příjmení bez mezer]]),".",LOWER(Tabulka1[[#This Row],[Jméno bez mezer]]),"@firmaabc.cz")</f>
        <v>hofman.stanislav@firmaabc.cz</v>
      </c>
      <c r="I351" s="2" t="str">
        <f>_xlfn.CONCAT(LEFT(LOWER(Tabulka1[[#This Row],[Příjmení bez mezer]]),3),RIGHT(UPPER(Tabulka1[[#This Row],[Jméno bez mezer]]),2))</f>
        <v>hofAV</v>
      </c>
    </row>
    <row r="352" spans="1:9">
      <c r="A352" s="2" t="s">
        <v>806</v>
      </c>
      <c r="B352" t="s">
        <v>270</v>
      </c>
      <c r="C352" t="s">
        <v>700</v>
      </c>
      <c r="D352" t="str">
        <f>TRIM(Tabulka1[[#This Row],[Jméno]])</f>
        <v>Anna</v>
      </c>
      <c r="E352" t="str">
        <f>TRIM(Tabulka1[[#This Row],[Příjmení]])</f>
        <v>Novakova</v>
      </c>
      <c r="F352" s="2" t="str">
        <f>MID(Tabulka1[[#This Row],[Adresa]],1,SEARCH(",",Tabulka1[[#This Row],[Adresa]])-1)</f>
        <v>Bezručova 836</v>
      </c>
      <c r="G352" s="2" t="str">
        <f>RIGHT(Tabulka1[[#This Row],[Adresa]],LEN(Tabulka1[[#This Row],[Adresa]])-LEN(Tabulka1[[#This Row],[Ulice]])-1)</f>
        <v>Šternberk 1</v>
      </c>
      <c r="H352" s="2" t="str">
        <f>_xlfn.CONCAT(LOWER(Tabulka1[[#This Row],[Příjmení bez mezer]]),".",LOWER(Tabulka1[[#This Row],[Jméno bez mezer]]),"@firmaabc.cz")</f>
        <v>novakova.anna@firmaabc.cz</v>
      </c>
      <c r="I352" s="2" t="str">
        <f>_xlfn.CONCAT(LEFT(LOWER(Tabulka1[[#This Row],[Příjmení bez mezer]]),3),RIGHT(UPPER(Tabulka1[[#This Row],[Jméno bez mezer]]),2))</f>
        <v>novNA</v>
      </c>
    </row>
    <row r="353" spans="1:9">
      <c r="A353" s="2" t="s">
        <v>807</v>
      </c>
      <c r="B353" t="s">
        <v>234</v>
      </c>
      <c r="C353" t="s">
        <v>808</v>
      </c>
      <c r="D353" t="str">
        <f>TRIM(Tabulka1[[#This Row],[Jméno]])</f>
        <v>Zdenek</v>
      </c>
      <c r="E353" t="str">
        <f>TRIM(Tabulka1[[#This Row],[Příjmení]])</f>
        <v>Olah</v>
      </c>
      <c r="F353" s="2" t="str">
        <f>MID(Tabulka1[[#This Row],[Adresa]],1,SEARCH(",",Tabulka1[[#This Row],[Adresa]])-1)</f>
        <v>Tylova 348</v>
      </c>
      <c r="G353" s="2" t="str">
        <f>RIGHT(Tabulka1[[#This Row],[Adresa]],LEN(Tabulka1[[#This Row],[Adresa]])-LEN(Tabulka1[[#This Row],[Ulice]])-1)</f>
        <v>Svitavy 2</v>
      </c>
      <c r="H353" s="2" t="str">
        <f>_xlfn.CONCAT(LOWER(Tabulka1[[#This Row],[Příjmení bez mezer]]),".",LOWER(Tabulka1[[#This Row],[Jméno bez mezer]]),"@firmaabc.cz")</f>
        <v>olah.zdenek@firmaabc.cz</v>
      </c>
      <c r="I353" s="2" t="str">
        <f>_xlfn.CONCAT(LEFT(LOWER(Tabulka1[[#This Row],[Příjmení bez mezer]]),3),RIGHT(UPPER(Tabulka1[[#This Row],[Jméno bez mezer]]),2))</f>
        <v>olaEK</v>
      </c>
    </row>
    <row r="354" spans="1:9" ht="30">
      <c r="A354" s="2" t="s">
        <v>809</v>
      </c>
      <c r="B354" t="s">
        <v>244</v>
      </c>
      <c r="C354" t="s">
        <v>448</v>
      </c>
      <c r="D354" t="str">
        <f>TRIM(Tabulka1[[#This Row],[Jméno]])</f>
        <v>Roman</v>
      </c>
      <c r="E354" t="str">
        <f>TRIM(Tabulka1[[#This Row],[Příjmení]])</f>
        <v>Fiser</v>
      </c>
      <c r="F354" s="2" t="str">
        <f>MID(Tabulka1[[#This Row],[Adresa]],1,SEARCH(",",Tabulka1[[#This Row],[Adresa]])-1)</f>
        <v>Bedřicha Smetany 1558</v>
      </c>
      <c r="G354" s="2" t="str">
        <f>RIGHT(Tabulka1[[#This Row],[Adresa]],LEN(Tabulka1[[#This Row],[Adresa]])-LEN(Tabulka1[[#This Row],[Ulice]])-1)</f>
        <v>Boršice u Buchlovic</v>
      </c>
      <c r="H354" s="2" t="str">
        <f>_xlfn.CONCAT(LOWER(Tabulka1[[#This Row],[Příjmení bez mezer]]),".",LOWER(Tabulka1[[#This Row],[Jméno bez mezer]]),"@firmaabc.cz")</f>
        <v>fiser.roman@firmaabc.cz</v>
      </c>
      <c r="I354" s="2" t="str">
        <f>_xlfn.CONCAT(LEFT(LOWER(Tabulka1[[#This Row],[Příjmení bez mezer]]),3),RIGHT(UPPER(Tabulka1[[#This Row],[Jméno bez mezer]]),2))</f>
        <v>fisAN</v>
      </c>
    </row>
    <row r="355" spans="1:9" ht="30">
      <c r="A355" s="2" t="s">
        <v>810</v>
      </c>
      <c r="B355" t="s">
        <v>326</v>
      </c>
      <c r="C355" t="s">
        <v>811</v>
      </c>
      <c r="D355" t="str">
        <f>TRIM(Tabulka1[[#This Row],[Jméno]])</f>
        <v>Milan</v>
      </c>
      <c r="E355" t="str">
        <f>TRIM(Tabulka1[[#This Row],[Příjmení]])</f>
        <v>Simon</v>
      </c>
      <c r="F355" s="2" t="str">
        <f>MID(Tabulka1[[#This Row],[Adresa]],1,SEARCH(",",Tabulka1[[#This Row],[Adresa]])-1)</f>
        <v>Václava Haňky 1060</v>
      </c>
      <c r="G355" s="2" t="str">
        <f>RIGHT(Tabulka1[[#This Row],[Adresa]],LEN(Tabulka1[[#This Row],[Adresa]])-LEN(Tabulka1[[#This Row],[Ulice]])-1)</f>
        <v>Dolní Kounice</v>
      </c>
      <c r="H355" s="2" t="str">
        <f>_xlfn.CONCAT(LOWER(Tabulka1[[#This Row],[Příjmení bez mezer]]),".",LOWER(Tabulka1[[#This Row],[Jméno bez mezer]]),"@firmaabc.cz")</f>
        <v>simon.milan@firmaabc.cz</v>
      </c>
      <c r="I355" s="2" t="str">
        <f>_xlfn.CONCAT(LEFT(LOWER(Tabulka1[[#This Row],[Příjmení bez mezer]]),3),RIGHT(UPPER(Tabulka1[[#This Row],[Jméno bez mezer]]),2))</f>
        <v>simAN</v>
      </c>
    </row>
    <row r="356" spans="1:9">
      <c r="A356" s="2" t="s">
        <v>812</v>
      </c>
      <c r="B356" t="s">
        <v>787</v>
      </c>
      <c r="C356" t="s">
        <v>813</v>
      </c>
      <c r="D356" t="str">
        <f>TRIM(Tabulka1[[#This Row],[Jméno]])</f>
        <v>Marketa</v>
      </c>
      <c r="E356" t="str">
        <f>TRIM(Tabulka1[[#This Row],[Příjmení]])</f>
        <v>Mitasova</v>
      </c>
      <c r="F356" s="2" t="str">
        <f>MID(Tabulka1[[#This Row],[Adresa]],1,SEARCH(",",Tabulka1[[#This Row],[Adresa]])-1)</f>
        <v>Na Loučkách 271</v>
      </c>
      <c r="G356" s="2" t="str">
        <f>RIGHT(Tabulka1[[#This Row],[Adresa]],LEN(Tabulka1[[#This Row],[Adresa]])-LEN(Tabulka1[[#This Row],[Ulice]])-1)</f>
        <v>Adamov 1</v>
      </c>
      <c r="H356" s="2" t="str">
        <f>_xlfn.CONCAT(LOWER(Tabulka1[[#This Row],[Příjmení bez mezer]]),".",LOWER(Tabulka1[[#This Row],[Jméno bez mezer]]),"@firmaabc.cz")</f>
        <v>mitasova.marketa@firmaabc.cz</v>
      </c>
      <c r="I356" s="2" t="str">
        <f>_xlfn.CONCAT(LEFT(LOWER(Tabulka1[[#This Row],[Příjmení bez mezer]]),3),RIGHT(UPPER(Tabulka1[[#This Row],[Jméno bez mezer]]),2))</f>
        <v>mitTA</v>
      </c>
    </row>
    <row r="357" spans="1:9">
      <c r="A357" s="2" t="s">
        <v>814</v>
      </c>
      <c r="B357" t="s">
        <v>125</v>
      </c>
      <c r="C357" t="s">
        <v>815</v>
      </c>
      <c r="D357" t="str">
        <f>TRIM(Tabulka1[[#This Row],[Jméno]])</f>
        <v>Veronika</v>
      </c>
      <c r="E357" t="str">
        <f>TRIM(Tabulka1[[#This Row],[Příjmení]])</f>
        <v>Smutna</v>
      </c>
      <c r="F357" s="2" t="str">
        <f>MID(Tabulka1[[#This Row],[Adresa]],1,SEARCH(",",Tabulka1[[#This Row],[Adresa]])-1)</f>
        <v>U Křížku 545</v>
      </c>
      <c r="G357" s="2" t="str">
        <f>RIGHT(Tabulka1[[#This Row],[Adresa]],LEN(Tabulka1[[#This Row],[Adresa]])-LEN(Tabulka1[[#This Row],[Ulice]])-1)</f>
        <v>Sychrov</v>
      </c>
      <c r="H357" s="2" t="str">
        <f>_xlfn.CONCAT(LOWER(Tabulka1[[#This Row],[Příjmení bez mezer]]),".",LOWER(Tabulka1[[#This Row],[Jméno bez mezer]]),"@firmaabc.cz")</f>
        <v>smutna.veronika@firmaabc.cz</v>
      </c>
      <c r="I357" s="2" t="str">
        <f>_xlfn.CONCAT(LEFT(LOWER(Tabulka1[[#This Row],[Příjmení bez mezer]]),3),RIGHT(UPPER(Tabulka1[[#This Row],[Jméno bez mezer]]),2))</f>
        <v>smuKA</v>
      </c>
    </row>
    <row r="358" spans="1:9">
      <c r="A358" s="2" t="s">
        <v>816</v>
      </c>
      <c r="B358" t="s">
        <v>458</v>
      </c>
      <c r="C358" t="s">
        <v>817</v>
      </c>
      <c r="D358" t="str">
        <f>TRIM(Tabulka1[[#This Row],[Jméno]])</f>
        <v>Libor</v>
      </c>
      <c r="E358" t="str">
        <f>TRIM(Tabulka1[[#This Row],[Příjmení]])</f>
        <v>Zvonicek</v>
      </c>
      <c r="F358" s="2" t="str">
        <f>MID(Tabulka1[[#This Row],[Adresa]],1,SEARCH(",",Tabulka1[[#This Row],[Adresa]])-1)</f>
        <v>Příkopy 1761</v>
      </c>
      <c r="G358" s="2" t="str">
        <f>RIGHT(Tabulka1[[#This Row],[Adresa]],LEN(Tabulka1[[#This Row],[Adresa]])-LEN(Tabulka1[[#This Row],[Ulice]])-1)</f>
        <v>Záchlumí</v>
      </c>
      <c r="H358" s="2" t="str">
        <f>_xlfn.CONCAT(LOWER(Tabulka1[[#This Row],[Příjmení bez mezer]]),".",LOWER(Tabulka1[[#This Row],[Jméno bez mezer]]),"@firmaabc.cz")</f>
        <v>zvonicek.libor@firmaabc.cz</v>
      </c>
      <c r="I358" s="2" t="str">
        <f>_xlfn.CONCAT(LEFT(LOWER(Tabulka1[[#This Row],[Příjmení bez mezer]]),3),RIGHT(UPPER(Tabulka1[[#This Row],[Jméno bez mezer]]),2))</f>
        <v>zvoOR</v>
      </c>
    </row>
    <row r="359" spans="1:9">
      <c r="A359" s="2" t="s">
        <v>818</v>
      </c>
      <c r="B359" t="s">
        <v>17</v>
      </c>
      <c r="C359" t="s">
        <v>819</v>
      </c>
      <c r="D359" t="str">
        <f>TRIM(Tabulka1[[#This Row],[Jméno]])</f>
        <v>Vladimir</v>
      </c>
      <c r="E359" t="str">
        <f>TRIM(Tabulka1[[#This Row],[Příjmení]])</f>
        <v>Forst</v>
      </c>
      <c r="F359" s="2" t="str">
        <f>MID(Tabulka1[[#This Row],[Adresa]],1,SEARCH(",",Tabulka1[[#This Row],[Adresa]])-1)</f>
        <v>Na Výsluní 639</v>
      </c>
      <c r="G359" s="2" t="str">
        <f>RIGHT(Tabulka1[[#This Row],[Adresa]],LEN(Tabulka1[[#This Row],[Adresa]])-LEN(Tabulka1[[#This Row],[Ulice]])-1)</f>
        <v>Bor u Tachova</v>
      </c>
      <c r="H359" s="2" t="str">
        <f>_xlfn.CONCAT(LOWER(Tabulka1[[#This Row],[Příjmení bez mezer]]),".",LOWER(Tabulka1[[#This Row],[Jméno bez mezer]]),"@firmaabc.cz")</f>
        <v>forst.vladimir@firmaabc.cz</v>
      </c>
      <c r="I359" s="2" t="str">
        <f>_xlfn.CONCAT(LEFT(LOWER(Tabulka1[[#This Row],[Příjmení bez mezer]]),3),RIGHT(UPPER(Tabulka1[[#This Row],[Jméno bez mezer]]),2))</f>
        <v>forIR</v>
      </c>
    </row>
    <row r="360" spans="1:9" ht="30">
      <c r="A360" s="2" t="s">
        <v>820</v>
      </c>
      <c r="B360" t="s">
        <v>93</v>
      </c>
      <c r="C360" t="s">
        <v>821</v>
      </c>
      <c r="D360" t="str">
        <f>TRIM(Tabulka1[[#This Row],[Jméno]])</f>
        <v>Vera</v>
      </c>
      <c r="E360" t="str">
        <f>TRIM(Tabulka1[[#This Row],[Příjmení]])</f>
        <v>Vojtkova</v>
      </c>
      <c r="F360" s="2" t="str">
        <f>MID(Tabulka1[[#This Row],[Adresa]],1,SEARCH(",",Tabulka1[[#This Row],[Adresa]])-1)</f>
        <v>Generála Jaroše 889</v>
      </c>
      <c r="G360" s="2" t="str">
        <f>RIGHT(Tabulka1[[#This Row],[Adresa]],LEN(Tabulka1[[#This Row],[Adresa]])-LEN(Tabulka1[[#This Row],[Ulice]])-1)</f>
        <v>Osová Bítýška</v>
      </c>
      <c r="H360" s="2" t="str">
        <f>_xlfn.CONCAT(LOWER(Tabulka1[[#This Row],[Příjmení bez mezer]]),".",LOWER(Tabulka1[[#This Row],[Jméno bez mezer]]),"@firmaabc.cz")</f>
        <v>vojtkova.vera@firmaabc.cz</v>
      </c>
      <c r="I360" s="2" t="str">
        <f>_xlfn.CONCAT(LEFT(LOWER(Tabulka1[[#This Row],[Příjmení bez mezer]]),3),RIGHT(UPPER(Tabulka1[[#This Row],[Jméno bez mezer]]),2))</f>
        <v>vojRA</v>
      </c>
    </row>
    <row r="361" spans="1:9" ht="30">
      <c r="A361" s="2" t="s">
        <v>822</v>
      </c>
      <c r="B361" t="s">
        <v>125</v>
      </c>
      <c r="C361" t="s">
        <v>823</v>
      </c>
      <c r="D361" t="str">
        <f>TRIM(Tabulka1[[#This Row],[Jméno]])</f>
        <v>Veronika</v>
      </c>
      <c r="E361" t="str">
        <f>TRIM(Tabulka1[[#This Row],[Příjmení]])</f>
        <v>Dubinova</v>
      </c>
      <c r="F361" s="2" t="str">
        <f>MID(Tabulka1[[#This Row],[Adresa]],1,SEARCH(",",Tabulka1[[#This Row],[Adresa]])-1)</f>
        <v>Klimenta Čermáka 201</v>
      </c>
      <c r="G361" s="2" t="str">
        <f>RIGHT(Tabulka1[[#This Row],[Adresa]],LEN(Tabulka1[[#This Row],[Adresa]])-LEN(Tabulka1[[#This Row],[Ulice]])-1)</f>
        <v>Cáslav</v>
      </c>
      <c r="H361" s="2" t="str">
        <f>_xlfn.CONCAT(LOWER(Tabulka1[[#This Row],[Příjmení bez mezer]]),".",LOWER(Tabulka1[[#This Row],[Jméno bez mezer]]),"@firmaabc.cz")</f>
        <v>dubinova.veronika@firmaabc.cz</v>
      </c>
      <c r="I361" s="2" t="str">
        <f>_xlfn.CONCAT(LEFT(LOWER(Tabulka1[[#This Row],[Příjmení bez mezer]]),3),RIGHT(UPPER(Tabulka1[[#This Row],[Jméno bez mezer]]),2))</f>
        <v>dubKA</v>
      </c>
    </row>
    <row r="362" spans="1:9" ht="30">
      <c r="A362" s="2" t="s">
        <v>824</v>
      </c>
      <c r="B362" t="s">
        <v>87</v>
      </c>
      <c r="C362" t="s">
        <v>825</v>
      </c>
      <c r="D362" t="str">
        <f>TRIM(Tabulka1[[#This Row],[Jméno]])</f>
        <v>Martin</v>
      </c>
      <c r="E362" t="str">
        <f>TRIM(Tabulka1[[#This Row],[Příjmení]])</f>
        <v>Meduna</v>
      </c>
      <c r="F362" s="2" t="str">
        <f>MID(Tabulka1[[#This Row],[Adresa]],1,SEARCH(",",Tabulka1[[#This Row],[Adresa]])-1)</f>
        <v>Jiřího z Poděbrad 1862</v>
      </c>
      <c r="G362" s="2" t="str">
        <f>RIGHT(Tabulka1[[#This Row],[Adresa]],LEN(Tabulka1[[#This Row],[Adresa]])-LEN(Tabulka1[[#This Row],[Ulice]])-1)</f>
        <v>Staré Krecany</v>
      </c>
      <c r="H362" s="2" t="str">
        <f>_xlfn.CONCAT(LOWER(Tabulka1[[#This Row],[Příjmení bez mezer]]),".",LOWER(Tabulka1[[#This Row],[Jméno bez mezer]]),"@firmaabc.cz")</f>
        <v>meduna.martin@firmaabc.cz</v>
      </c>
      <c r="I362" s="2" t="str">
        <f>_xlfn.CONCAT(LEFT(LOWER(Tabulka1[[#This Row],[Příjmení bez mezer]]),3),RIGHT(UPPER(Tabulka1[[#This Row],[Jméno bez mezer]]),2))</f>
        <v>medIN</v>
      </c>
    </row>
    <row r="363" spans="1:9">
      <c r="A363" s="2" t="s">
        <v>826</v>
      </c>
      <c r="B363" t="s">
        <v>72</v>
      </c>
      <c r="C363" t="s">
        <v>827</v>
      </c>
      <c r="D363" t="str">
        <f>TRIM(Tabulka1[[#This Row],[Jméno]])</f>
        <v>Jakub</v>
      </c>
      <c r="E363" t="str">
        <f>TRIM(Tabulka1[[#This Row],[Příjmení]])</f>
        <v>Sramek</v>
      </c>
      <c r="F363" s="2" t="str">
        <f>MID(Tabulka1[[#This Row],[Adresa]],1,SEARCH(",",Tabulka1[[#This Row],[Adresa]])-1)</f>
        <v>Bartákova 162</v>
      </c>
      <c r="G363" s="2" t="str">
        <f>RIGHT(Tabulka1[[#This Row],[Adresa]],LEN(Tabulka1[[#This Row],[Adresa]])-LEN(Tabulka1[[#This Row],[Ulice]])-1)</f>
        <v>Plumlov</v>
      </c>
      <c r="H363" s="2" t="str">
        <f>_xlfn.CONCAT(LOWER(Tabulka1[[#This Row],[Příjmení bez mezer]]),".",LOWER(Tabulka1[[#This Row],[Jméno bez mezer]]),"@firmaabc.cz")</f>
        <v>sramek.jakub@firmaabc.cz</v>
      </c>
      <c r="I363" s="2" t="str">
        <f>_xlfn.CONCAT(LEFT(LOWER(Tabulka1[[#This Row],[Příjmení bez mezer]]),3),RIGHT(UPPER(Tabulka1[[#This Row],[Jméno bez mezer]]),2))</f>
        <v>sraUB</v>
      </c>
    </row>
    <row r="364" spans="1:9">
      <c r="A364" s="2" t="s">
        <v>828</v>
      </c>
      <c r="B364" t="s">
        <v>84</v>
      </c>
      <c r="C364" t="s">
        <v>829</v>
      </c>
      <c r="D364" t="str">
        <f>TRIM(Tabulka1[[#This Row],[Jméno]])</f>
        <v>Katerina</v>
      </c>
      <c r="E364" t="str">
        <f>TRIM(Tabulka1[[#This Row],[Příjmení]])</f>
        <v>Machova</v>
      </c>
      <c r="F364" s="2" t="str">
        <f>MID(Tabulka1[[#This Row],[Adresa]],1,SEARCH(",",Tabulka1[[#This Row],[Adresa]])-1)</f>
        <v>Švermova 1167</v>
      </c>
      <c r="G364" s="2" t="str">
        <f>RIGHT(Tabulka1[[#This Row],[Adresa]],LEN(Tabulka1[[#This Row],[Adresa]])-LEN(Tabulka1[[#This Row],[Ulice]])-1)</f>
        <v>Liberec 15</v>
      </c>
      <c r="H364" s="2" t="str">
        <f>_xlfn.CONCAT(LOWER(Tabulka1[[#This Row],[Příjmení bez mezer]]),".",LOWER(Tabulka1[[#This Row],[Jméno bez mezer]]),"@firmaabc.cz")</f>
        <v>machova.katerina@firmaabc.cz</v>
      </c>
      <c r="I364" s="2" t="str">
        <f>_xlfn.CONCAT(LEFT(LOWER(Tabulka1[[#This Row],[Příjmení bez mezer]]),3),RIGHT(UPPER(Tabulka1[[#This Row],[Jméno bez mezer]]),2))</f>
        <v>macNA</v>
      </c>
    </row>
    <row r="365" spans="1:9">
      <c r="A365" s="2" t="s">
        <v>830</v>
      </c>
      <c r="B365" t="s">
        <v>584</v>
      </c>
      <c r="C365" t="s">
        <v>831</v>
      </c>
      <c r="D365" t="str">
        <f>TRIM(Tabulka1[[#This Row],[Jméno]])</f>
        <v>Boleslav</v>
      </c>
      <c r="E365" t="str">
        <f>TRIM(Tabulka1[[#This Row],[Příjmení]])</f>
        <v>Valenta</v>
      </c>
      <c r="F365" s="2" t="str">
        <f>MID(Tabulka1[[#This Row],[Adresa]],1,SEARCH(",",Tabulka1[[#This Row],[Adresa]])-1)</f>
        <v>Alšova 680</v>
      </c>
      <c r="G365" s="2" t="str">
        <f>RIGHT(Tabulka1[[#This Row],[Adresa]],LEN(Tabulka1[[#This Row],[Adresa]])-LEN(Tabulka1[[#This Row],[Ulice]])-1)</f>
        <v>Protivín</v>
      </c>
      <c r="H365" s="2" t="str">
        <f>_xlfn.CONCAT(LOWER(Tabulka1[[#This Row],[Příjmení bez mezer]]),".",LOWER(Tabulka1[[#This Row],[Jméno bez mezer]]),"@firmaabc.cz")</f>
        <v>valenta.boleslav@firmaabc.cz</v>
      </c>
      <c r="I365" s="2" t="str">
        <f>_xlfn.CONCAT(LEFT(LOWER(Tabulka1[[#This Row],[Příjmení bez mezer]]),3),RIGHT(UPPER(Tabulka1[[#This Row],[Jméno bez mezer]]),2))</f>
        <v>valAV</v>
      </c>
    </row>
    <row r="366" spans="1:9">
      <c r="A366" s="2" t="s">
        <v>832</v>
      </c>
      <c r="B366" t="s">
        <v>162</v>
      </c>
      <c r="C366" t="s">
        <v>833</v>
      </c>
      <c r="D366" t="str">
        <f>TRIM(Tabulka1[[#This Row],[Jméno]])</f>
        <v>Jaroslava</v>
      </c>
      <c r="E366" t="str">
        <f>TRIM(Tabulka1[[#This Row],[Příjmení]])</f>
        <v>Indrakova</v>
      </c>
      <c r="F366" s="2" t="str">
        <f>MID(Tabulka1[[#This Row],[Adresa]],1,SEARCH(",",Tabulka1[[#This Row],[Adresa]])-1)</f>
        <v>Jižní 1024</v>
      </c>
      <c r="G366" s="2" t="str">
        <f>RIGHT(Tabulka1[[#This Row],[Adresa]],LEN(Tabulka1[[#This Row],[Adresa]])-LEN(Tabulka1[[#This Row],[Ulice]])-1)</f>
        <v>Horice na Šumave</v>
      </c>
      <c r="H366" s="2" t="str">
        <f>_xlfn.CONCAT(LOWER(Tabulka1[[#This Row],[Příjmení bez mezer]]),".",LOWER(Tabulka1[[#This Row],[Jméno bez mezer]]),"@firmaabc.cz")</f>
        <v>indrakova.jaroslava@firmaabc.cz</v>
      </c>
      <c r="I366" s="2" t="str">
        <f>_xlfn.CONCAT(LEFT(LOWER(Tabulka1[[#This Row],[Příjmení bez mezer]]),3),RIGHT(UPPER(Tabulka1[[#This Row],[Jméno bez mezer]]),2))</f>
        <v>indVA</v>
      </c>
    </row>
    <row r="367" spans="1:9">
      <c r="A367" s="2" t="s">
        <v>834</v>
      </c>
      <c r="B367" t="s">
        <v>439</v>
      </c>
      <c r="C367" t="s">
        <v>835</v>
      </c>
      <c r="D367" t="str">
        <f>TRIM(Tabulka1[[#This Row],[Jméno]])</f>
        <v>Milena</v>
      </c>
      <c r="E367" t="str">
        <f>TRIM(Tabulka1[[#This Row],[Příjmení]])</f>
        <v>Hostalkova</v>
      </c>
      <c r="F367" s="2" t="str">
        <f>MID(Tabulka1[[#This Row],[Adresa]],1,SEARCH(",",Tabulka1[[#This Row],[Adresa]])-1)</f>
        <v>Vrchlického 1005</v>
      </c>
      <c r="G367" s="2" t="str">
        <f>RIGHT(Tabulka1[[#This Row],[Adresa]],LEN(Tabulka1[[#This Row],[Adresa]])-LEN(Tabulka1[[#This Row],[Ulice]])-1)</f>
        <v>Tišnov 1</v>
      </c>
      <c r="H367" s="2" t="str">
        <f>_xlfn.CONCAT(LOWER(Tabulka1[[#This Row],[Příjmení bez mezer]]),".",LOWER(Tabulka1[[#This Row],[Jméno bez mezer]]),"@firmaabc.cz")</f>
        <v>hostalkova.milena@firmaabc.cz</v>
      </c>
      <c r="I367" s="2" t="str">
        <f>_xlfn.CONCAT(LEFT(LOWER(Tabulka1[[#This Row],[Příjmení bez mezer]]),3),RIGHT(UPPER(Tabulka1[[#This Row],[Jméno bez mezer]]),2))</f>
        <v>hosNA</v>
      </c>
    </row>
    <row r="368" spans="1:9">
      <c r="A368" s="2" t="s">
        <v>836</v>
      </c>
      <c r="B368" t="s">
        <v>234</v>
      </c>
      <c r="C368" t="s">
        <v>837</v>
      </c>
      <c r="D368" t="str">
        <f>TRIM(Tabulka1[[#This Row],[Jméno]])</f>
        <v>Zdenek</v>
      </c>
      <c r="E368" t="str">
        <f>TRIM(Tabulka1[[#This Row],[Příjmení]])</f>
        <v>Svab</v>
      </c>
      <c r="F368" s="2" t="str">
        <f>MID(Tabulka1[[#This Row],[Adresa]],1,SEARCH(",",Tabulka1[[#This Row],[Adresa]])-1)</f>
        <v>Masarykova 516</v>
      </c>
      <c r="G368" s="2" t="str">
        <f>RIGHT(Tabulka1[[#This Row],[Adresa]],LEN(Tabulka1[[#This Row],[Adresa]])-LEN(Tabulka1[[#This Row],[Ulice]])-1)</f>
        <v>Žatec 1</v>
      </c>
      <c r="H368" s="2" t="str">
        <f>_xlfn.CONCAT(LOWER(Tabulka1[[#This Row],[Příjmení bez mezer]]),".",LOWER(Tabulka1[[#This Row],[Jméno bez mezer]]),"@firmaabc.cz")</f>
        <v>svab.zdenek@firmaabc.cz</v>
      </c>
      <c r="I368" s="2" t="str">
        <f>_xlfn.CONCAT(LEFT(LOWER(Tabulka1[[#This Row],[Příjmení bez mezer]]),3),RIGHT(UPPER(Tabulka1[[#This Row],[Jméno bez mezer]]),2))</f>
        <v>svaEK</v>
      </c>
    </row>
    <row r="369" spans="1:9">
      <c r="A369" s="2" t="s">
        <v>838</v>
      </c>
      <c r="B369" t="s">
        <v>63</v>
      </c>
      <c r="C369" t="s">
        <v>839</v>
      </c>
      <c r="D369" t="str">
        <f>TRIM(Tabulka1[[#This Row],[Jméno]])</f>
        <v>Dagmar</v>
      </c>
      <c r="E369" t="str">
        <f>TRIM(Tabulka1[[#This Row],[Příjmení]])</f>
        <v>Bockova</v>
      </c>
      <c r="F369" s="2" t="str">
        <f>MID(Tabulka1[[#This Row],[Adresa]],1,SEARCH(",",Tabulka1[[#This Row],[Adresa]])-1)</f>
        <v>Barákova 1285</v>
      </c>
      <c r="G369" s="2" t="str">
        <f>RIGHT(Tabulka1[[#This Row],[Adresa]],LEN(Tabulka1[[#This Row],[Adresa]])-LEN(Tabulka1[[#This Row],[Ulice]])-1)</f>
        <v>Odolena Voda</v>
      </c>
      <c r="H369" s="2" t="str">
        <f>_xlfn.CONCAT(LOWER(Tabulka1[[#This Row],[Příjmení bez mezer]]),".",LOWER(Tabulka1[[#This Row],[Jméno bez mezer]]),"@firmaabc.cz")</f>
        <v>bockova.dagmar@firmaabc.cz</v>
      </c>
      <c r="I369" s="2" t="str">
        <f>_xlfn.CONCAT(LEFT(LOWER(Tabulka1[[#This Row],[Příjmení bez mezer]]),3),RIGHT(UPPER(Tabulka1[[#This Row],[Jméno bez mezer]]),2))</f>
        <v>bocAR</v>
      </c>
    </row>
    <row r="370" spans="1:9">
      <c r="A370" s="2" t="s">
        <v>840</v>
      </c>
      <c r="B370" t="s">
        <v>72</v>
      </c>
      <c r="C370" t="s">
        <v>841</v>
      </c>
      <c r="D370" t="str">
        <f>TRIM(Tabulka1[[#This Row],[Jméno]])</f>
        <v>Jakub</v>
      </c>
      <c r="E370" t="str">
        <f>TRIM(Tabulka1[[#This Row],[Příjmení]])</f>
        <v>Tichy</v>
      </c>
      <c r="F370" s="2" t="str">
        <f>MID(Tabulka1[[#This Row],[Adresa]],1,SEARCH(",",Tabulka1[[#This Row],[Adresa]])-1)</f>
        <v>Suhrady 1234</v>
      </c>
      <c r="G370" s="2" t="str">
        <f>RIGHT(Tabulka1[[#This Row],[Adresa]],LEN(Tabulka1[[#This Row],[Adresa]])-LEN(Tabulka1[[#This Row],[Ulice]])-1)</f>
        <v>Opava 6</v>
      </c>
      <c r="H370" s="2" t="str">
        <f>_xlfn.CONCAT(LOWER(Tabulka1[[#This Row],[Příjmení bez mezer]]),".",LOWER(Tabulka1[[#This Row],[Jméno bez mezer]]),"@firmaabc.cz")</f>
        <v>tichy.jakub@firmaabc.cz</v>
      </c>
      <c r="I370" s="2" t="str">
        <f>_xlfn.CONCAT(LEFT(LOWER(Tabulka1[[#This Row],[Příjmení bez mezer]]),3),RIGHT(UPPER(Tabulka1[[#This Row],[Jméno bez mezer]]),2))</f>
        <v>ticUB</v>
      </c>
    </row>
    <row r="371" spans="1:9" ht="30">
      <c r="A371" s="2" t="s">
        <v>842</v>
      </c>
      <c r="B371" t="s">
        <v>125</v>
      </c>
      <c r="C371" t="s">
        <v>843</v>
      </c>
      <c r="D371" t="str">
        <f>TRIM(Tabulka1[[#This Row],[Jméno]])</f>
        <v>Veronika</v>
      </c>
      <c r="E371" t="str">
        <f>TRIM(Tabulka1[[#This Row],[Příjmení]])</f>
        <v>Markova</v>
      </c>
      <c r="F371" s="2" t="str">
        <f>MID(Tabulka1[[#This Row],[Adresa]],1,SEARCH(",",Tabulka1[[#This Row],[Adresa]])-1)</f>
        <v>U Sokolovny 853</v>
      </c>
      <c r="G371" s="2" t="str">
        <f>RIGHT(Tabulka1[[#This Row],[Adresa]],LEN(Tabulka1[[#This Row],[Adresa]])-LEN(Tabulka1[[#This Row],[Ulice]])-1)</f>
        <v>Starý Bydžov</v>
      </c>
      <c r="H371" s="2" t="str">
        <f>_xlfn.CONCAT(LOWER(Tabulka1[[#This Row],[Příjmení bez mezer]]),".",LOWER(Tabulka1[[#This Row],[Jméno bez mezer]]),"@firmaabc.cz")</f>
        <v>markova.veronika@firmaabc.cz</v>
      </c>
      <c r="I371" s="2" t="str">
        <f>_xlfn.CONCAT(LEFT(LOWER(Tabulka1[[#This Row],[Příjmení bez mezer]]),3),RIGHT(UPPER(Tabulka1[[#This Row],[Jméno bez mezer]]),2))</f>
        <v>marKA</v>
      </c>
    </row>
    <row r="372" spans="1:9">
      <c r="A372" s="2" t="s">
        <v>844</v>
      </c>
      <c r="B372" t="s">
        <v>66</v>
      </c>
      <c r="C372" t="s">
        <v>845</v>
      </c>
      <c r="D372" t="str">
        <f>TRIM(Tabulka1[[#This Row],[Jméno]])</f>
        <v>Karel</v>
      </c>
      <c r="E372" t="str">
        <f>TRIM(Tabulka1[[#This Row],[Příjmení]])</f>
        <v>Marecek</v>
      </c>
      <c r="F372" s="2" t="str">
        <f>MID(Tabulka1[[#This Row],[Adresa]],1,SEARCH(",",Tabulka1[[#This Row],[Adresa]])-1)</f>
        <v>Nová 1651</v>
      </c>
      <c r="G372" s="2" t="str">
        <f>RIGHT(Tabulka1[[#This Row],[Adresa]],LEN(Tabulka1[[#This Row],[Adresa]])-LEN(Tabulka1[[#This Row],[Ulice]])-1)</f>
        <v>Nebužely</v>
      </c>
      <c r="H372" s="2" t="str">
        <f>_xlfn.CONCAT(LOWER(Tabulka1[[#This Row],[Příjmení bez mezer]]),".",LOWER(Tabulka1[[#This Row],[Jméno bez mezer]]),"@firmaabc.cz")</f>
        <v>marecek.karel@firmaabc.cz</v>
      </c>
      <c r="I372" s="2" t="str">
        <f>_xlfn.CONCAT(LEFT(LOWER(Tabulka1[[#This Row],[Příjmení bez mezer]]),3),RIGHT(UPPER(Tabulka1[[#This Row],[Jméno bez mezer]]),2))</f>
        <v>marEL</v>
      </c>
    </row>
    <row r="373" spans="1:9">
      <c r="A373" s="2" t="s">
        <v>846</v>
      </c>
      <c r="B373" t="s">
        <v>147</v>
      </c>
      <c r="C373" t="s">
        <v>847</v>
      </c>
      <c r="D373" t="str">
        <f>TRIM(Tabulka1[[#This Row],[Jméno]])</f>
        <v>Hana</v>
      </c>
      <c r="E373" t="str">
        <f>TRIM(Tabulka1[[#This Row],[Příjmení]])</f>
        <v>Vicherkova</v>
      </c>
      <c r="F373" s="2" t="str">
        <f>MID(Tabulka1[[#This Row],[Adresa]],1,SEARCH(",",Tabulka1[[#This Row],[Adresa]])-1)</f>
        <v>U divadla 813</v>
      </c>
      <c r="G373" s="2" t="str">
        <f>RIGHT(Tabulka1[[#This Row],[Adresa]],LEN(Tabulka1[[#This Row],[Adresa]])-LEN(Tabulka1[[#This Row],[Ulice]])-1)</f>
        <v>Chodouny</v>
      </c>
      <c r="H373" s="2" t="str">
        <f>_xlfn.CONCAT(LOWER(Tabulka1[[#This Row],[Příjmení bez mezer]]),".",LOWER(Tabulka1[[#This Row],[Jméno bez mezer]]),"@firmaabc.cz")</f>
        <v>vicherkova.hana@firmaabc.cz</v>
      </c>
      <c r="I373" s="2" t="str">
        <f>_xlfn.CONCAT(LEFT(LOWER(Tabulka1[[#This Row],[Příjmení bez mezer]]),3),RIGHT(UPPER(Tabulka1[[#This Row],[Jméno bez mezer]]),2))</f>
        <v>vicNA</v>
      </c>
    </row>
    <row r="374" spans="1:9">
      <c r="A374" s="2" t="s">
        <v>848</v>
      </c>
      <c r="B374" t="s">
        <v>849</v>
      </c>
      <c r="C374" t="s">
        <v>850</v>
      </c>
      <c r="D374" t="str">
        <f>TRIM(Tabulka1[[#This Row],[Jméno]])</f>
        <v>Nicole</v>
      </c>
      <c r="E374" t="str">
        <f>TRIM(Tabulka1[[#This Row],[Příjmení]])</f>
        <v>Svobodova</v>
      </c>
      <c r="F374" s="2" t="str">
        <f>MID(Tabulka1[[#This Row],[Adresa]],1,SEARCH(",",Tabulka1[[#This Row],[Adresa]])-1)</f>
        <v>Družstevní 1100</v>
      </c>
      <c r="G374" s="2" t="str">
        <f>RIGHT(Tabulka1[[#This Row],[Adresa]],LEN(Tabulka1[[#This Row],[Adresa]])-LEN(Tabulka1[[#This Row],[Ulice]])-1)</f>
        <v>Miroslav</v>
      </c>
      <c r="H374" s="2" t="str">
        <f>_xlfn.CONCAT(LOWER(Tabulka1[[#This Row],[Příjmení bez mezer]]),".",LOWER(Tabulka1[[#This Row],[Jméno bez mezer]]),"@firmaabc.cz")</f>
        <v>svobodova.nicole@firmaabc.cz</v>
      </c>
      <c r="I374" s="2" t="str">
        <f>_xlfn.CONCAT(LEFT(LOWER(Tabulka1[[#This Row],[Příjmení bez mezer]]),3),RIGHT(UPPER(Tabulka1[[#This Row],[Jméno bez mezer]]),2))</f>
        <v>svoLE</v>
      </c>
    </row>
    <row r="375" spans="1:9">
      <c r="A375" s="2" t="s">
        <v>851</v>
      </c>
      <c r="B375" t="s">
        <v>852</v>
      </c>
      <c r="C375" t="s">
        <v>853</v>
      </c>
      <c r="D375" t="str">
        <f>TRIM(Tabulka1[[#This Row],[Jméno]])</f>
        <v>Ilona</v>
      </c>
      <c r="E375" t="str">
        <f>TRIM(Tabulka1[[#This Row],[Příjmení]])</f>
        <v>Conkova</v>
      </c>
      <c r="F375" s="2" t="str">
        <f>MID(Tabulka1[[#This Row],[Adresa]],1,SEARCH(",",Tabulka1[[#This Row],[Adresa]])-1)</f>
        <v>Komenského 529</v>
      </c>
      <c r="G375" s="2" t="str">
        <f>RIGHT(Tabulka1[[#This Row],[Adresa]],LEN(Tabulka1[[#This Row],[Adresa]])-LEN(Tabulka1[[#This Row],[Ulice]])-1)</f>
        <v>Telc</v>
      </c>
      <c r="H375" s="2" t="str">
        <f>_xlfn.CONCAT(LOWER(Tabulka1[[#This Row],[Příjmení bez mezer]]),".",LOWER(Tabulka1[[#This Row],[Jméno bez mezer]]),"@firmaabc.cz")</f>
        <v>conkova.ilona@firmaabc.cz</v>
      </c>
      <c r="I375" s="2" t="str">
        <f>_xlfn.CONCAT(LEFT(LOWER(Tabulka1[[#This Row],[Příjmení bez mezer]]),3),RIGHT(UPPER(Tabulka1[[#This Row],[Jméno bez mezer]]),2))</f>
        <v>conNA</v>
      </c>
    </row>
    <row r="376" spans="1:9" ht="30">
      <c r="A376" s="2" t="s">
        <v>854</v>
      </c>
      <c r="B376" t="s">
        <v>115</v>
      </c>
      <c r="C376" t="s">
        <v>334</v>
      </c>
      <c r="D376" t="str">
        <f>TRIM(Tabulka1[[#This Row],[Jméno]])</f>
        <v>Jiri</v>
      </c>
      <c r="E376" t="str">
        <f>TRIM(Tabulka1[[#This Row],[Příjmení]])</f>
        <v>?Prochazka</v>
      </c>
      <c r="F376" s="2" t="str">
        <f>MID(Tabulka1[[#This Row],[Adresa]],1,SEARCH(",",Tabulka1[[#This Row],[Adresa]])-1)</f>
        <v>Bedřicha Smetany 1366</v>
      </c>
      <c r="G376" s="2" t="str">
        <f>RIGHT(Tabulka1[[#This Row],[Adresa]],LEN(Tabulka1[[#This Row],[Adresa]])-LEN(Tabulka1[[#This Row],[Ulice]])-1)</f>
        <v>Kutná Hora 1</v>
      </c>
      <c r="H376" s="2" t="str">
        <f>_xlfn.CONCAT(LOWER(Tabulka1[[#This Row],[Příjmení bez mezer]]),".",LOWER(Tabulka1[[#This Row],[Jméno bez mezer]]),"@firmaabc.cz")</f>
        <v>?prochazka.jiri@firmaabc.cz</v>
      </c>
      <c r="I376" s="2" t="str">
        <f>_xlfn.CONCAT(LEFT(LOWER(Tabulka1[[#This Row],[Příjmení bez mezer]]),3),RIGHT(UPPER(Tabulka1[[#This Row],[Jméno bez mezer]]),2))</f>
        <v>?prRI</v>
      </c>
    </row>
    <row r="377" spans="1:9" ht="30">
      <c r="A377" s="2" t="s">
        <v>855</v>
      </c>
      <c r="B377" t="s">
        <v>856</v>
      </c>
      <c r="C377" t="s">
        <v>857</v>
      </c>
      <c r="D377" t="str">
        <f>TRIM(Tabulka1[[#This Row],[Jméno]])</f>
        <v>Vincenc</v>
      </c>
      <c r="E377" t="str">
        <f>TRIM(Tabulka1[[#This Row],[Příjmení]])</f>
        <v>Glaser</v>
      </c>
      <c r="F377" s="2" t="str">
        <f>MID(Tabulka1[[#This Row],[Adresa]],1,SEARCH(",",Tabulka1[[#This Row],[Adresa]])-1)</f>
        <v>Matiegkova 1504</v>
      </c>
      <c r="G377" s="2" t="str">
        <f>RIGHT(Tabulka1[[#This Row],[Adresa]],LEN(Tabulka1[[#This Row],[Adresa]])-LEN(Tabulka1[[#This Row],[Ulice]])-1)</f>
        <v>Týnec nad Sázavou</v>
      </c>
      <c r="H377" s="2" t="str">
        <f>_xlfn.CONCAT(LOWER(Tabulka1[[#This Row],[Příjmení bez mezer]]),".",LOWER(Tabulka1[[#This Row],[Jméno bez mezer]]),"@firmaabc.cz")</f>
        <v>glaser.vincenc@firmaabc.cz</v>
      </c>
      <c r="I377" s="2" t="str">
        <f>_xlfn.CONCAT(LEFT(LOWER(Tabulka1[[#This Row],[Příjmení bez mezer]]),3),RIGHT(UPPER(Tabulka1[[#This Row],[Jméno bez mezer]]),2))</f>
        <v>glaNC</v>
      </c>
    </row>
    <row r="378" spans="1:9">
      <c r="A378" s="2" t="s">
        <v>858</v>
      </c>
      <c r="B378" t="s">
        <v>548</v>
      </c>
      <c r="C378" t="s">
        <v>859</v>
      </c>
      <c r="D378" t="str">
        <f>TRIM(Tabulka1[[#This Row],[Jméno]])</f>
        <v>Ladislav</v>
      </c>
      <c r="E378" t="str">
        <f>TRIM(Tabulka1[[#This Row],[Příjmení]])</f>
        <v>Pospichal</v>
      </c>
      <c r="F378" s="2" t="str">
        <f>MID(Tabulka1[[#This Row],[Adresa]],1,SEARCH(",",Tabulka1[[#This Row],[Adresa]])-1)</f>
        <v>Za učilištěm 1056</v>
      </c>
      <c r="G378" s="2" t="str">
        <f>RIGHT(Tabulka1[[#This Row],[Adresa]],LEN(Tabulka1[[#This Row],[Adresa]])-LEN(Tabulka1[[#This Row],[Ulice]])-1)</f>
        <v>Dobrá</v>
      </c>
      <c r="H378" s="2" t="str">
        <f>_xlfn.CONCAT(LOWER(Tabulka1[[#This Row],[Příjmení bez mezer]]),".",LOWER(Tabulka1[[#This Row],[Jméno bez mezer]]),"@firmaabc.cz")</f>
        <v>pospichal.ladislav@firmaabc.cz</v>
      </c>
      <c r="I378" s="2" t="str">
        <f>_xlfn.CONCAT(LEFT(LOWER(Tabulka1[[#This Row],[Příjmení bez mezer]]),3),RIGHT(UPPER(Tabulka1[[#This Row],[Jméno bez mezer]]),2))</f>
        <v>posAV</v>
      </c>
    </row>
    <row r="379" spans="1:9">
      <c r="A379" s="2" t="s">
        <v>860</v>
      </c>
      <c r="B379" t="s">
        <v>32</v>
      </c>
      <c r="C379" t="s">
        <v>861</v>
      </c>
      <c r="D379" t="str">
        <f>TRIM(Tabulka1[[#This Row],[Jméno]])</f>
        <v>Michal</v>
      </c>
      <c r="E379" t="str">
        <f>TRIM(Tabulka1[[#This Row],[Příjmení]])</f>
        <v>Brejcha</v>
      </c>
      <c r="F379" s="2" t="str">
        <f>MID(Tabulka1[[#This Row],[Adresa]],1,SEARCH(",",Tabulka1[[#This Row],[Adresa]])-1)</f>
        <v>Matiegkova 611</v>
      </c>
      <c r="G379" s="2" t="str">
        <f>RIGHT(Tabulka1[[#This Row],[Adresa]],LEN(Tabulka1[[#This Row],[Adresa]])-LEN(Tabulka1[[#This Row],[Ulice]])-1)</f>
        <v>Krhanice</v>
      </c>
      <c r="H379" s="2" t="str">
        <f>_xlfn.CONCAT(LOWER(Tabulka1[[#This Row],[Příjmení bez mezer]]),".",LOWER(Tabulka1[[#This Row],[Jméno bez mezer]]),"@firmaabc.cz")</f>
        <v>brejcha.michal@firmaabc.cz</v>
      </c>
      <c r="I379" s="2" t="str">
        <f>_xlfn.CONCAT(LEFT(LOWER(Tabulka1[[#This Row],[Příjmení bez mezer]]),3),RIGHT(UPPER(Tabulka1[[#This Row],[Jméno bez mezer]]),2))</f>
        <v>breAL</v>
      </c>
    </row>
    <row r="380" spans="1:9" ht="45">
      <c r="A380" s="2" t="s">
        <v>862</v>
      </c>
      <c r="B380" t="s">
        <v>863</v>
      </c>
      <c r="C380" t="s">
        <v>864</v>
      </c>
      <c r="D380" t="str">
        <f>TRIM(Tabulka1[[#This Row],[Jméno]])</f>
        <v>Janina</v>
      </c>
      <c r="E380" t="str">
        <f>TRIM(Tabulka1[[#This Row],[Příjmení]])</f>
        <v>Dvorakova</v>
      </c>
      <c r="F380" s="2" t="str">
        <f>MID(Tabulka1[[#This Row],[Adresa]],1,SEARCH(",",Tabulka1[[#This Row],[Adresa]])-1)</f>
        <v>Dobrovského 427</v>
      </c>
      <c r="G380" s="2" t="str">
        <f>RIGHT(Tabulka1[[#This Row],[Adresa]],LEN(Tabulka1[[#This Row],[Adresa]])-LEN(Tabulka1[[#This Row],[Ulice]])-1)</f>
        <v>Olbramovice u Moravského Krumlova</v>
      </c>
      <c r="H380" s="2" t="str">
        <f>_xlfn.CONCAT(LOWER(Tabulka1[[#This Row],[Příjmení bez mezer]]),".",LOWER(Tabulka1[[#This Row],[Jméno bez mezer]]),"@firmaabc.cz")</f>
        <v>dvorakova.janina@firmaabc.cz</v>
      </c>
      <c r="I380" s="2" t="str">
        <f>_xlfn.CONCAT(LEFT(LOWER(Tabulka1[[#This Row],[Příjmení bez mezer]]),3),RIGHT(UPPER(Tabulka1[[#This Row],[Jméno bez mezer]]),2))</f>
        <v>dvoNA</v>
      </c>
    </row>
    <row r="381" spans="1:9">
      <c r="A381" s="2" t="s">
        <v>865</v>
      </c>
      <c r="B381" t="s">
        <v>162</v>
      </c>
      <c r="C381" t="s">
        <v>866</v>
      </c>
      <c r="D381" t="str">
        <f>TRIM(Tabulka1[[#This Row],[Jméno]])</f>
        <v>Jaroslava</v>
      </c>
      <c r="E381" t="str">
        <f>TRIM(Tabulka1[[#This Row],[Příjmení]])</f>
        <v>Kourilova</v>
      </c>
      <c r="F381" s="2" t="str">
        <f>MID(Tabulka1[[#This Row],[Adresa]],1,SEARCH(",",Tabulka1[[#This Row],[Adresa]])-1)</f>
        <v>Sokolská 216</v>
      </c>
      <c r="G381" s="2" t="str">
        <f>RIGHT(Tabulka1[[#This Row],[Adresa]],LEN(Tabulka1[[#This Row],[Adresa]])-LEN(Tabulka1[[#This Row],[Ulice]])-1)</f>
        <v>Unicov 1</v>
      </c>
      <c r="H381" s="2" t="str">
        <f>_xlfn.CONCAT(LOWER(Tabulka1[[#This Row],[Příjmení bez mezer]]),".",LOWER(Tabulka1[[#This Row],[Jméno bez mezer]]),"@firmaabc.cz")</f>
        <v>kourilova.jaroslava@firmaabc.cz</v>
      </c>
      <c r="I381" s="2" t="str">
        <f>_xlfn.CONCAT(LEFT(LOWER(Tabulka1[[#This Row],[Příjmení bez mezer]]),3),RIGHT(UPPER(Tabulka1[[#This Row],[Jméno bez mezer]]),2))</f>
        <v>kouVA</v>
      </c>
    </row>
    <row r="382" spans="1:9">
      <c r="A382" s="2" t="s">
        <v>867</v>
      </c>
      <c r="B382" t="s">
        <v>868</v>
      </c>
      <c r="C382" t="s">
        <v>869</v>
      </c>
      <c r="D382" t="str">
        <f>TRIM(Tabulka1[[#This Row],[Jméno]])</f>
        <v>Michael</v>
      </c>
      <c r="E382" t="str">
        <f>TRIM(Tabulka1[[#This Row],[Příjmení]])</f>
        <v>Zika</v>
      </c>
      <c r="F382" s="2" t="str">
        <f>MID(Tabulka1[[#This Row],[Adresa]],1,SEARCH(",",Tabulka1[[#This Row],[Adresa]])-1)</f>
        <v>Strojírenská 22</v>
      </c>
      <c r="G382" s="2" t="str">
        <f>RIGHT(Tabulka1[[#This Row],[Adresa]],LEN(Tabulka1[[#This Row],[Adresa]])-LEN(Tabulka1[[#This Row],[Ulice]])-1)</f>
        <v>Nížkov</v>
      </c>
      <c r="H382" s="2" t="str">
        <f>_xlfn.CONCAT(LOWER(Tabulka1[[#This Row],[Příjmení bez mezer]]),".",LOWER(Tabulka1[[#This Row],[Jméno bez mezer]]),"@firmaabc.cz")</f>
        <v>zika.michael@firmaabc.cz</v>
      </c>
      <c r="I382" s="2" t="str">
        <f>_xlfn.CONCAT(LEFT(LOWER(Tabulka1[[#This Row],[Příjmení bez mezer]]),3),RIGHT(UPPER(Tabulka1[[#This Row],[Jméno bez mezer]]),2))</f>
        <v>zikEL</v>
      </c>
    </row>
    <row r="383" spans="1:9">
      <c r="A383" s="2" t="s">
        <v>870</v>
      </c>
      <c r="B383" t="s">
        <v>871</v>
      </c>
      <c r="C383" t="s">
        <v>872</v>
      </c>
      <c r="D383" t="str">
        <f>TRIM(Tabulka1[[#This Row],[Jméno]])</f>
        <v>Jaromir</v>
      </c>
      <c r="E383" t="str">
        <f>TRIM(Tabulka1[[#This Row],[Příjmení]])</f>
        <v>Hruby</v>
      </c>
      <c r="F383" s="2" t="str">
        <f>MID(Tabulka1[[#This Row],[Adresa]],1,SEARCH(",",Tabulka1[[#This Row],[Adresa]])-1)</f>
        <v>Mírová 472</v>
      </c>
      <c r="G383" s="2" t="str">
        <f>RIGHT(Tabulka1[[#This Row],[Adresa]],LEN(Tabulka1[[#This Row],[Adresa]])-LEN(Tabulka1[[#This Row],[Ulice]])-1)</f>
        <v>Bobrová</v>
      </c>
      <c r="H383" s="2" t="str">
        <f>_xlfn.CONCAT(LOWER(Tabulka1[[#This Row],[Příjmení bez mezer]]),".",LOWER(Tabulka1[[#This Row],[Jméno bez mezer]]),"@firmaabc.cz")</f>
        <v>hruby.jaromir@firmaabc.cz</v>
      </c>
      <c r="I383" s="2" t="str">
        <f>_xlfn.CONCAT(LEFT(LOWER(Tabulka1[[#This Row],[Příjmení bez mezer]]),3),RIGHT(UPPER(Tabulka1[[#This Row],[Jméno bez mezer]]),2))</f>
        <v>hruIR</v>
      </c>
    </row>
    <row r="384" spans="1:9">
      <c r="A384" s="2" t="s">
        <v>873</v>
      </c>
      <c r="B384" t="s">
        <v>150</v>
      </c>
      <c r="C384" t="s">
        <v>874</v>
      </c>
      <c r="D384" t="str">
        <f>TRIM(Tabulka1[[#This Row],[Jméno]])</f>
        <v>Josef</v>
      </c>
      <c r="E384" t="str">
        <f>TRIM(Tabulka1[[#This Row],[Příjmení]])</f>
        <v>Bolek</v>
      </c>
      <c r="F384" s="2" t="str">
        <f>MID(Tabulka1[[#This Row],[Adresa]],1,SEARCH(",",Tabulka1[[#This Row],[Adresa]])-1)</f>
        <v>Pod Strání 1435</v>
      </c>
      <c r="G384" s="2" t="str">
        <f>RIGHT(Tabulka1[[#This Row],[Adresa]],LEN(Tabulka1[[#This Row],[Adresa]])-LEN(Tabulka1[[#This Row],[Ulice]])-1)</f>
        <v>Hostinné</v>
      </c>
      <c r="H384" s="2" t="str">
        <f>_xlfn.CONCAT(LOWER(Tabulka1[[#This Row],[Příjmení bez mezer]]),".",LOWER(Tabulka1[[#This Row],[Jméno bez mezer]]),"@firmaabc.cz")</f>
        <v>bolek.josef@firmaabc.cz</v>
      </c>
      <c r="I384" s="2" t="str">
        <f>_xlfn.CONCAT(LEFT(LOWER(Tabulka1[[#This Row],[Příjmení bez mezer]]),3),RIGHT(UPPER(Tabulka1[[#This Row],[Jméno bez mezer]]),2))</f>
        <v>bolEF</v>
      </c>
    </row>
    <row r="385" spans="1:9">
      <c r="A385" s="2" t="s">
        <v>875</v>
      </c>
      <c r="B385" t="s">
        <v>412</v>
      </c>
      <c r="C385" t="s">
        <v>839</v>
      </c>
      <c r="D385" t="str">
        <f>TRIM(Tabulka1[[#This Row],[Jméno]])</f>
        <v>Michaela</v>
      </c>
      <c r="E385" t="str">
        <f>TRIM(Tabulka1[[#This Row],[Příjmení]])</f>
        <v>Bockova</v>
      </c>
      <c r="F385" s="2" t="str">
        <f>MID(Tabulka1[[#This Row],[Adresa]],1,SEARCH(",",Tabulka1[[#This Row],[Adresa]])-1)</f>
        <v>Alšova 1620</v>
      </c>
      <c r="G385" s="2" t="str">
        <f>RIGHT(Tabulka1[[#This Row],[Adresa]],LEN(Tabulka1[[#This Row],[Adresa]])-LEN(Tabulka1[[#This Row],[Ulice]])-1)</f>
        <v>Protivín</v>
      </c>
      <c r="H385" s="2" t="str">
        <f>_xlfn.CONCAT(LOWER(Tabulka1[[#This Row],[Příjmení bez mezer]]),".",LOWER(Tabulka1[[#This Row],[Jméno bez mezer]]),"@firmaabc.cz")</f>
        <v>bockova.michaela@firmaabc.cz</v>
      </c>
      <c r="I385" s="2" t="str">
        <f>_xlfn.CONCAT(LEFT(LOWER(Tabulka1[[#This Row],[Příjmení bez mezer]]),3),RIGHT(UPPER(Tabulka1[[#This Row],[Jméno bez mezer]]),2))</f>
        <v>bocLA</v>
      </c>
    </row>
    <row r="386" spans="1:9">
      <c r="A386" s="2" t="s">
        <v>876</v>
      </c>
      <c r="B386" t="s">
        <v>150</v>
      </c>
      <c r="C386" t="s">
        <v>877</v>
      </c>
      <c r="D386" t="str">
        <f>TRIM(Tabulka1[[#This Row],[Jméno]])</f>
        <v>Josef</v>
      </c>
      <c r="E386" t="str">
        <f>TRIM(Tabulka1[[#This Row],[Příjmení]])</f>
        <v>Homolka</v>
      </c>
      <c r="F386" s="2" t="str">
        <f>MID(Tabulka1[[#This Row],[Adresa]],1,SEARCH(",",Tabulka1[[#This Row],[Adresa]])-1)</f>
        <v>Marie Kudeříkové 1580</v>
      </c>
      <c r="G386" s="2" t="str">
        <f>RIGHT(Tabulka1[[#This Row],[Adresa]],LEN(Tabulka1[[#This Row],[Adresa]])-LEN(Tabulka1[[#This Row],[Ulice]])-1)</f>
        <v>Úpice</v>
      </c>
      <c r="H386" s="2" t="str">
        <f>_xlfn.CONCAT(LOWER(Tabulka1[[#This Row],[Příjmení bez mezer]]),".",LOWER(Tabulka1[[#This Row],[Jméno bez mezer]]),"@firmaabc.cz")</f>
        <v>homolka.josef@firmaabc.cz</v>
      </c>
      <c r="I386" s="2" t="str">
        <f>_xlfn.CONCAT(LEFT(LOWER(Tabulka1[[#This Row],[Příjmení bez mezer]]),3),RIGHT(UPPER(Tabulka1[[#This Row],[Jméno bez mezer]]),2))</f>
        <v>homEF</v>
      </c>
    </row>
    <row r="387" spans="1:9" ht="30">
      <c r="A387" s="2" t="s">
        <v>878</v>
      </c>
      <c r="B387" t="s">
        <v>63</v>
      </c>
      <c r="C387" t="s">
        <v>879</v>
      </c>
      <c r="D387" t="str">
        <f>TRIM(Tabulka1[[#This Row],[Jméno]])</f>
        <v>Dagmar</v>
      </c>
      <c r="E387" t="str">
        <f>TRIM(Tabulka1[[#This Row],[Příjmení]])</f>
        <v>Duskova</v>
      </c>
      <c r="F387" s="2" t="str">
        <f>MID(Tabulka1[[#This Row],[Adresa]],1,SEARCH(",",Tabulka1[[#This Row],[Adresa]])-1)</f>
        <v>Strojírenská 731</v>
      </c>
      <c r="G387" s="2" t="str">
        <f>RIGHT(Tabulka1[[#This Row],[Adresa]],LEN(Tabulka1[[#This Row],[Adresa]])-LEN(Tabulka1[[#This Row],[Ulice]])-1)</f>
        <v>Ždár nad Sázavou 2</v>
      </c>
      <c r="H387" s="2" t="str">
        <f>_xlfn.CONCAT(LOWER(Tabulka1[[#This Row],[Příjmení bez mezer]]),".",LOWER(Tabulka1[[#This Row],[Jméno bez mezer]]),"@firmaabc.cz")</f>
        <v>duskova.dagmar@firmaabc.cz</v>
      </c>
      <c r="I387" s="2" t="str">
        <f>_xlfn.CONCAT(LEFT(LOWER(Tabulka1[[#This Row],[Příjmení bez mezer]]),3),RIGHT(UPPER(Tabulka1[[#This Row],[Jméno bez mezer]]),2))</f>
        <v>dusAR</v>
      </c>
    </row>
    <row r="388" spans="1:9">
      <c r="A388" s="2" t="s">
        <v>880</v>
      </c>
      <c r="B388" t="s">
        <v>605</v>
      </c>
      <c r="C388" t="s">
        <v>881</v>
      </c>
      <c r="D388" t="str">
        <f>TRIM(Tabulka1[[#This Row],[Jméno]])</f>
        <v>Viktorie</v>
      </c>
      <c r="E388" t="str">
        <f>TRIM(Tabulka1[[#This Row],[Příjmení]])</f>
        <v>Krusinova</v>
      </c>
      <c r="F388" s="2" t="str">
        <f>MID(Tabulka1[[#This Row],[Adresa]],1,SEARCH(",",Tabulka1[[#This Row],[Adresa]])-1)</f>
        <v>Teperova 578</v>
      </c>
      <c r="G388" s="2" t="str">
        <f>RIGHT(Tabulka1[[#This Row],[Adresa]],LEN(Tabulka1[[#This Row],[Adresa]])-LEN(Tabulka1[[#This Row],[Ulice]])-1)</f>
        <v>Želešice</v>
      </c>
      <c r="H388" s="2" t="str">
        <f>_xlfn.CONCAT(LOWER(Tabulka1[[#This Row],[Příjmení bez mezer]]),".",LOWER(Tabulka1[[#This Row],[Jméno bez mezer]]),"@firmaabc.cz")</f>
        <v>krusinova.viktorie@firmaabc.cz</v>
      </c>
      <c r="I388" s="2" t="str">
        <f>_xlfn.CONCAT(LEFT(LOWER(Tabulka1[[#This Row],[Příjmení bez mezer]]),3),RIGHT(UPPER(Tabulka1[[#This Row],[Jméno bez mezer]]),2))</f>
        <v>kruIE</v>
      </c>
    </row>
    <row r="389" spans="1:9">
      <c r="A389" s="2" t="s">
        <v>882</v>
      </c>
      <c r="B389" t="s">
        <v>81</v>
      </c>
      <c r="C389" t="s">
        <v>883</v>
      </c>
      <c r="D389" t="str">
        <f>TRIM(Tabulka1[[#This Row],[Jméno]])</f>
        <v>Miroslav</v>
      </c>
      <c r="E389" t="str">
        <f>TRIM(Tabulka1[[#This Row],[Příjmení]])</f>
        <v>Ondruch</v>
      </c>
      <c r="F389" s="2" t="str">
        <f>MID(Tabulka1[[#This Row],[Adresa]],1,SEARCH(",",Tabulka1[[#This Row],[Adresa]])-1)</f>
        <v>Alšova 1908</v>
      </c>
      <c r="G389" s="2" t="str">
        <f>RIGHT(Tabulka1[[#This Row],[Adresa]],LEN(Tabulka1[[#This Row],[Adresa]])-LEN(Tabulka1[[#This Row],[Ulice]])-1)</f>
        <v>Písek 1</v>
      </c>
      <c r="H389" s="2" t="str">
        <f>_xlfn.CONCAT(LOWER(Tabulka1[[#This Row],[Příjmení bez mezer]]),".",LOWER(Tabulka1[[#This Row],[Jméno bez mezer]]),"@firmaabc.cz")</f>
        <v>ondruch.miroslav@firmaabc.cz</v>
      </c>
      <c r="I389" s="2" t="str">
        <f>_xlfn.CONCAT(LEFT(LOWER(Tabulka1[[#This Row],[Příjmení bez mezer]]),3),RIGHT(UPPER(Tabulka1[[#This Row],[Jméno bez mezer]]),2))</f>
        <v>ondAV</v>
      </c>
    </row>
    <row r="390" spans="1:9">
      <c r="A390" s="2" t="s">
        <v>884</v>
      </c>
      <c r="B390" t="s">
        <v>191</v>
      </c>
      <c r="C390" t="s">
        <v>885</v>
      </c>
      <c r="D390" t="str">
        <f>TRIM(Tabulka1[[#This Row],[Jméno]])</f>
        <v>Jana</v>
      </c>
      <c r="E390" t="str">
        <f>TRIM(Tabulka1[[#This Row],[Příjmení]])</f>
        <v>Ederova</v>
      </c>
      <c r="F390" s="2" t="str">
        <f>MID(Tabulka1[[#This Row],[Adresa]],1,SEARCH(",",Tabulka1[[#This Row],[Adresa]])-1)</f>
        <v>Úzká 134</v>
      </c>
      <c r="G390" s="2" t="str">
        <f>RIGHT(Tabulka1[[#This Row],[Adresa]],LEN(Tabulka1[[#This Row],[Adresa]])-LEN(Tabulka1[[#This Row],[Ulice]])-1)</f>
        <v>Dolní Dunajovice</v>
      </c>
      <c r="H390" s="2" t="str">
        <f>_xlfn.CONCAT(LOWER(Tabulka1[[#This Row],[Příjmení bez mezer]]),".",LOWER(Tabulka1[[#This Row],[Jméno bez mezer]]),"@firmaabc.cz")</f>
        <v>ederova.jana@firmaabc.cz</v>
      </c>
      <c r="I390" s="2" t="str">
        <f>_xlfn.CONCAT(LEFT(LOWER(Tabulka1[[#This Row],[Příjmení bez mezer]]),3),RIGHT(UPPER(Tabulka1[[#This Row],[Jméno bez mezer]]),2))</f>
        <v>edeNA</v>
      </c>
    </row>
    <row r="391" spans="1:9">
      <c r="A391" s="2" t="s">
        <v>886</v>
      </c>
      <c r="B391" t="s">
        <v>863</v>
      </c>
      <c r="C391" t="s">
        <v>887</v>
      </c>
      <c r="D391" t="str">
        <f>TRIM(Tabulka1[[#This Row],[Jméno]])</f>
        <v>Janina</v>
      </c>
      <c r="E391" t="str">
        <f>TRIM(Tabulka1[[#This Row],[Příjmení]])</f>
        <v>Silhankova</v>
      </c>
      <c r="F391" s="2" t="str">
        <f>MID(Tabulka1[[#This Row],[Adresa]],1,SEARCH(",",Tabulka1[[#This Row],[Adresa]])-1)</f>
        <v>Na Kopečku 932</v>
      </c>
      <c r="G391" s="2" t="str">
        <f>RIGHT(Tabulka1[[#This Row],[Adresa]],LEN(Tabulka1[[#This Row],[Adresa]])-LEN(Tabulka1[[#This Row],[Ulice]])-1)</f>
        <v>Stežery</v>
      </c>
      <c r="H391" s="2" t="str">
        <f>_xlfn.CONCAT(LOWER(Tabulka1[[#This Row],[Příjmení bez mezer]]),".",LOWER(Tabulka1[[#This Row],[Jméno bez mezer]]),"@firmaabc.cz")</f>
        <v>silhankova.janina@firmaabc.cz</v>
      </c>
      <c r="I391" s="2" t="str">
        <f>_xlfn.CONCAT(LEFT(LOWER(Tabulka1[[#This Row],[Příjmení bez mezer]]),3),RIGHT(UPPER(Tabulka1[[#This Row],[Jméno bez mezer]]),2))</f>
        <v>silNA</v>
      </c>
    </row>
    <row r="392" spans="1:9">
      <c r="A392" s="2" t="s">
        <v>888</v>
      </c>
      <c r="B392" t="s">
        <v>889</v>
      </c>
      <c r="C392" t="s">
        <v>890</v>
      </c>
      <c r="D392" t="str">
        <f>TRIM(Tabulka1[[#This Row],[Jméno]])</f>
        <v>Dusan</v>
      </c>
      <c r="E392" t="str">
        <f>TRIM(Tabulka1[[#This Row],[Příjmení]])</f>
        <v>Fabian</v>
      </c>
      <c r="F392" s="2" t="str">
        <f>MID(Tabulka1[[#This Row],[Adresa]],1,SEARCH(",",Tabulka1[[#This Row],[Adresa]])-1)</f>
        <v>Poštovní 1046</v>
      </c>
      <c r="G392" s="2" t="str">
        <f>RIGHT(Tabulka1[[#This Row],[Adresa]],LEN(Tabulka1[[#This Row],[Adresa]])-LEN(Tabulka1[[#This Row],[Ulice]])-1)</f>
        <v>Skalsko</v>
      </c>
      <c r="H392" s="2" t="str">
        <f>_xlfn.CONCAT(LOWER(Tabulka1[[#This Row],[Příjmení bez mezer]]),".",LOWER(Tabulka1[[#This Row],[Jméno bez mezer]]),"@firmaabc.cz")</f>
        <v>fabian.dusan@firmaabc.cz</v>
      </c>
      <c r="I392" s="2" t="str">
        <f>_xlfn.CONCAT(LEFT(LOWER(Tabulka1[[#This Row],[Příjmení bez mezer]]),3),RIGHT(UPPER(Tabulka1[[#This Row],[Jméno bez mezer]]),2))</f>
        <v>fabAN</v>
      </c>
    </row>
    <row r="393" spans="1:9" ht="30">
      <c r="A393" s="2" t="s">
        <v>891</v>
      </c>
      <c r="B393" t="s">
        <v>892</v>
      </c>
      <c r="C393" t="s">
        <v>893</v>
      </c>
      <c r="D393" t="str">
        <f>TRIM(Tabulka1[[#This Row],[Jméno]])</f>
        <v>Jindrich</v>
      </c>
      <c r="E393" t="str">
        <f>TRIM(Tabulka1[[#This Row],[Příjmení]])</f>
        <v>Popelka</v>
      </c>
      <c r="F393" s="2" t="str">
        <f>MID(Tabulka1[[#This Row],[Adresa]],1,SEARCH(",",Tabulka1[[#This Row],[Adresa]])-1)</f>
        <v>Budovatelská 1027</v>
      </c>
      <c r="G393" s="2" t="str">
        <f>RIGHT(Tabulka1[[#This Row],[Adresa]],LEN(Tabulka1[[#This Row],[Adresa]])-LEN(Tabulka1[[#This Row],[Ulice]])-1)</f>
        <v>Záborí u Blatné</v>
      </c>
      <c r="H393" s="2" t="str">
        <f>_xlfn.CONCAT(LOWER(Tabulka1[[#This Row],[Příjmení bez mezer]]),".",LOWER(Tabulka1[[#This Row],[Jméno bez mezer]]),"@firmaabc.cz")</f>
        <v>popelka.jindrich@firmaabc.cz</v>
      </c>
      <c r="I393" s="2" t="str">
        <f>_xlfn.CONCAT(LEFT(LOWER(Tabulka1[[#This Row],[Příjmení bez mezer]]),3),RIGHT(UPPER(Tabulka1[[#This Row],[Jméno bez mezer]]),2))</f>
        <v>popCH</v>
      </c>
    </row>
    <row r="394" spans="1:9">
      <c r="A394" s="2" t="s">
        <v>894</v>
      </c>
      <c r="B394" t="s">
        <v>310</v>
      </c>
      <c r="C394" t="s">
        <v>895</v>
      </c>
      <c r="D394" t="str">
        <f>TRIM(Tabulka1[[#This Row],[Jméno]])</f>
        <v>Stanislav</v>
      </c>
      <c r="E394" t="str">
        <f>TRIM(Tabulka1[[#This Row],[Příjmení]])</f>
        <v>Bednar</v>
      </c>
      <c r="F394" s="2" t="str">
        <f>MID(Tabulka1[[#This Row],[Adresa]],1,SEARCH(",",Tabulka1[[#This Row],[Adresa]])-1)</f>
        <v>Školní 1837</v>
      </c>
      <c r="G394" s="2" t="str">
        <f>RIGHT(Tabulka1[[#This Row],[Adresa]],LEN(Tabulka1[[#This Row],[Adresa]])-LEN(Tabulka1[[#This Row],[Ulice]])-1)</f>
        <v>Rynárec</v>
      </c>
      <c r="H394" s="2" t="str">
        <f>_xlfn.CONCAT(LOWER(Tabulka1[[#This Row],[Příjmení bez mezer]]),".",LOWER(Tabulka1[[#This Row],[Jméno bez mezer]]),"@firmaabc.cz")</f>
        <v>bednar.stanislav@firmaabc.cz</v>
      </c>
      <c r="I394" s="2" t="str">
        <f>_xlfn.CONCAT(LEFT(LOWER(Tabulka1[[#This Row],[Příjmení bez mezer]]),3),RIGHT(UPPER(Tabulka1[[#This Row],[Jméno bez mezer]]),2))</f>
        <v>bedAV</v>
      </c>
    </row>
    <row r="395" spans="1:9">
      <c r="A395" s="2" t="s">
        <v>896</v>
      </c>
      <c r="B395" t="s">
        <v>35</v>
      </c>
      <c r="C395" t="s">
        <v>897</v>
      </c>
      <c r="D395" t="str">
        <f>TRIM(Tabulka1[[#This Row],[Jméno]])</f>
        <v>Karolina</v>
      </c>
      <c r="E395" t="str">
        <f>TRIM(Tabulka1[[#This Row],[Příjmení]])</f>
        <v>Kalikova</v>
      </c>
      <c r="F395" s="2" t="str">
        <f>MID(Tabulka1[[#This Row],[Adresa]],1,SEARCH(",",Tabulka1[[#This Row],[Adresa]])-1)</f>
        <v>Suhrady 936</v>
      </c>
      <c r="G395" s="2" t="str">
        <f>RIGHT(Tabulka1[[#This Row],[Adresa]],LEN(Tabulka1[[#This Row],[Adresa]])-LEN(Tabulka1[[#This Row],[Ulice]])-1)</f>
        <v>Sudice</v>
      </c>
      <c r="H395" s="2" t="str">
        <f>_xlfn.CONCAT(LOWER(Tabulka1[[#This Row],[Příjmení bez mezer]]),".",LOWER(Tabulka1[[#This Row],[Jméno bez mezer]]),"@firmaabc.cz")</f>
        <v>kalikova.karolina@firmaabc.cz</v>
      </c>
      <c r="I395" s="2" t="str">
        <f>_xlfn.CONCAT(LEFT(LOWER(Tabulka1[[#This Row],[Příjmení bez mezer]]),3),RIGHT(UPPER(Tabulka1[[#This Row],[Jméno bez mezer]]),2))</f>
        <v>kalNA</v>
      </c>
    </row>
    <row r="396" spans="1:9">
      <c r="A396" s="2" t="s">
        <v>898</v>
      </c>
      <c r="B396" t="s">
        <v>219</v>
      </c>
      <c r="C396" t="s">
        <v>899</v>
      </c>
      <c r="D396" t="str">
        <f>TRIM(Tabulka1[[#This Row],[Jméno]])</f>
        <v>Marek</v>
      </c>
      <c r="E396" t="str">
        <f>TRIM(Tabulka1[[#This Row],[Příjmení]])</f>
        <v>Karnik</v>
      </c>
      <c r="F396" s="2" t="str">
        <f>MID(Tabulka1[[#This Row],[Adresa]],1,SEARCH(",",Tabulka1[[#This Row],[Adresa]])-1)</f>
        <v>Mlýnské údolí 1426</v>
      </c>
      <c r="G396" s="2" t="str">
        <f>RIGHT(Tabulka1[[#This Row],[Adresa]],LEN(Tabulka1[[#This Row],[Adresa]])-LEN(Tabulka1[[#This Row],[Ulice]])-1)</f>
        <v>Rudolfov</v>
      </c>
      <c r="H396" s="2" t="str">
        <f>_xlfn.CONCAT(LOWER(Tabulka1[[#This Row],[Příjmení bez mezer]]),".",LOWER(Tabulka1[[#This Row],[Jméno bez mezer]]),"@firmaabc.cz")</f>
        <v>karnik.marek@firmaabc.cz</v>
      </c>
      <c r="I396" s="2" t="str">
        <f>_xlfn.CONCAT(LEFT(LOWER(Tabulka1[[#This Row],[Příjmení bez mezer]]),3),RIGHT(UPPER(Tabulka1[[#This Row],[Jméno bez mezer]]),2))</f>
        <v>karEK</v>
      </c>
    </row>
    <row r="397" spans="1:9">
      <c r="A397" s="2" t="s">
        <v>900</v>
      </c>
      <c r="B397" t="s">
        <v>901</v>
      </c>
      <c r="C397" t="s">
        <v>902</v>
      </c>
      <c r="D397" t="str">
        <f>TRIM(Tabulka1[[#This Row],[Jméno]])</f>
        <v>Sabina</v>
      </c>
      <c r="E397" t="str">
        <f>TRIM(Tabulka1[[#This Row],[Příjmení]])</f>
        <v>Pazderova</v>
      </c>
      <c r="F397" s="2" t="str">
        <f>MID(Tabulka1[[#This Row],[Adresa]],1,SEARCH(",",Tabulka1[[#This Row],[Adresa]])-1)</f>
        <v>Nová 1977</v>
      </c>
      <c r="G397" s="2" t="str">
        <f>RIGHT(Tabulka1[[#This Row],[Adresa]],LEN(Tabulka1[[#This Row],[Adresa]])-LEN(Tabulka1[[#This Row],[Ulice]])-1)</f>
        <v>Chlumín</v>
      </c>
      <c r="H397" s="2" t="str">
        <f>_xlfn.CONCAT(LOWER(Tabulka1[[#This Row],[Příjmení bez mezer]]),".",LOWER(Tabulka1[[#This Row],[Jméno bez mezer]]),"@firmaabc.cz")</f>
        <v>pazderova.sabina@firmaabc.cz</v>
      </c>
      <c r="I397" s="2" t="str">
        <f>_xlfn.CONCAT(LEFT(LOWER(Tabulka1[[#This Row],[Příjmení bez mezer]]),3),RIGHT(UPPER(Tabulka1[[#This Row],[Jméno bez mezer]]),2))</f>
        <v>pazNA</v>
      </c>
    </row>
    <row r="398" spans="1:9" ht="30">
      <c r="A398" s="2" t="s">
        <v>903</v>
      </c>
      <c r="B398" t="s">
        <v>904</v>
      </c>
      <c r="C398" t="s">
        <v>905</v>
      </c>
      <c r="D398" t="str">
        <f>TRIM(Tabulka1[[#This Row],[Jméno]])</f>
        <v>Ivo</v>
      </c>
      <c r="E398" t="str">
        <f>TRIM(Tabulka1[[#This Row],[Příjmení]])</f>
        <v>Varga</v>
      </c>
      <c r="F398" s="2" t="str">
        <f>MID(Tabulka1[[#This Row],[Adresa]],1,SEARCH(",",Tabulka1[[#This Row],[Adresa]])-1)</f>
        <v>Sídliště Za Chlumem 576</v>
      </c>
      <c r="G398" s="2" t="str">
        <f>RIGHT(Tabulka1[[#This Row],[Adresa]],LEN(Tabulka1[[#This Row],[Adresa]])-LEN(Tabulka1[[#This Row],[Ulice]])-1)</f>
        <v>Žalany</v>
      </c>
      <c r="H398" s="2" t="str">
        <f>_xlfn.CONCAT(LOWER(Tabulka1[[#This Row],[Příjmení bez mezer]]),".",LOWER(Tabulka1[[#This Row],[Jméno bez mezer]]),"@firmaabc.cz")</f>
        <v>varga.ivo@firmaabc.cz</v>
      </c>
      <c r="I398" s="2" t="str">
        <f>_xlfn.CONCAT(LEFT(LOWER(Tabulka1[[#This Row],[Příjmení bez mezer]]),3),RIGHT(UPPER(Tabulka1[[#This Row],[Jméno bez mezer]]),2))</f>
        <v>varVO</v>
      </c>
    </row>
    <row r="399" spans="1:9">
      <c r="A399" s="2" t="s">
        <v>906</v>
      </c>
      <c r="B399" t="s">
        <v>508</v>
      </c>
      <c r="C399" t="s">
        <v>907</v>
      </c>
      <c r="D399" t="str">
        <f>TRIM(Tabulka1[[#This Row],[Jméno]])</f>
        <v>Ivan</v>
      </c>
      <c r="E399" t="str">
        <f>TRIM(Tabulka1[[#This Row],[Příjmení]])</f>
        <v>Janda</v>
      </c>
      <c r="F399" s="2" t="str">
        <f>MID(Tabulka1[[#This Row],[Adresa]],1,SEARCH(",",Tabulka1[[#This Row],[Adresa]])-1)</f>
        <v>Školní 1093</v>
      </c>
      <c r="G399" s="2" t="str">
        <f>RIGHT(Tabulka1[[#This Row],[Adresa]],LEN(Tabulka1[[#This Row],[Adresa]])-LEN(Tabulka1[[#This Row],[Ulice]])-1)</f>
        <v>Mirošov 1</v>
      </c>
      <c r="H399" s="2" t="str">
        <f>_xlfn.CONCAT(LOWER(Tabulka1[[#This Row],[Příjmení bez mezer]]),".",LOWER(Tabulka1[[#This Row],[Jméno bez mezer]]),"@firmaabc.cz")</f>
        <v>janda.ivan@firmaabc.cz</v>
      </c>
      <c r="I399" s="2" t="str">
        <f>_xlfn.CONCAT(LEFT(LOWER(Tabulka1[[#This Row],[Příjmení bez mezer]]),3),RIGHT(UPPER(Tabulka1[[#This Row],[Jméno bez mezer]]),2))</f>
        <v>janAN</v>
      </c>
    </row>
    <row r="400" spans="1:9" ht="30">
      <c r="A400" s="2" t="s">
        <v>908</v>
      </c>
      <c r="B400" t="s">
        <v>909</v>
      </c>
      <c r="C400" t="s">
        <v>910</v>
      </c>
      <c r="D400" t="str">
        <f>TRIM(Tabulka1[[#This Row],[Jméno]])</f>
        <v>Evzenie</v>
      </c>
      <c r="E400" t="str">
        <f>TRIM(Tabulka1[[#This Row],[Příjmení]])</f>
        <v>Jechova</v>
      </c>
      <c r="F400" s="2" t="str">
        <f>MID(Tabulka1[[#This Row],[Adresa]],1,SEARCH(",",Tabulka1[[#This Row],[Adresa]])-1)</f>
        <v>Jindřichova 668</v>
      </c>
      <c r="G400" s="2" t="str">
        <f>RIGHT(Tabulka1[[#This Row],[Adresa]],LEN(Tabulka1[[#This Row],[Adresa]])-LEN(Tabulka1[[#This Row],[Ulice]])-1)</f>
        <v>Stráž nad Nežárkou</v>
      </c>
      <c r="H400" s="2" t="str">
        <f>_xlfn.CONCAT(LOWER(Tabulka1[[#This Row],[Příjmení bez mezer]]),".",LOWER(Tabulka1[[#This Row],[Jméno bez mezer]]),"@firmaabc.cz")</f>
        <v>jechova.evzenie@firmaabc.cz</v>
      </c>
      <c r="I400" s="2" t="str">
        <f>_xlfn.CONCAT(LEFT(LOWER(Tabulka1[[#This Row],[Příjmení bez mezer]]),3),RIGHT(UPPER(Tabulka1[[#This Row],[Jméno bez mezer]]),2))</f>
        <v>jecIE</v>
      </c>
    </row>
    <row r="401" spans="1:9" ht="30">
      <c r="A401" s="2" t="s">
        <v>911</v>
      </c>
      <c r="B401" t="s">
        <v>511</v>
      </c>
      <c r="C401" t="s">
        <v>912</v>
      </c>
      <c r="D401" t="str">
        <f>TRIM(Tabulka1[[#This Row],[Jméno]])</f>
        <v>Sylvie</v>
      </c>
      <c r="E401" t="str">
        <f>TRIM(Tabulka1[[#This Row],[Příjmení]])</f>
        <v>Pletichova</v>
      </c>
      <c r="F401" s="2" t="str">
        <f>MID(Tabulka1[[#This Row],[Adresa]],1,SEARCH(",",Tabulka1[[#This Row],[Adresa]])-1)</f>
        <v>U medvídků 1017</v>
      </c>
      <c r="G401" s="2" t="str">
        <f>RIGHT(Tabulka1[[#This Row],[Adresa]],LEN(Tabulka1[[#This Row],[Adresa]])-LEN(Tabulka1[[#This Row],[Ulice]])-1)</f>
        <v>Kamýk nad Vltavou</v>
      </c>
      <c r="H401" s="2" t="str">
        <f>_xlfn.CONCAT(LOWER(Tabulka1[[#This Row],[Příjmení bez mezer]]),".",LOWER(Tabulka1[[#This Row],[Jméno bez mezer]]),"@firmaabc.cz")</f>
        <v>pletichova.sylvie@firmaabc.cz</v>
      </c>
      <c r="I401" s="2" t="str">
        <f>_xlfn.CONCAT(LEFT(LOWER(Tabulka1[[#This Row],[Příjmení bez mezer]]),3),RIGHT(UPPER(Tabulka1[[#This Row],[Jméno bez mezer]]),2))</f>
        <v>pleIE</v>
      </c>
    </row>
    <row r="402" spans="1:9">
      <c r="A402" s="2" t="s">
        <v>913</v>
      </c>
      <c r="B402" t="s">
        <v>234</v>
      </c>
      <c r="C402" t="s">
        <v>914</v>
      </c>
      <c r="D402" t="str">
        <f>TRIM(Tabulka1[[#This Row],[Jméno]])</f>
        <v>Zdenek</v>
      </c>
      <c r="E402" t="str">
        <f>TRIM(Tabulka1[[#This Row],[Příjmení]])</f>
        <v>Sikora</v>
      </c>
      <c r="F402" s="2" t="str">
        <f>MID(Tabulka1[[#This Row],[Adresa]],1,SEARCH(",",Tabulka1[[#This Row],[Adresa]])-1)</f>
        <v>Havlíčkova 526</v>
      </c>
      <c r="G402" s="2" t="str">
        <f>RIGHT(Tabulka1[[#This Row],[Adresa]],LEN(Tabulka1[[#This Row],[Adresa]])-LEN(Tabulka1[[#This Row],[Ulice]])-1)</f>
        <v>Sedlcany</v>
      </c>
      <c r="H402" s="2" t="str">
        <f>_xlfn.CONCAT(LOWER(Tabulka1[[#This Row],[Příjmení bez mezer]]),".",LOWER(Tabulka1[[#This Row],[Jméno bez mezer]]),"@firmaabc.cz")</f>
        <v>sikora.zdenek@firmaabc.cz</v>
      </c>
      <c r="I402" s="2" t="str">
        <f>_xlfn.CONCAT(LEFT(LOWER(Tabulka1[[#This Row],[Příjmení bez mezer]]),3),RIGHT(UPPER(Tabulka1[[#This Row],[Jméno bez mezer]]),2))</f>
        <v>sikEK</v>
      </c>
    </row>
    <row r="403" spans="1:9">
      <c r="A403" s="2" t="s">
        <v>915</v>
      </c>
      <c r="B403" t="s">
        <v>916</v>
      </c>
      <c r="C403" t="s">
        <v>917</v>
      </c>
      <c r="D403" t="str">
        <f>TRIM(Tabulka1[[#This Row],[Jméno]])</f>
        <v>Viktor</v>
      </c>
      <c r="E403" t="str">
        <f>TRIM(Tabulka1[[#This Row],[Příjmení]])</f>
        <v>Toman</v>
      </c>
      <c r="F403" s="2" t="str">
        <f>MID(Tabulka1[[#This Row],[Adresa]],1,SEARCH(",",Tabulka1[[#This Row],[Adresa]])-1)</f>
        <v>Na Výsluní 1092</v>
      </c>
      <c r="G403" s="2" t="str">
        <f>RIGHT(Tabulka1[[#This Row],[Adresa]],LEN(Tabulka1[[#This Row],[Adresa]])-LEN(Tabulka1[[#This Row],[Ulice]])-1)</f>
        <v>Stríbro</v>
      </c>
      <c r="H403" s="2" t="str">
        <f>_xlfn.CONCAT(LOWER(Tabulka1[[#This Row],[Příjmení bez mezer]]),".",LOWER(Tabulka1[[#This Row],[Jméno bez mezer]]),"@firmaabc.cz")</f>
        <v>toman.viktor@firmaabc.cz</v>
      </c>
      <c r="I403" s="2" t="str">
        <f>_xlfn.CONCAT(LEFT(LOWER(Tabulka1[[#This Row],[Příjmení bez mezer]]),3),RIGHT(UPPER(Tabulka1[[#This Row],[Jméno bez mezer]]),2))</f>
        <v>tomOR</v>
      </c>
    </row>
    <row r="404" spans="1:9" ht="30">
      <c r="A404" s="2" t="s">
        <v>918</v>
      </c>
      <c r="B404" t="s">
        <v>548</v>
      </c>
      <c r="C404" t="s">
        <v>472</v>
      </c>
      <c r="D404" t="str">
        <f>TRIM(Tabulka1[[#This Row],[Jméno]])</f>
        <v>Ladislav</v>
      </c>
      <c r="E404" t="str">
        <f>TRIM(Tabulka1[[#This Row],[Příjmení]])</f>
        <v>Turek</v>
      </c>
      <c r="F404" s="2" t="str">
        <f>MID(Tabulka1[[#This Row],[Adresa]],1,SEARCH(",",Tabulka1[[#This Row],[Adresa]])-1)</f>
        <v>Sídliště Za Chlumem 73</v>
      </c>
      <c r="G404" s="2" t="str">
        <f>RIGHT(Tabulka1[[#This Row],[Adresa]],LEN(Tabulka1[[#This Row],[Adresa]])-LEN(Tabulka1[[#This Row],[Ulice]])-1)</f>
        <v>Bílina 4</v>
      </c>
      <c r="H404" s="2" t="str">
        <f>_xlfn.CONCAT(LOWER(Tabulka1[[#This Row],[Příjmení bez mezer]]),".",LOWER(Tabulka1[[#This Row],[Jméno bez mezer]]),"@firmaabc.cz")</f>
        <v>turek.ladislav@firmaabc.cz</v>
      </c>
      <c r="I404" s="2" t="str">
        <f>_xlfn.CONCAT(LEFT(LOWER(Tabulka1[[#This Row],[Příjmení bez mezer]]),3),RIGHT(UPPER(Tabulka1[[#This Row],[Jméno bez mezer]]),2))</f>
        <v>turAV</v>
      </c>
    </row>
    <row r="405" spans="1:9">
      <c r="A405" s="2" t="s">
        <v>919</v>
      </c>
      <c r="B405" t="s">
        <v>44</v>
      </c>
      <c r="C405" t="s">
        <v>920</v>
      </c>
      <c r="D405" t="str">
        <f>TRIM(Tabulka1[[#This Row],[Jméno]])</f>
        <v>Marie</v>
      </c>
      <c r="E405" t="str">
        <f>TRIM(Tabulka1[[#This Row],[Příjmení]])</f>
        <v>Andrlikova</v>
      </c>
      <c r="F405" s="2" t="str">
        <f>MID(Tabulka1[[#This Row],[Adresa]],1,SEARCH(",",Tabulka1[[#This Row],[Adresa]])-1)</f>
        <v>Spojovací 827</v>
      </c>
      <c r="G405" s="2" t="str">
        <f>RIGHT(Tabulka1[[#This Row],[Adresa]],LEN(Tabulka1[[#This Row],[Adresa]])-LEN(Tabulka1[[#This Row],[Ulice]])-1)</f>
        <v>Starec</v>
      </c>
      <c r="H405" s="2" t="str">
        <f>_xlfn.CONCAT(LOWER(Tabulka1[[#This Row],[Příjmení bez mezer]]),".",LOWER(Tabulka1[[#This Row],[Jméno bez mezer]]),"@firmaabc.cz")</f>
        <v>andrlikova.marie@firmaabc.cz</v>
      </c>
      <c r="I405" s="2" t="str">
        <f>_xlfn.CONCAT(LEFT(LOWER(Tabulka1[[#This Row],[Příjmení bez mezer]]),3),RIGHT(UPPER(Tabulka1[[#This Row],[Jméno bez mezer]]),2))</f>
        <v>andIE</v>
      </c>
    </row>
    <row r="406" spans="1:9" ht="45">
      <c r="A406" s="2" t="s">
        <v>921</v>
      </c>
      <c r="B406" t="s">
        <v>310</v>
      </c>
      <c r="C406" t="s">
        <v>922</v>
      </c>
      <c r="D406" t="str">
        <f>TRIM(Tabulka1[[#This Row],[Jméno]])</f>
        <v>Stanislav</v>
      </c>
      <c r="E406" t="str">
        <f>TRIM(Tabulka1[[#This Row],[Příjmení]])</f>
        <v>Suchy</v>
      </c>
      <c r="F406" s="2" t="str">
        <f>MID(Tabulka1[[#This Row],[Adresa]],1,SEARCH(",",Tabulka1[[#This Row],[Adresa]])-1)</f>
        <v>Družstevní práce 782</v>
      </c>
      <c r="G406" s="2" t="str">
        <f>RIGHT(Tabulka1[[#This Row],[Adresa]],LEN(Tabulka1[[#This Row],[Adresa]])-LEN(Tabulka1[[#This Row],[Ulice]])-1)</f>
        <v>Trebechovice pod Orebem</v>
      </c>
      <c r="H406" s="2" t="str">
        <f>_xlfn.CONCAT(LOWER(Tabulka1[[#This Row],[Příjmení bez mezer]]),".",LOWER(Tabulka1[[#This Row],[Jméno bez mezer]]),"@firmaabc.cz")</f>
        <v>suchy.stanislav@firmaabc.cz</v>
      </c>
      <c r="I406" s="2" t="str">
        <f>_xlfn.CONCAT(LEFT(LOWER(Tabulka1[[#This Row],[Příjmení bez mezer]]),3),RIGHT(UPPER(Tabulka1[[#This Row],[Jméno bez mezer]]),2))</f>
        <v>sucAV</v>
      </c>
    </row>
    <row r="407" spans="1:9">
      <c r="A407" s="2" t="s">
        <v>923</v>
      </c>
      <c r="B407" t="s">
        <v>442</v>
      </c>
      <c r="C407" t="s">
        <v>924</v>
      </c>
      <c r="D407" t="str">
        <f>TRIM(Tabulka1[[#This Row],[Jméno]])</f>
        <v>Ludek</v>
      </c>
      <c r="E407" t="str">
        <f>TRIM(Tabulka1[[#This Row],[Příjmení]])</f>
        <v>Lindner</v>
      </c>
      <c r="F407" s="2" t="str">
        <f>MID(Tabulka1[[#This Row],[Adresa]],1,SEARCH(",",Tabulka1[[#This Row],[Adresa]])-1)</f>
        <v>Jana Šťastného 798</v>
      </c>
      <c r="G407" s="2" t="str">
        <f>RIGHT(Tabulka1[[#This Row],[Adresa]],LEN(Tabulka1[[#This Row],[Adresa]])-LEN(Tabulka1[[#This Row],[Ulice]])-1)</f>
        <v>Cisovice</v>
      </c>
      <c r="H407" s="2" t="str">
        <f>_xlfn.CONCAT(LOWER(Tabulka1[[#This Row],[Příjmení bez mezer]]),".",LOWER(Tabulka1[[#This Row],[Jméno bez mezer]]),"@firmaabc.cz")</f>
        <v>lindner.ludek@firmaabc.cz</v>
      </c>
      <c r="I407" s="2" t="str">
        <f>_xlfn.CONCAT(LEFT(LOWER(Tabulka1[[#This Row],[Příjmení bez mezer]]),3),RIGHT(UPPER(Tabulka1[[#This Row],[Jméno bez mezer]]),2))</f>
        <v>linEK</v>
      </c>
    </row>
    <row r="408" spans="1:9">
      <c r="A408" s="2" t="s">
        <v>925</v>
      </c>
      <c r="B408" t="s">
        <v>926</v>
      </c>
      <c r="C408" t="s">
        <v>927</v>
      </c>
      <c r="D408" t="str">
        <f>TRIM(Tabulka1[[#This Row],[Jméno]])</f>
        <v>Barbora</v>
      </c>
      <c r="E408" t="str">
        <f>TRIM(Tabulka1[[#This Row],[Příjmení]])</f>
        <v>Sejkorova</v>
      </c>
      <c r="F408" s="2" t="str">
        <f>MID(Tabulka1[[#This Row],[Adresa]],1,SEARCH(",",Tabulka1[[#This Row],[Adresa]])-1)</f>
        <v>Školní 783</v>
      </c>
      <c r="G408" s="2" t="str">
        <f>RIGHT(Tabulka1[[#This Row],[Adresa]],LEN(Tabulka1[[#This Row],[Adresa]])-LEN(Tabulka1[[#This Row],[Ulice]])-1)</f>
        <v>Klatovy 1</v>
      </c>
      <c r="H408" s="2" t="str">
        <f>_xlfn.CONCAT(LOWER(Tabulka1[[#This Row],[Příjmení bez mezer]]),".",LOWER(Tabulka1[[#This Row],[Jméno bez mezer]]),"@firmaabc.cz")</f>
        <v>sejkorova.barbora@firmaabc.cz</v>
      </c>
      <c r="I408" s="2" t="str">
        <f>_xlfn.CONCAT(LEFT(LOWER(Tabulka1[[#This Row],[Příjmení bez mezer]]),3),RIGHT(UPPER(Tabulka1[[#This Row],[Jméno bez mezer]]),2))</f>
        <v>sejRA</v>
      </c>
    </row>
    <row r="409" spans="1:9" ht="30">
      <c r="A409" s="2" t="s">
        <v>928</v>
      </c>
      <c r="B409" t="s">
        <v>289</v>
      </c>
      <c r="C409" t="s">
        <v>929</v>
      </c>
      <c r="D409" t="str">
        <f>TRIM(Tabulka1[[#This Row],[Jméno]])</f>
        <v>Petr</v>
      </c>
      <c r="E409" t="str">
        <f>TRIM(Tabulka1[[#This Row],[Příjmení]])</f>
        <v>Maixner</v>
      </c>
      <c r="F409" s="2" t="str">
        <f>MID(Tabulka1[[#This Row],[Adresa]],1,SEARCH(",",Tabulka1[[#This Row],[Adresa]])-1)</f>
        <v>Partyzánská 1728</v>
      </c>
      <c r="G409" s="2" t="str">
        <f>RIGHT(Tabulka1[[#This Row],[Adresa]],LEN(Tabulka1[[#This Row],[Adresa]])-LEN(Tabulka1[[#This Row],[Ulice]])-1)</f>
        <v>Chvalkovice v Cechách</v>
      </c>
      <c r="H409" s="2" t="str">
        <f>_xlfn.CONCAT(LOWER(Tabulka1[[#This Row],[Příjmení bez mezer]]),".",LOWER(Tabulka1[[#This Row],[Jméno bez mezer]]),"@firmaabc.cz")</f>
        <v>maixner.petr@firmaabc.cz</v>
      </c>
      <c r="I409" s="2" t="str">
        <f>_xlfn.CONCAT(LEFT(LOWER(Tabulka1[[#This Row],[Příjmení bez mezer]]),3),RIGHT(UPPER(Tabulka1[[#This Row],[Jméno bez mezer]]),2))</f>
        <v>maiTR</v>
      </c>
    </row>
    <row r="410" spans="1:9">
      <c r="A410" s="2" t="s">
        <v>930</v>
      </c>
      <c r="B410" t="s">
        <v>313</v>
      </c>
      <c r="C410" t="s">
        <v>931</v>
      </c>
      <c r="D410" t="str">
        <f>TRIM(Tabulka1[[#This Row],[Jméno]])</f>
        <v>Lucie</v>
      </c>
      <c r="E410" t="str">
        <f>TRIM(Tabulka1[[#This Row],[Příjmení]])</f>
        <v>Klirova</v>
      </c>
      <c r="F410" s="2" t="str">
        <f>MID(Tabulka1[[#This Row],[Adresa]],1,SEARCH(",",Tabulka1[[#This Row],[Adresa]])-1)</f>
        <v>Jičín 209</v>
      </c>
      <c r="G410" s="2" t="str">
        <f>RIGHT(Tabulka1[[#This Row],[Adresa]],LEN(Tabulka1[[#This Row],[Adresa]])-LEN(Tabulka1[[#This Row],[Ulice]])-1)</f>
        <v>Jicín 1</v>
      </c>
      <c r="H410" s="2" t="str">
        <f>_xlfn.CONCAT(LOWER(Tabulka1[[#This Row],[Příjmení bez mezer]]),".",LOWER(Tabulka1[[#This Row],[Jméno bez mezer]]),"@firmaabc.cz")</f>
        <v>klirova.lucie@firmaabc.cz</v>
      </c>
      <c r="I410" s="2" t="str">
        <f>_xlfn.CONCAT(LEFT(LOWER(Tabulka1[[#This Row],[Příjmení bez mezer]]),3),RIGHT(UPPER(Tabulka1[[#This Row],[Jméno bez mezer]]),2))</f>
        <v>kliIE</v>
      </c>
    </row>
    <row r="411" spans="1:9">
      <c r="A411" s="2" t="s">
        <v>932</v>
      </c>
      <c r="B411" t="s">
        <v>115</v>
      </c>
      <c r="C411" t="s">
        <v>933</v>
      </c>
      <c r="D411" t="str">
        <f>TRIM(Tabulka1[[#This Row],[Jméno]])</f>
        <v>Jiri</v>
      </c>
      <c r="E411" t="str">
        <f>TRIM(Tabulka1[[#This Row],[Příjmení]])</f>
        <v>Sestak</v>
      </c>
      <c r="F411" s="2" t="str">
        <f>MID(Tabulka1[[#This Row],[Adresa]],1,SEARCH(",",Tabulka1[[#This Row],[Adresa]])-1)</f>
        <v>Absolonova 857</v>
      </c>
      <c r="G411" s="2" t="str">
        <f>RIGHT(Tabulka1[[#This Row],[Adresa]],LEN(Tabulka1[[#This Row],[Adresa]])-LEN(Tabulka1[[#This Row],[Ulice]])-1)</f>
        <v>Mohelno</v>
      </c>
      <c r="H411" s="2" t="str">
        <f>_xlfn.CONCAT(LOWER(Tabulka1[[#This Row],[Příjmení bez mezer]]),".",LOWER(Tabulka1[[#This Row],[Jméno bez mezer]]),"@firmaabc.cz")</f>
        <v>sestak.jiri@firmaabc.cz</v>
      </c>
      <c r="I411" s="2" t="str">
        <f>_xlfn.CONCAT(LEFT(LOWER(Tabulka1[[#This Row],[Příjmení bez mezer]]),3),RIGHT(UPPER(Tabulka1[[#This Row],[Jméno bez mezer]]),2))</f>
        <v>sesRI</v>
      </c>
    </row>
    <row r="412" spans="1:9">
      <c r="A412" s="2" t="s">
        <v>934</v>
      </c>
      <c r="B412" t="s">
        <v>270</v>
      </c>
      <c r="C412" t="s">
        <v>935</v>
      </c>
      <c r="D412" t="str">
        <f>TRIM(Tabulka1[[#This Row],[Jméno]])</f>
        <v>Anna</v>
      </c>
      <c r="E412" t="str">
        <f>TRIM(Tabulka1[[#This Row],[Příjmení]])</f>
        <v>Blazkova</v>
      </c>
      <c r="F412" s="2" t="str">
        <f>MID(Tabulka1[[#This Row],[Adresa]],1,SEARCH(",",Tabulka1[[#This Row],[Adresa]])-1)</f>
        <v>Na Kopečku 804</v>
      </c>
      <c r="G412" s="2" t="str">
        <f>RIGHT(Tabulka1[[#This Row],[Adresa]],LEN(Tabulka1[[#This Row],[Adresa]])-LEN(Tabulka1[[#This Row],[Ulice]])-1)</f>
        <v>Všestary</v>
      </c>
      <c r="H412" s="2" t="str">
        <f>_xlfn.CONCAT(LOWER(Tabulka1[[#This Row],[Příjmení bez mezer]]),".",LOWER(Tabulka1[[#This Row],[Jméno bez mezer]]),"@firmaabc.cz")</f>
        <v>blazkova.anna@firmaabc.cz</v>
      </c>
      <c r="I412" s="2" t="str">
        <f>_xlfn.CONCAT(LEFT(LOWER(Tabulka1[[#This Row],[Příjmení bez mezer]]),3),RIGHT(UPPER(Tabulka1[[#This Row],[Jméno bez mezer]]),2))</f>
        <v>blaNA</v>
      </c>
    </row>
    <row r="413" spans="1:9">
      <c r="A413" s="2" t="s">
        <v>936</v>
      </c>
      <c r="B413" t="s">
        <v>255</v>
      </c>
      <c r="C413" t="s">
        <v>937</v>
      </c>
      <c r="D413" t="str">
        <f>TRIM(Tabulka1[[#This Row],[Jméno]])</f>
        <v>Eva</v>
      </c>
      <c r="E413" t="str">
        <f>TRIM(Tabulka1[[#This Row],[Příjmení]])</f>
        <v>Hanzlikova</v>
      </c>
      <c r="F413" s="2" t="str">
        <f>MID(Tabulka1[[#This Row],[Adresa]],1,SEARCH(",",Tabulka1[[#This Row],[Adresa]])-1)</f>
        <v>Tylova 1826</v>
      </c>
      <c r="G413" s="2" t="str">
        <f>RIGHT(Tabulka1[[#This Row],[Adresa]],LEN(Tabulka1[[#This Row],[Adresa]])-LEN(Tabulka1[[#This Row],[Ulice]])-1)</f>
        <v>Jevícko</v>
      </c>
      <c r="H413" s="2" t="str">
        <f>_xlfn.CONCAT(LOWER(Tabulka1[[#This Row],[Příjmení bez mezer]]),".",LOWER(Tabulka1[[#This Row],[Jméno bez mezer]]),"@firmaabc.cz")</f>
        <v>hanzlikova.eva@firmaabc.cz</v>
      </c>
      <c r="I413" s="2" t="str">
        <f>_xlfn.CONCAT(LEFT(LOWER(Tabulka1[[#This Row],[Příjmení bez mezer]]),3),RIGHT(UPPER(Tabulka1[[#This Row],[Jméno bez mezer]]),2))</f>
        <v>hanVA</v>
      </c>
    </row>
    <row r="414" spans="1:9" ht="30">
      <c r="A414" s="2" t="s">
        <v>938</v>
      </c>
      <c r="B414" t="s">
        <v>939</v>
      </c>
      <c r="C414" t="s">
        <v>940</v>
      </c>
      <c r="D414" t="str">
        <f>TRIM(Tabulka1[[#This Row],[Jméno]])</f>
        <v>Stella</v>
      </c>
      <c r="E414" t="str">
        <f>TRIM(Tabulka1[[#This Row],[Příjmení]])</f>
        <v>Sadilkova</v>
      </c>
      <c r="F414" s="2" t="str">
        <f>MID(Tabulka1[[#This Row],[Adresa]],1,SEARCH(",",Tabulka1[[#This Row],[Adresa]])-1)</f>
        <v>Jana Šťastného 812</v>
      </c>
      <c r="G414" s="2" t="str">
        <f>RIGHT(Tabulka1[[#This Row],[Adresa]],LEN(Tabulka1[[#This Row],[Adresa]])-LEN(Tabulka1[[#This Row],[Ulice]])-1)</f>
        <v>Slapy nad Vltavou</v>
      </c>
      <c r="H414" s="2" t="str">
        <f>_xlfn.CONCAT(LOWER(Tabulka1[[#This Row],[Příjmení bez mezer]]),".",LOWER(Tabulka1[[#This Row],[Jméno bez mezer]]),"@firmaabc.cz")</f>
        <v>sadilkova.stella@firmaabc.cz</v>
      </c>
      <c r="I414" s="2" t="str">
        <f>_xlfn.CONCAT(LEFT(LOWER(Tabulka1[[#This Row],[Příjmení bez mezer]]),3),RIGHT(UPPER(Tabulka1[[#This Row],[Jméno bez mezer]]),2))</f>
        <v>sadLA</v>
      </c>
    </row>
    <row r="415" spans="1:9" ht="30">
      <c r="A415" s="2" t="s">
        <v>941</v>
      </c>
      <c r="B415" t="s">
        <v>322</v>
      </c>
      <c r="C415" t="s">
        <v>879</v>
      </c>
      <c r="D415" t="str">
        <f>TRIM(Tabulka1[[#This Row],[Jméno]])</f>
        <v>Helena</v>
      </c>
      <c r="E415" t="str">
        <f>TRIM(Tabulka1[[#This Row],[Příjmení]])</f>
        <v>Duskova</v>
      </c>
      <c r="F415" s="2" t="str">
        <f>MID(Tabulka1[[#This Row],[Adresa]],1,SEARCH(",",Tabulka1[[#This Row],[Adresa]])-1)</f>
        <v>Žižkova 810</v>
      </c>
      <c r="G415" s="2" t="str">
        <f>RIGHT(Tabulka1[[#This Row],[Adresa]],LEN(Tabulka1[[#This Row],[Adresa]])-LEN(Tabulka1[[#This Row],[Ulice]])-1)</f>
        <v>Nemcice nad Hanou</v>
      </c>
      <c r="H415" s="2" t="str">
        <f>_xlfn.CONCAT(LOWER(Tabulka1[[#This Row],[Příjmení bez mezer]]),".",LOWER(Tabulka1[[#This Row],[Jméno bez mezer]]),"@firmaabc.cz")</f>
        <v>duskova.helena@firmaabc.cz</v>
      </c>
      <c r="I415" s="2" t="str">
        <f>_xlfn.CONCAT(LEFT(LOWER(Tabulka1[[#This Row],[Příjmení bez mezer]]),3),RIGHT(UPPER(Tabulka1[[#This Row],[Jméno bez mezer]]),2))</f>
        <v>dusNA</v>
      </c>
    </row>
    <row r="416" spans="1:9">
      <c r="A416" s="2" t="s">
        <v>942</v>
      </c>
      <c r="B416" t="s">
        <v>943</v>
      </c>
      <c r="C416" t="s">
        <v>944</v>
      </c>
      <c r="D416" t="str">
        <f>TRIM(Tabulka1[[#This Row],[Jméno]])</f>
        <v>Aneta</v>
      </c>
      <c r="E416" t="str">
        <f>TRIM(Tabulka1[[#This Row],[Příjmení]])</f>
        <v>Simanova</v>
      </c>
      <c r="F416" s="2" t="str">
        <f>MID(Tabulka1[[#This Row],[Adresa]],1,SEARCH(",",Tabulka1[[#This Row],[Adresa]])-1)</f>
        <v>Americká 1821</v>
      </c>
      <c r="G416" s="2" t="str">
        <f>RIGHT(Tabulka1[[#This Row],[Adresa]],LEN(Tabulka1[[#This Row],[Adresa]])-LEN(Tabulka1[[#This Row],[Ulice]])-1)</f>
        <v>Kolinec</v>
      </c>
      <c r="H416" s="2" t="str">
        <f>_xlfn.CONCAT(LOWER(Tabulka1[[#This Row],[Příjmení bez mezer]]),".",LOWER(Tabulka1[[#This Row],[Jméno bez mezer]]),"@firmaabc.cz")</f>
        <v>simanova.aneta@firmaabc.cz</v>
      </c>
      <c r="I416" s="2" t="str">
        <f>_xlfn.CONCAT(LEFT(LOWER(Tabulka1[[#This Row],[Příjmení bez mezer]]),3),RIGHT(UPPER(Tabulka1[[#This Row],[Jméno bez mezer]]),2))</f>
        <v>simTA</v>
      </c>
    </row>
    <row r="417" spans="1:9" ht="30">
      <c r="A417" s="2" t="s">
        <v>945</v>
      </c>
      <c r="B417" t="s">
        <v>265</v>
      </c>
      <c r="C417" t="s">
        <v>113</v>
      </c>
      <c r="D417" t="str">
        <f>TRIM(Tabulka1[[#This Row],[Jméno]])</f>
        <v>Robert</v>
      </c>
      <c r="E417" t="str">
        <f>TRIM(Tabulka1[[#This Row],[Příjmení]])</f>
        <v>Sedlak</v>
      </c>
      <c r="F417" s="2" t="str">
        <f>MID(Tabulka1[[#This Row],[Adresa]],1,SEARCH(",",Tabulka1[[#This Row],[Adresa]])-1)</f>
        <v>Školní 305</v>
      </c>
      <c r="G417" s="2" t="str">
        <f>RIGHT(Tabulka1[[#This Row],[Adresa]],LEN(Tabulka1[[#This Row],[Adresa]])-LEN(Tabulka1[[#This Row],[Ulice]])-1)</f>
        <v>Benešov nad Cernou</v>
      </c>
      <c r="H417" s="2" t="str">
        <f>_xlfn.CONCAT(LOWER(Tabulka1[[#This Row],[Příjmení bez mezer]]),".",LOWER(Tabulka1[[#This Row],[Jméno bez mezer]]),"@firmaabc.cz")</f>
        <v>sedlak.robert@firmaabc.cz</v>
      </c>
      <c r="I417" s="2" t="str">
        <f>_xlfn.CONCAT(LEFT(LOWER(Tabulka1[[#This Row],[Příjmení bez mezer]]),3),RIGHT(UPPER(Tabulka1[[#This Row],[Jméno bez mezer]]),2))</f>
        <v>sedRT</v>
      </c>
    </row>
    <row r="418" spans="1:9">
      <c r="A418" s="2" t="s">
        <v>946</v>
      </c>
      <c r="B418" t="s">
        <v>84</v>
      </c>
      <c r="C418" t="s">
        <v>947</v>
      </c>
      <c r="D418" t="str">
        <f>TRIM(Tabulka1[[#This Row],[Jméno]])</f>
        <v>Katerina</v>
      </c>
      <c r="E418" t="str">
        <f>TRIM(Tabulka1[[#This Row],[Příjmení]])</f>
        <v>Kalivodova</v>
      </c>
      <c r="F418" s="2" t="str">
        <f>MID(Tabulka1[[#This Row],[Adresa]],1,SEARCH(",",Tabulka1[[#This Row],[Adresa]])-1)</f>
        <v>Hřbitovní 1782</v>
      </c>
      <c r="G418" s="2" t="str">
        <f>RIGHT(Tabulka1[[#This Row],[Adresa]],LEN(Tabulka1[[#This Row],[Adresa]])-LEN(Tabulka1[[#This Row],[Ulice]])-1)</f>
        <v>Slavicín</v>
      </c>
      <c r="H418" s="2" t="str">
        <f>_xlfn.CONCAT(LOWER(Tabulka1[[#This Row],[Příjmení bez mezer]]),".",LOWER(Tabulka1[[#This Row],[Jméno bez mezer]]),"@firmaabc.cz")</f>
        <v>kalivodova.katerina@firmaabc.cz</v>
      </c>
      <c r="I418" s="2" t="str">
        <f>_xlfn.CONCAT(LEFT(LOWER(Tabulka1[[#This Row],[Příjmení bez mezer]]),3),RIGHT(UPPER(Tabulka1[[#This Row],[Jméno bez mezer]]),2))</f>
        <v>kalNA</v>
      </c>
    </row>
    <row r="419" spans="1:9">
      <c r="A419" s="2" t="s">
        <v>948</v>
      </c>
      <c r="B419" t="s">
        <v>949</v>
      </c>
      <c r="C419" t="s">
        <v>950</v>
      </c>
      <c r="D419" t="str">
        <f>TRIM(Tabulka1[[#This Row],[Jméno]])</f>
        <v>Emilie</v>
      </c>
      <c r="E419" t="str">
        <f>TRIM(Tabulka1[[#This Row],[Příjmení]])</f>
        <v>Rihackova</v>
      </c>
      <c r="F419" s="2" t="str">
        <f>MID(Tabulka1[[#This Row],[Adresa]],1,SEARCH(",",Tabulka1[[#This Row],[Adresa]])-1)</f>
        <v>Dělnická 259</v>
      </c>
      <c r="G419" s="2" t="str">
        <f>RIGHT(Tabulka1[[#This Row],[Adresa]],LEN(Tabulka1[[#This Row],[Adresa]])-LEN(Tabulka1[[#This Row],[Ulice]])-1)</f>
        <v>Potštát</v>
      </c>
      <c r="H419" s="2" t="str">
        <f>_xlfn.CONCAT(LOWER(Tabulka1[[#This Row],[Příjmení bez mezer]]),".",LOWER(Tabulka1[[#This Row],[Jméno bez mezer]]),"@firmaabc.cz")</f>
        <v>rihackova.emilie@firmaabc.cz</v>
      </c>
      <c r="I419" s="2" t="str">
        <f>_xlfn.CONCAT(LEFT(LOWER(Tabulka1[[#This Row],[Příjmení bez mezer]]),3),RIGHT(UPPER(Tabulka1[[#This Row],[Jméno bez mezer]]),2))</f>
        <v>rihIE</v>
      </c>
    </row>
    <row r="420" spans="1:9">
      <c r="A420" s="2" t="s">
        <v>951</v>
      </c>
      <c r="B420" t="s">
        <v>137</v>
      </c>
      <c r="C420" t="s">
        <v>952</v>
      </c>
      <c r="D420" t="str">
        <f>TRIM(Tabulka1[[#This Row],[Jméno]])</f>
        <v>Ondrej</v>
      </c>
      <c r="E420" t="str">
        <f>TRIM(Tabulka1[[#This Row],[Příjmení]])</f>
        <v>Sedivy</v>
      </c>
      <c r="F420" s="2" t="str">
        <f>MID(Tabulka1[[#This Row],[Adresa]],1,SEARCH(",",Tabulka1[[#This Row],[Adresa]])-1)</f>
        <v>Družstevní 1145</v>
      </c>
      <c r="G420" s="2" t="str">
        <f>RIGHT(Tabulka1[[#This Row],[Adresa]],LEN(Tabulka1[[#This Row],[Adresa]])-LEN(Tabulka1[[#This Row],[Ulice]])-1)</f>
        <v>Oleksovice</v>
      </c>
      <c r="H420" s="2" t="str">
        <f>_xlfn.CONCAT(LOWER(Tabulka1[[#This Row],[Příjmení bez mezer]]),".",LOWER(Tabulka1[[#This Row],[Jméno bez mezer]]),"@firmaabc.cz")</f>
        <v>sedivy.ondrej@firmaabc.cz</v>
      </c>
      <c r="I420" s="2" t="str">
        <f>_xlfn.CONCAT(LEFT(LOWER(Tabulka1[[#This Row],[Příjmení bez mezer]]),3),RIGHT(UPPER(Tabulka1[[#This Row],[Jméno bez mezer]]),2))</f>
        <v>sedEJ</v>
      </c>
    </row>
    <row r="421" spans="1:9">
      <c r="A421" s="2" t="s">
        <v>953</v>
      </c>
      <c r="B421" t="s">
        <v>255</v>
      </c>
      <c r="C421" t="s">
        <v>954</v>
      </c>
      <c r="D421" t="str">
        <f>TRIM(Tabulka1[[#This Row],[Jméno]])</f>
        <v>Eva</v>
      </c>
      <c r="E421" t="str">
        <f>TRIM(Tabulka1[[#This Row],[Příjmení]])</f>
        <v>Mikulenkova</v>
      </c>
      <c r="F421" s="2" t="str">
        <f>MID(Tabulka1[[#This Row],[Adresa]],1,SEARCH(",",Tabulka1[[#This Row],[Adresa]])-1)</f>
        <v>Vrchlického 410</v>
      </c>
      <c r="G421" s="2" t="str">
        <f>RIGHT(Tabulka1[[#This Row],[Adresa]],LEN(Tabulka1[[#This Row],[Adresa]])-LEN(Tabulka1[[#This Row],[Ulice]])-1)</f>
        <v>Tišnov 1</v>
      </c>
      <c r="H421" s="2" t="str">
        <f>_xlfn.CONCAT(LOWER(Tabulka1[[#This Row],[Příjmení bez mezer]]),".",LOWER(Tabulka1[[#This Row],[Jméno bez mezer]]),"@firmaabc.cz")</f>
        <v>mikulenkova.eva@firmaabc.cz</v>
      </c>
      <c r="I421" s="2" t="str">
        <f>_xlfn.CONCAT(LEFT(LOWER(Tabulka1[[#This Row],[Příjmení bez mezer]]),3),RIGHT(UPPER(Tabulka1[[#This Row],[Jméno bez mezer]]),2))</f>
        <v>mikVA</v>
      </c>
    </row>
    <row r="422" spans="1:9">
      <c r="A422" s="2" t="s">
        <v>955</v>
      </c>
      <c r="B422" t="s">
        <v>47</v>
      </c>
      <c r="C422" t="s">
        <v>956</v>
      </c>
      <c r="D422" t="str">
        <f>TRIM(Tabulka1[[#This Row],[Jméno]])</f>
        <v>Tomas</v>
      </c>
      <c r="E422" t="str">
        <f>TRIM(Tabulka1[[#This Row],[Příjmení]])</f>
        <v>Macoun</v>
      </c>
      <c r="F422" s="2" t="str">
        <f>MID(Tabulka1[[#This Row],[Adresa]],1,SEARCH(",",Tabulka1[[#This Row],[Adresa]])-1)</f>
        <v>Polní 267</v>
      </c>
      <c r="G422" s="2" t="str">
        <f>RIGHT(Tabulka1[[#This Row],[Adresa]],LEN(Tabulka1[[#This Row],[Adresa]])-LEN(Tabulka1[[#This Row],[Ulice]])-1)</f>
        <v>Nýrany</v>
      </c>
      <c r="H422" s="2" t="str">
        <f>_xlfn.CONCAT(LOWER(Tabulka1[[#This Row],[Příjmení bez mezer]]),".",LOWER(Tabulka1[[#This Row],[Jméno bez mezer]]),"@firmaabc.cz")</f>
        <v>macoun.tomas@firmaabc.cz</v>
      </c>
      <c r="I422" s="2" t="str">
        <f>_xlfn.CONCAT(LEFT(LOWER(Tabulka1[[#This Row],[Příjmení bez mezer]]),3),RIGHT(UPPER(Tabulka1[[#This Row],[Jméno bez mezer]]),2))</f>
        <v>macAS</v>
      </c>
    </row>
    <row r="423" spans="1:9" ht="30">
      <c r="A423" s="2" t="s">
        <v>957</v>
      </c>
      <c r="B423" t="s">
        <v>180</v>
      </c>
      <c r="C423" t="s">
        <v>958</v>
      </c>
      <c r="D423" t="str">
        <f>TRIM(Tabulka1[[#This Row],[Jméno]])</f>
        <v>Jaroslav</v>
      </c>
      <c r="E423" t="str">
        <f>TRIM(Tabulka1[[#This Row],[Příjmení]])</f>
        <v>Husar</v>
      </c>
      <c r="F423" s="2" t="str">
        <f>MID(Tabulka1[[#This Row],[Adresa]],1,SEARCH(",",Tabulka1[[#This Row],[Adresa]])-1)</f>
        <v>Nezvalova 614</v>
      </c>
      <c r="G423" s="2" t="str">
        <f>RIGHT(Tabulka1[[#This Row],[Adresa]],LEN(Tabulka1[[#This Row],[Adresa]])-LEN(Tabulka1[[#This Row],[Ulice]])-1)</f>
        <v>Benešov u Prahy</v>
      </c>
      <c r="H423" s="2" t="str">
        <f>_xlfn.CONCAT(LOWER(Tabulka1[[#This Row],[Příjmení bez mezer]]),".",LOWER(Tabulka1[[#This Row],[Jméno bez mezer]]),"@firmaabc.cz")</f>
        <v>husar.jaroslav@firmaabc.cz</v>
      </c>
      <c r="I423" s="2" t="str">
        <f>_xlfn.CONCAT(LEFT(LOWER(Tabulka1[[#This Row],[Příjmení bez mezer]]),3),RIGHT(UPPER(Tabulka1[[#This Row],[Jméno bez mezer]]),2))</f>
        <v>husAV</v>
      </c>
    </row>
    <row r="424" spans="1:9">
      <c r="A424" s="2" t="s">
        <v>959</v>
      </c>
      <c r="B424" t="s">
        <v>508</v>
      </c>
      <c r="C424" t="s">
        <v>960</v>
      </c>
      <c r="D424" t="str">
        <f>TRIM(Tabulka1[[#This Row],[Jméno]])</f>
        <v>Ivan</v>
      </c>
      <c r="E424" t="str">
        <f>TRIM(Tabulka1[[#This Row],[Příjmení]])</f>
        <v>Havel</v>
      </c>
      <c r="F424" s="2" t="str">
        <f>MID(Tabulka1[[#This Row],[Adresa]],1,SEARCH(",",Tabulka1[[#This Row],[Adresa]])-1)</f>
        <v>Stožická 57</v>
      </c>
      <c r="G424" s="2" t="str">
        <f>RIGHT(Tabulka1[[#This Row],[Adresa]],LEN(Tabulka1[[#This Row],[Adresa]])-LEN(Tabulka1[[#This Row],[Ulice]])-1)</f>
        <v>Vodnany</v>
      </c>
      <c r="H424" s="2" t="str">
        <f>_xlfn.CONCAT(LOWER(Tabulka1[[#This Row],[Příjmení bez mezer]]),".",LOWER(Tabulka1[[#This Row],[Jméno bez mezer]]),"@firmaabc.cz")</f>
        <v>havel.ivan@firmaabc.cz</v>
      </c>
      <c r="I424" s="2" t="str">
        <f>_xlfn.CONCAT(LEFT(LOWER(Tabulka1[[#This Row],[Příjmení bez mezer]]),3),RIGHT(UPPER(Tabulka1[[#This Row],[Jméno bez mezer]]),2))</f>
        <v>havAN</v>
      </c>
    </row>
    <row r="425" spans="1:9" ht="30">
      <c r="A425" s="2" t="s">
        <v>961</v>
      </c>
      <c r="B425" t="s">
        <v>962</v>
      </c>
      <c r="C425" t="s">
        <v>963</v>
      </c>
      <c r="D425" t="str">
        <f>TRIM(Tabulka1[[#This Row],[Jméno]])</f>
        <v>Simona</v>
      </c>
      <c r="E425" t="str">
        <f>TRIM(Tabulka1[[#This Row],[Příjmení]])</f>
        <v>Vykopalova</v>
      </c>
      <c r="F425" s="2" t="str">
        <f>MID(Tabulka1[[#This Row],[Adresa]],1,SEARCH(",",Tabulka1[[#This Row],[Adresa]])-1)</f>
        <v>Sokolovská 1459</v>
      </c>
      <c r="G425" s="2" t="str">
        <f>RIGHT(Tabulka1[[#This Row],[Adresa]],LEN(Tabulka1[[#This Row],[Adresa]])-LEN(Tabulka1[[#This Row],[Ulice]])-1)</f>
        <v>Lomnice u Rýmarova</v>
      </c>
      <c r="H425" s="2" t="str">
        <f>_xlfn.CONCAT(LOWER(Tabulka1[[#This Row],[Příjmení bez mezer]]),".",LOWER(Tabulka1[[#This Row],[Jméno bez mezer]]),"@firmaabc.cz")</f>
        <v>vykopalova.simona@firmaabc.cz</v>
      </c>
      <c r="I425" s="2" t="str">
        <f>_xlfn.CONCAT(LEFT(LOWER(Tabulka1[[#This Row],[Příjmení bez mezer]]),3),RIGHT(UPPER(Tabulka1[[#This Row],[Jméno bez mezer]]),2))</f>
        <v>vykNA</v>
      </c>
    </row>
    <row r="426" spans="1:9">
      <c r="A426" s="2" t="s">
        <v>964</v>
      </c>
      <c r="B426" t="s">
        <v>137</v>
      </c>
      <c r="C426" t="s">
        <v>965</v>
      </c>
      <c r="D426" t="str">
        <f>TRIM(Tabulka1[[#This Row],[Jméno]])</f>
        <v>Ondrej</v>
      </c>
      <c r="E426" t="str">
        <f>TRIM(Tabulka1[[#This Row],[Příjmení]])</f>
        <v>Pospisil</v>
      </c>
      <c r="F426" s="2" t="str">
        <f>MID(Tabulka1[[#This Row],[Adresa]],1,SEARCH(",",Tabulka1[[#This Row],[Adresa]])-1)</f>
        <v>Bartákova 257</v>
      </c>
      <c r="G426" s="2" t="str">
        <f>RIGHT(Tabulka1[[#This Row],[Adresa]],LEN(Tabulka1[[#This Row],[Adresa]])-LEN(Tabulka1[[#This Row],[Ulice]])-1)</f>
        <v>Plumlov</v>
      </c>
      <c r="H426" s="2" t="str">
        <f>_xlfn.CONCAT(LOWER(Tabulka1[[#This Row],[Příjmení bez mezer]]),".",LOWER(Tabulka1[[#This Row],[Jméno bez mezer]]),"@firmaabc.cz")</f>
        <v>pospisil.ondrej@firmaabc.cz</v>
      </c>
      <c r="I426" s="2" t="str">
        <f>_xlfn.CONCAT(LEFT(LOWER(Tabulka1[[#This Row],[Příjmení bez mezer]]),3),RIGHT(UPPER(Tabulka1[[#This Row],[Jméno bez mezer]]),2))</f>
        <v>posEJ</v>
      </c>
    </row>
    <row r="427" spans="1:9">
      <c r="A427" s="2" t="s">
        <v>966</v>
      </c>
      <c r="B427" t="s">
        <v>967</v>
      </c>
      <c r="C427" t="s">
        <v>968</v>
      </c>
      <c r="D427" t="str">
        <f>TRIM(Tabulka1[[#This Row],[Jméno]])</f>
        <v>Ales</v>
      </c>
      <c r="E427" t="str">
        <f>TRIM(Tabulka1[[#This Row],[Příjmení]])</f>
        <v>Mares</v>
      </c>
      <c r="F427" s="2" t="str">
        <f>MID(Tabulka1[[#This Row],[Adresa]],1,SEARCH(",",Tabulka1[[#This Row],[Adresa]])-1)</f>
        <v>Luční 970</v>
      </c>
      <c r="G427" s="2" t="str">
        <f>RIGHT(Tabulka1[[#This Row],[Adresa]],LEN(Tabulka1[[#This Row],[Adresa]])-LEN(Tabulka1[[#This Row],[Ulice]])-1)</f>
        <v>Vír</v>
      </c>
      <c r="H427" s="2" t="str">
        <f>_xlfn.CONCAT(LOWER(Tabulka1[[#This Row],[Příjmení bez mezer]]),".",LOWER(Tabulka1[[#This Row],[Jméno bez mezer]]),"@firmaabc.cz")</f>
        <v>mares.ales@firmaabc.cz</v>
      </c>
      <c r="I427" s="2" t="str">
        <f>_xlfn.CONCAT(LEFT(LOWER(Tabulka1[[#This Row],[Příjmení bez mezer]]),3),RIGHT(UPPER(Tabulka1[[#This Row],[Jméno bez mezer]]),2))</f>
        <v>marES</v>
      </c>
    </row>
    <row r="428" spans="1:9">
      <c r="A428" s="2" t="s">
        <v>969</v>
      </c>
      <c r="B428" t="s">
        <v>412</v>
      </c>
      <c r="C428" t="s">
        <v>970</v>
      </c>
      <c r="D428" t="str">
        <f>TRIM(Tabulka1[[#This Row],[Jméno]])</f>
        <v>Michaela</v>
      </c>
      <c r="E428" t="str">
        <f>TRIM(Tabulka1[[#This Row],[Příjmení]])</f>
        <v>Simonova</v>
      </c>
      <c r="F428" s="2" t="str">
        <f>MID(Tabulka1[[#This Row],[Adresa]],1,SEARCH(",",Tabulka1[[#This Row],[Adresa]])-1)</f>
        <v>Třebčická 548</v>
      </c>
      <c r="G428" s="2" t="str">
        <f>RIGHT(Tabulka1[[#This Row],[Adresa]],LEN(Tabulka1[[#This Row],[Adresa]])-LEN(Tabulka1[[#This Row],[Ulice]])-1)</f>
        <v>Preštice</v>
      </c>
      <c r="H428" s="2" t="str">
        <f>_xlfn.CONCAT(LOWER(Tabulka1[[#This Row],[Příjmení bez mezer]]),".",LOWER(Tabulka1[[#This Row],[Jméno bez mezer]]),"@firmaabc.cz")</f>
        <v>simonova.michaela@firmaabc.cz</v>
      </c>
      <c r="I428" s="2" t="str">
        <f>_xlfn.CONCAT(LEFT(LOWER(Tabulka1[[#This Row],[Příjmení bez mezer]]),3),RIGHT(UPPER(Tabulka1[[#This Row],[Jméno bez mezer]]),2))</f>
        <v>simLA</v>
      </c>
    </row>
    <row r="429" spans="1:9" ht="30">
      <c r="A429" s="2" t="s">
        <v>971</v>
      </c>
      <c r="B429" t="s">
        <v>115</v>
      </c>
      <c r="C429" t="s">
        <v>972</v>
      </c>
      <c r="D429" t="str">
        <f>TRIM(Tabulka1[[#This Row],[Jméno]])</f>
        <v>Jiri</v>
      </c>
      <c r="E429" t="str">
        <f>TRIM(Tabulka1[[#This Row],[Příjmení]])</f>
        <v>Horejsi</v>
      </c>
      <c r="F429" s="2" t="str">
        <f>MID(Tabulka1[[#This Row],[Adresa]],1,SEARCH(",",Tabulka1[[#This Row],[Adresa]])-1)</f>
        <v>Československé legií 1895</v>
      </c>
      <c r="G429" s="2" t="str">
        <f>RIGHT(Tabulka1[[#This Row],[Adresa]],LEN(Tabulka1[[#This Row],[Adresa]])-LEN(Tabulka1[[#This Row],[Ulice]])-1)</f>
        <v>Želatovice</v>
      </c>
      <c r="H429" s="2" t="str">
        <f>_xlfn.CONCAT(LOWER(Tabulka1[[#This Row],[Příjmení bez mezer]]),".",LOWER(Tabulka1[[#This Row],[Jméno bez mezer]]),"@firmaabc.cz")</f>
        <v>horejsi.jiri@firmaabc.cz</v>
      </c>
      <c r="I429" s="2" t="str">
        <f>_xlfn.CONCAT(LEFT(LOWER(Tabulka1[[#This Row],[Příjmení bez mezer]]),3),RIGHT(UPPER(Tabulka1[[#This Row],[Jméno bez mezer]]),2))</f>
        <v>horRI</v>
      </c>
    </row>
    <row r="430" spans="1:9">
      <c r="A430" s="2" t="s">
        <v>973</v>
      </c>
      <c r="B430" t="s">
        <v>974</v>
      </c>
      <c r="C430" t="s">
        <v>975</v>
      </c>
      <c r="D430" t="str">
        <f>TRIM(Tabulka1[[#This Row],[Jméno]])</f>
        <v>Libuse</v>
      </c>
      <c r="E430" t="str">
        <f>TRIM(Tabulka1[[#This Row],[Příjmení]])</f>
        <v>Hanusova</v>
      </c>
      <c r="F430" s="2" t="str">
        <f>MID(Tabulka1[[#This Row],[Adresa]],1,SEARCH(",",Tabulka1[[#This Row],[Adresa]])-1)</f>
        <v>Vostelčická 1873</v>
      </c>
      <c r="G430" s="2" t="str">
        <f>RIGHT(Tabulka1[[#This Row],[Adresa]],LEN(Tabulka1[[#This Row],[Adresa]])-LEN(Tabulka1[[#This Row],[Ulice]])-1)</f>
        <v>Svitavy 2</v>
      </c>
      <c r="H430" s="2" t="str">
        <f>_xlfn.CONCAT(LOWER(Tabulka1[[#This Row],[Příjmení bez mezer]]),".",LOWER(Tabulka1[[#This Row],[Jméno bez mezer]]),"@firmaabc.cz")</f>
        <v>hanusova.libuse@firmaabc.cz</v>
      </c>
      <c r="I430" s="2" t="str">
        <f>_xlfn.CONCAT(LEFT(LOWER(Tabulka1[[#This Row],[Příjmení bez mezer]]),3),RIGHT(UPPER(Tabulka1[[#This Row],[Jméno bez mezer]]),2))</f>
        <v>hanSE</v>
      </c>
    </row>
    <row r="431" spans="1:9">
      <c r="A431" s="2" t="s">
        <v>976</v>
      </c>
      <c r="B431" t="s">
        <v>72</v>
      </c>
      <c r="C431" t="s">
        <v>977</v>
      </c>
      <c r="D431" t="str">
        <f>TRIM(Tabulka1[[#This Row],[Jméno]])</f>
        <v>Jakub</v>
      </c>
      <c r="E431" t="str">
        <f>TRIM(Tabulka1[[#This Row],[Příjmení]])</f>
        <v>Hendrych</v>
      </c>
      <c r="F431" s="2" t="str">
        <f>MID(Tabulka1[[#This Row],[Adresa]],1,SEARCH(",",Tabulka1[[#This Row],[Adresa]])-1)</f>
        <v>Bavorovská 543</v>
      </c>
      <c r="G431" s="2" t="str">
        <f>RIGHT(Tabulka1[[#This Row],[Adresa]],LEN(Tabulka1[[#This Row],[Adresa]])-LEN(Tabulka1[[#This Row],[Ulice]])-1)</f>
        <v>Ckyne</v>
      </c>
      <c r="H431" s="2" t="str">
        <f>_xlfn.CONCAT(LOWER(Tabulka1[[#This Row],[Příjmení bez mezer]]),".",LOWER(Tabulka1[[#This Row],[Jméno bez mezer]]),"@firmaabc.cz")</f>
        <v>hendrych.jakub@firmaabc.cz</v>
      </c>
      <c r="I431" s="2" t="str">
        <f>_xlfn.CONCAT(LEFT(LOWER(Tabulka1[[#This Row],[Příjmení bez mezer]]),3),RIGHT(UPPER(Tabulka1[[#This Row],[Jméno bez mezer]]),2))</f>
        <v>henUB</v>
      </c>
    </row>
    <row r="432" spans="1:9">
      <c r="A432" s="2" t="s">
        <v>978</v>
      </c>
      <c r="B432" t="s">
        <v>26</v>
      </c>
      <c r="C432" t="s">
        <v>979</v>
      </c>
      <c r="D432" t="str">
        <f>TRIM(Tabulka1[[#This Row],[Jméno]])</f>
        <v>Jan</v>
      </c>
      <c r="E432" t="str">
        <f>TRIM(Tabulka1[[#This Row],[Příjmení]])</f>
        <v>Nosek</v>
      </c>
      <c r="F432" s="2" t="str">
        <f>MID(Tabulka1[[#This Row],[Adresa]],1,SEARCH(",",Tabulka1[[#This Row],[Adresa]])-1)</f>
        <v>Spojovací 1527</v>
      </c>
      <c r="G432" s="2" t="str">
        <f>RIGHT(Tabulka1[[#This Row],[Adresa]],LEN(Tabulka1[[#This Row],[Adresa]])-LEN(Tabulka1[[#This Row],[Ulice]])-1)</f>
        <v>Okríšky</v>
      </c>
      <c r="H432" s="2" t="str">
        <f>_xlfn.CONCAT(LOWER(Tabulka1[[#This Row],[Příjmení bez mezer]]),".",LOWER(Tabulka1[[#This Row],[Jméno bez mezer]]),"@firmaabc.cz")</f>
        <v>nosek.jan@firmaabc.cz</v>
      </c>
      <c r="I432" s="2" t="str">
        <f>_xlfn.CONCAT(LEFT(LOWER(Tabulka1[[#This Row],[Příjmení bez mezer]]),3),RIGHT(UPPER(Tabulka1[[#This Row],[Jméno bez mezer]]),2))</f>
        <v>nosAN</v>
      </c>
    </row>
    <row r="433" spans="1:9" ht="30">
      <c r="A433" s="2" t="s">
        <v>980</v>
      </c>
      <c r="B433" t="s">
        <v>81</v>
      </c>
      <c r="C433" t="s">
        <v>981</v>
      </c>
      <c r="D433" t="str">
        <f>TRIM(Tabulka1[[#This Row],[Jméno]])</f>
        <v>Miroslav</v>
      </c>
      <c r="E433" t="str">
        <f>TRIM(Tabulka1[[#This Row],[Příjmení]])</f>
        <v>Petera</v>
      </c>
      <c r="F433" s="2" t="str">
        <f>MID(Tabulka1[[#This Row],[Adresa]],1,SEARCH(",",Tabulka1[[#This Row],[Adresa]])-1)</f>
        <v>Štefanikova 380</v>
      </c>
      <c r="G433" s="2" t="str">
        <f>RIGHT(Tabulka1[[#This Row],[Adresa]],LEN(Tabulka1[[#This Row],[Adresa]])-LEN(Tabulka1[[#This Row],[Ulice]])-1)</f>
        <v>Olešnice na Morave</v>
      </c>
      <c r="H433" s="2" t="str">
        <f>_xlfn.CONCAT(LOWER(Tabulka1[[#This Row],[Příjmení bez mezer]]),".",LOWER(Tabulka1[[#This Row],[Jméno bez mezer]]),"@firmaabc.cz")</f>
        <v>petera.miroslav@firmaabc.cz</v>
      </c>
      <c r="I433" s="2" t="str">
        <f>_xlfn.CONCAT(LEFT(LOWER(Tabulka1[[#This Row],[Příjmení bez mezer]]),3),RIGHT(UPPER(Tabulka1[[#This Row],[Jméno bez mezer]]),2))</f>
        <v>petAV</v>
      </c>
    </row>
    <row r="434" spans="1:9">
      <c r="A434" s="2" t="s">
        <v>982</v>
      </c>
      <c r="B434" t="s">
        <v>180</v>
      </c>
      <c r="C434" t="s">
        <v>983</v>
      </c>
      <c r="D434" t="str">
        <f>TRIM(Tabulka1[[#This Row],[Jméno]])</f>
        <v>Jaroslav</v>
      </c>
      <c r="E434" t="str">
        <f>TRIM(Tabulka1[[#This Row],[Příjmení]])</f>
        <v>Richter</v>
      </c>
      <c r="F434" s="2" t="str">
        <f>MID(Tabulka1[[#This Row],[Adresa]],1,SEARCH(",",Tabulka1[[#This Row],[Adresa]])-1)</f>
        <v>Střední 324</v>
      </c>
      <c r="G434" s="2" t="str">
        <f>RIGHT(Tabulka1[[#This Row],[Adresa]],LEN(Tabulka1[[#This Row],[Adresa]])-LEN(Tabulka1[[#This Row],[Ulice]])-1)</f>
        <v>Žihle</v>
      </c>
      <c r="H434" s="2" t="str">
        <f>_xlfn.CONCAT(LOWER(Tabulka1[[#This Row],[Příjmení bez mezer]]),".",LOWER(Tabulka1[[#This Row],[Jméno bez mezer]]),"@firmaabc.cz")</f>
        <v>richter.jaroslav@firmaabc.cz</v>
      </c>
      <c r="I434" s="2" t="str">
        <f>_xlfn.CONCAT(LEFT(LOWER(Tabulka1[[#This Row],[Příjmení bez mezer]]),3),RIGHT(UPPER(Tabulka1[[#This Row],[Jméno bez mezer]]),2))</f>
        <v>ricAV</v>
      </c>
    </row>
    <row r="435" spans="1:9">
      <c r="A435" s="2" t="s">
        <v>984</v>
      </c>
      <c r="B435" t="s">
        <v>103</v>
      </c>
      <c r="C435" t="s">
        <v>985</v>
      </c>
      <c r="D435" t="str">
        <f>TRIM(Tabulka1[[#This Row],[Jméno]])</f>
        <v>Frantisek</v>
      </c>
      <c r="E435" t="str">
        <f>TRIM(Tabulka1[[#This Row],[Příjmení]])</f>
        <v>Uhlik</v>
      </c>
      <c r="F435" s="2" t="str">
        <f>MID(Tabulka1[[#This Row],[Adresa]],1,SEARCH(",",Tabulka1[[#This Row],[Adresa]])-1)</f>
        <v>Na Výsluní 1882</v>
      </c>
      <c r="G435" s="2" t="str">
        <f>RIGHT(Tabulka1[[#This Row],[Adresa]],LEN(Tabulka1[[#This Row],[Adresa]])-LEN(Tabulka1[[#This Row],[Ulice]])-1)</f>
        <v>Cernošice</v>
      </c>
      <c r="H435" s="2" t="str">
        <f>_xlfn.CONCAT(LOWER(Tabulka1[[#This Row],[Příjmení bez mezer]]),".",LOWER(Tabulka1[[#This Row],[Jméno bez mezer]]),"@firmaabc.cz")</f>
        <v>uhlik.frantisek@firmaabc.cz</v>
      </c>
      <c r="I435" s="2" t="str">
        <f>_xlfn.CONCAT(LEFT(LOWER(Tabulka1[[#This Row],[Příjmení bez mezer]]),3),RIGHT(UPPER(Tabulka1[[#This Row],[Jméno bez mezer]]),2))</f>
        <v>uhlEK</v>
      </c>
    </row>
    <row r="436" spans="1:9">
      <c r="A436" s="2" t="s">
        <v>986</v>
      </c>
      <c r="B436" t="s">
        <v>987</v>
      </c>
      <c r="C436" t="s">
        <v>988</v>
      </c>
      <c r="D436" t="str">
        <f>TRIM(Tabulka1[[#This Row],[Jméno]])</f>
        <v>Kateryna</v>
      </c>
      <c r="E436" t="str">
        <f>TRIM(Tabulka1[[#This Row],[Příjmení]])</f>
        <v>Preckova</v>
      </c>
      <c r="F436" s="2" t="str">
        <f>MID(Tabulka1[[#This Row],[Adresa]],1,SEARCH(",",Tabulka1[[#This Row],[Adresa]])-1)</f>
        <v>Za Školou 493</v>
      </c>
      <c r="G436" s="2" t="str">
        <f>RIGHT(Tabulka1[[#This Row],[Adresa]],LEN(Tabulka1[[#This Row],[Adresa]])-LEN(Tabulka1[[#This Row],[Ulice]])-1)</f>
        <v>Velká Bíteš</v>
      </c>
      <c r="H436" s="2" t="str">
        <f>_xlfn.CONCAT(LOWER(Tabulka1[[#This Row],[Příjmení bez mezer]]),".",LOWER(Tabulka1[[#This Row],[Jméno bez mezer]]),"@firmaabc.cz")</f>
        <v>preckova.kateryna@firmaabc.cz</v>
      </c>
      <c r="I436" s="2" t="str">
        <f>_xlfn.CONCAT(LEFT(LOWER(Tabulka1[[#This Row],[Příjmení bez mezer]]),3),RIGHT(UPPER(Tabulka1[[#This Row],[Jméno bez mezer]]),2))</f>
        <v>preNA</v>
      </c>
    </row>
    <row r="437" spans="1:9" ht="30">
      <c r="A437" s="2" t="s">
        <v>989</v>
      </c>
      <c r="B437" t="s">
        <v>677</v>
      </c>
      <c r="C437" t="s">
        <v>990</v>
      </c>
      <c r="D437" t="str">
        <f>TRIM(Tabulka1[[#This Row],[Jméno]])</f>
        <v>Radka</v>
      </c>
      <c r="E437" t="str">
        <f>TRIM(Tabulka1[[#This Row],[Příjmení]])</f>
        <v>Kadlecova</v>
      </c>
      <c r="F437" s="2" t="str">
        <f>MID(Tabulka1[[#This Row],[Adresa]],1,SEARCH(",",Tabulka1[[#This Row],[Adresa]])-1)</f>
        <v>Sídliště Za Chlumem 1378</v>
      </c>
      <c r="G437" s="2" t="str">
        <f>RIGHT(Tabulka1[[#This Row],[Adresa]],LEN(Tabulka1[[#This Row],[Adresa]])-LEN(Tabulka1[[#This Row],[Ulice]])-1)</f>
        <v>Jirkov 1</v>
      </c>
      <c r="H437" s="2" t="str">
        <f>_xlfn.CONCAT(LOWER(Tabulka1[[#This Row],[Příjmení bez mezer]]),".",LOWER(Tabulka1[[#This Row],[Jméno bez mezer]]),"@firmaabc.cz")</f>
        <v>kadlecova.radka@firmaabc.cz</v>
      </c>
      <c r="I437" s="2" t="str">
        <f>_xlfn.CONCAT(LEFT(LOWER(Tabulka1[[#This Row],[Příjmení bez mezer]]),3),RIGHT(UPPER(Tabulka1[[#This Row],[Jméno bez mezer]]),2))</f>
        <v>kadKA</v>
      </c>
    </row>
    <row r="438" spans="1:9" ht="30">
      <c r="A438" s="2" t="s">
        <v>991</v>
      </c>
      <c r="B438" t="s">
        <v>52</v>
      </c>
      <c r="C438" t="s">
        <v>992</v>
      </c>
      <c r="D438" t="str">
        <f>TRIM(Tabulka1[[#This Row],[Jméno]])</f>
        <v>Ludmila</v>
      </c>
      <c r="E438" t="str">
        <f>TRIM(Tabulka1[[#This Row],[Příjmení]])</f>
        <v>Zaveska</v>
      </c>
      <c r="F438" s="2" t="str">
        <f>MID(Tabulka1[[#This Row],[Adresa]],1,SEARCH(",",Tabulka1[[#This Row],[Adresa]])-1)</f>
        <v>Velký průhon 808</v>
      </c>
      <c r="G438" s="2" t="str">
        <f>RIGHT(Tabulka1[[#This Row],[Adresa]],LEN(Tabulka1[[#This Row],[Adresa]])-LEN(Tabulka1[[#This Row],[Ulice]])-1)</f>
        <v>Mestec Králové</v>
      </c>
      <c r="H438" s="2" t="str">
        <f>_xlfn.CONCAT(LOWER(Tabulka1[[#This Row],[Příjmení bez mezer]]),".",LOWER(Tabulka1[[#This Row],[Jméno bez mezer]]),"@firmaabc.cz")</f>
        <v>zaveska.ludmila@firmaabc.cz</v>
      </c>
      <c r="I438" s="2" t="str">
        <f>_xlfn.CONCAT(LEFT(LOWER(Tabulka1[[#This Row],[Příjmení bez mezer]]),3),RIGHT(UPPER(Tabulka1[[#This Row],[Jméno bez mezer]]),2))</f>
        <v>zavLA</v>
      </c>
    </row>
    <row r="439" spans="1:9">
      <c r="A439" s="2" t="s">
        <v>993</v>
      </c>
      <c r="B439" t="s">
        <v>90</v>
      </c>
      <c r="C439" t="s">
        <v>994</v>
      </c>
      <c r="D439" t="str">
        <f>TRIM(Tabulka1[[#This Row],[Jméno]])</f>
        <v>Pavel</v>
      </c>
      <c r="E439" t="str">
        <f>TRIM(Tabulka1[[#This Row],[Příjmení]])</f>
        <v>Kabicek</v>
      </c>
      <c r="F439" s="2" t="str">
        <f>MID(Tabulka1[[#This Row],[Adresa]],1,SEARCH(",",Tabulka1[[#This Row],[Adresa]])-1)</f>
        <v>Horní 896</v>
      </c>
      <c r="G439" s="2" t="str">
        <f>RIGHT(Tabulka1[[#This Row],[Adresa]],LEN(Tabulka1[[#This Row],[Adresa]])-LEN(Tabulka1[[#This Row],[Ulice]])-1)</f>
        <v>Kolovec</v>
      </c>
      <c r="H439" s="2" t="str">
        <f>_xlfn.CONCAT(LOWER(Tabulka1[[#This Row],[Příjmení bez mezer]]),".",LOWER(Tabulka1[[#This Row],[Jméno bez mezer]]),"@firmaabc.cz")</f>
        <v>kabicek.pavel@firmaabc.cz</v>
      </c>
      <c r="I439" s="2" t="str">
        <f>_xlfn.CONCAT(LEFT(LOWER(Tabulka1[[#This Row],[Příjmení bez mezer]]),3),RIGHT(UPPER(Tabulka1[[#This Row],[Jméno bez mezer]]),2))</f>
        <v>kabEL</v>
      </c>
    </row>
    <row r="440" spans="1:9">
      <c r="A440" s="2" t="s">
        <v>995</v>
      </c>
      <c r="B440" t="s">
        <v>996</v>
      </c>
      <c r="C440" t="s">
        <v>997</v>
      </c>
      <c r="D440" t="str">
        <f>TRIM(Tabulka1[[#This Row],[Jméno]])</f>
        <v>Vaclav</v>
      </c>
      <c r="E440" t="str">
        <f>TRIM(Tabulka1[[#This Row],[Příjmení]])</f>
        <v>Cermak</v>
      </c>
      <c r="F440" s="2" t="str">
        <f>MID(Tabulka1[[#This Row],[Adresa]],1,SEARCH(",",Tabulka1[[#This Row],[Adresa]])-1)</f>
        <v>Družstevní 747</v>
      </c>
      <c r="G440" s="2" t="str">
        <f>RIGHT(Tabulka1[[#This Row],[Adresa]],LEN(Tabulka1[[#This Row],[Adresa]])-LEN(Tabulka1[[#This Row],[Ulice]])-1)</f>
        <v>Prosimerice</v>
      </c>
      <c r="H440" s="2" t="str">
        <f>_xlfn.CONCAT(LOWER(Tabulka1[[#This Row],[Příjmení bez mezer]]),".",LOWER(Tabulka1[[#This Row],[Jméno bez mezer]]),"@firmaabc.cz")</f>
        <v>cermak.vaclav@firmaabc.cz</v>
      </c>
      <c r="I440" s="2" t="str">
        <f>_xlfn.CONCAT(LEFT(LOWER(Tabulka1[[#This Row],[Příjmení bez mezer]]),3),RIGHT(UPPER(Tabulka1[[#This Row],[Jméno bez mezer]]),2))</f>
        <v>cerAV</v>
      </c>
    </row>
    <row r="441" spans="1:9">
      <c r="A441" s="2" t="s">
        <v>998</v>
      </c>
      <c r="B441" t="s">
        <v>47</v>
      </c>
      <c r="C441" t="s">
        <v>656</v>
      </c>
      <c r="D441" t="str">
        <f>TRIM(Tabulka1[[#This Row],[Jméno]])</f>
        <v>Tomas</v>
      </c>
      <c r="E441" t="str">
        <f>TRIM(Tabulka1[[#This Row],[Příjmení]])</f>
        <v>?Horak</v>
      </c>
      <c r="F441" s="2" t="str">
        <f>MID(Tabulka1[[#This Row],[Adresa]],1,SEARCH(",",Tabulka1[[#This Row],[Adresa]])-1)</f>
        <v>Jiráskova 1988</v>
      </c>
      <c r="G441" s="2" t="str">
        <f>RIGHT(Tabulka1[[#This Row],[Adresa]],LEN(Tabulka1[[#This Row],[Adresa]])-LEN(Tabulka1[[#This Row],[Ulice]])-1)</f>
        <v>Sec 1</v>
      </c>
      <c r="H441" s="2" t="str">
        <f>_xlfn.CONCAT(LOWER(Tabulka1[[#This Row],[Příjmení bez mezer]]),".",LOWER(Tabulka1[[#This Row],[Jméno bez mezer]]),"@firmaabc.cz")</f>
        <v>?horak.tomas@firmaabc.cz</v>
      </c>
      <c r="I441" s="2" t="str">
        <f>_xlfn.CONCAT(LEFT(LOWER(Tabulka1[[#This Row],[Příjmení bez mezer]]),3),RIGHT(UPPER(Tabulka1[[#This Row],[Jméno bez mezer]]),2))</f>
        <v>?hoAS</v>
      </c>
    </row>
    <row r="442" spans="1:9" ht="30">
      <c r="A442" s="2" t="s">
        <v>999</v>
      </c>
      <c r="B442" t="s">
        <v>125</v>
      </c>
      <c r="C442" t="s">
        <v>1000</v>
      </c>
      <c r="D442" t="str">
        <f>TRIM(Tabulka1[[#This Row],[Jméno]])</f>
        <v>Veronika</v>
      </c>
      <c r="E442" t="str">
        <f>TRIM(Tabulka1[[#This Row],[Příjmení]])</f>
        <v>Havlickova</v>
      </c>
      <c r="F442" s="2" t="str">
        <f>MID(Tabulka1[[#This Row],[Adresa]],1,SEARCH(",",Tabulka1[[#This Row],[Adresa]])-1)</f>
        <v>Dašická 1900</v>
      </c>
      <c r="G442" s="2" t="str">
        <f>RIGHT(Tabulka1[[#This Row],[Adresa]],LEN(Tabulka1[[#This Row],[Adresa]])-LEN(Tabulka1[[#This Row],[Ulice]])-1)</f>
        <v>Svojšice u Prelouce</v>
      </c>
      <c r="H442" s="2" t="str">
        <f>_xlfn.CONCAT(LOWER(Tabulka1[[#This Row],[Příjmení bez mezer]]),".",LOWER(Tabulka1[[#This Row],[Jméno bez mezer]]),"@firmaabc.cz")</f>
        <v>havlickova.veronika@firmaabc.cz</v>
      </c>
      <c r="I442" s="2" t="str">
        <f>_xlfn.CONCAT(LEFT(LOWER(Tabulka1[[#This Row],[Příjmení bez mezer]]),3),RIGHT(UPPER(Tabulka1[[#This Row],[Jméno bez mezer]]),2))</f>
        <v>havKA</v>
      </c>
    </row>
    <row r="443" spans="1:9" ht="30">
      <c r="A443" s="2" t="s">
        <v>1001</v>
      </c>
      <c r="B443" t="s">
        <v>103</v>
      </c>
      <c r="C443" t="s">
        <v>1002</v>
      </c>
      <c r="D443" t="str">
        <f>TRIM(Tabulka1[[#This Row],[Jméno]])</f>
        <v>Frantisek</v>
      </c>
      <c r="E443" t="str">
        <f>TRIM(Tabulka1[[#This Row],[Příjmení]])</f>
        <v>Bulva</v>
      </c>
      <c r="F443" s="2" t="str">
        <f>MID(Tabulka1[[#This Row],[Adresa]],1,SEARCH(",",Tabulka1[[#This Row],[Adresa]])-1)</f>
        <v>Pivovarská 522</v>
      </c>
      <c r="G443" s="2" t="str">
        <f>RIGHT(Tabulka1[[#This Row],[Adresa]],LEN(Tabulka1[[#This Row],[Adresa]])-LEN(Tabulka1[[#This Row],[Ulice]])-1)</f>
        <v>Ceské Budejovice 1</v>
      </c>
      <c r="H443" s="2" t="str">
        <f>_xlfn.CONCAT(LOWER(Tabulka1[[#This Row],[Příjmení bez mezer]]),".",LOWER(Tabulka1[[#This Row],[Jméno bez mezer]]),"@firmaabc.cz")</f>
        <v>bulva.frantisek@firmaabc.cz</v>
      </c>
      <c r="I443" s="2" t="str">
        <f>_xlfn.CONCAT(LEFT(LOWER(Tabulka1[[#This Row],[Příjmení bez mezer]]),3),RIGHT(UPPER(Tabulka1[[#This Row],[Jméno bez mezer]]),2))</f>
        <v>bulEK</v>
      </c>
    </row>
    <row r="444" spans="1:9" ht="30">
      <c r="A444" s="2" t="s">
        <v>1003</v>
      </c>
      <c r="B444" t="s">
        <v>787</v>
      </c>
      <c r="C444" t="s">
        <v>850</v>
      </c>
      <c r="D444" t="str">
        <f>TRIM(Tabulka1[[#This Row],[Jméno]])</f>
        <v>Marketa</v>
      </c>
      <c r="E444" t="str">
        <f>TRIM(Tabulka1[[#This Row],[Příjmení]])</f>
        <v>Svobodova</v>
      </c>
      <c r="F444" s="2" t="str">
        <f>MID(Tabulka1[[#This Row],[Adresa]],1,SEARCH(",",Tabulka1[[#This Row],[Adresa]])-1)</f>
        <v>Příční 1248</v>
      </c>
      <c r="G444" s="2" t="str">
        <f>RIGHT(Tabulka1[[#This Row],[Adresa]],LEN(Tabulka1[[#This Row],[Adresa]])-LEN(Tabulka1[[#This Row],[Ulice]])-1)</f>
        <v>Jablunka nad Becvou</v>
      </c>
      <c r="H444" s="2" t="str">
        <f>_xlfn.CONCAT(LOWER(Tabulka1[[#This Row],[Příjmení bez mezer]]),".",LOWER(Tabulka1[[#This Row],[Jméno bez mezer]]),"@firmaabc.cz")</f>
        <v>svobodova.marketa@firmaabc.cz</v>
      </c>
      <c r="I444" s="2" t="str">
        <f>_xlfn.CONCAT(LEFT(LOWER(Tabulka1[[#This Row],[Příjmení bez mezer]]),3),RIGHT(UPPER(Tabulka1[[#This Row],[Jméno bez mezer]]),2))</f>
        <v>svoTA</v>
      </c>
    </row>
    <row r="445" spans="1:9">
      <c r="A445" s="2" t="s">
        <v>1004</v>
      </c>
      <c r="B445" t="s">
        <v>103</v>
      </c>
      <c r="C445" t="s">
        <v>1005</v>
      </c>
      <c r="D445" t="str">
        <f>TRIM(Tabulka1[[#This Row],[Jméno]])</f>
        <v>Frantisek</v>
      </c>
      <c r="E445" t="str">
        <f>TRIM(Tabulka1[[#This Row],[Příjmení]])</f>
        <v>Fusek</v>
      </c>
      <c r="F445" s="2" t="str">
        <f>MID(Tabulka1[[#This Row],[Adresa]],1,SEARCH(",",Tabulka1[[#This Row],[Adresa]])-1)</f>
        <v>Vrchlického 102</v>
      </c>
      <c r="G445" s="2" t="str">
        <f>RIGHT(Tabulka1[[#This Row],[Adresa]],LEN(Tabulka1[[#This Row],[Adresa]])-LEN(Tabulka1[[#This Row],[Ulice]])-1)</f>
        <v>Domažlice 1</v>
      </c>
      <c r="H445" s="2" t="str">
        <f>_xlfn.CONCAT(LOWER(Tabulka1[[#This Row],[Příjmení bez mezer]]),".",LOWER(Tabulka1[[#This Row],[Jméno bez mezer]]),"@firmaabc.cz")</f>
        <v>fusek.frantisek@firmaabc.cz</v>
      </c>
      <c r="I445" s="2" t="str">
        <f>_xlfn.CONCAT(LEFT(LOWER(Tabulka1[[#This Row],[Příjmení bez mezer]]),3),RIGHT(UPPER(Tabulka1[[#This Row],[Jméno bez mezer]]),2))</f>
        <v>fusEK</v>
      </c>
    </row>
    <row r="446" spans="1:9" ht="30">
      <c r="A446" s="2" t="s">
        <v>1006</v>
      </c>
      <c r="B446" t="s">
        <v>191</v>
      </c>
      <c r="C446" t="s">
        <v>1007</v>
      </c>
      <c r="D446" t="str">
        <f>TRIM(Tabulka1[[#This Row],[Jméno]])</f>
        <v>Jana</v>
      </c>
      <c r="E446" t="str">
        <f>TRIM(Tabulka1[[#This Row],[Příjmení]])</f>
        <v>Hermanova</v>
      </c>
      <c r="F446" s="2" t="str">
        <f>MID(Tabulka1[[#This Row],[Adresa]],1,SEARCH(",",Tabulka1[[#This Row],[Adresa]])-1)</f>
        <v>Klimenta Čermáka 1424</v>
      </c>
      <c r="G446" s="2" t="str">
        <f>RIGHT(Tabulka1[[#This Row],[Adresa]],LEN(Tabulka1[[#This Row],[Adresa]])-LEN(Tabulka1[[#This Row],[Ulice]])-1)</f>
        <v>Cáslav</v>
      </c>
      <c r="H446" s="2" t="str">
        <f>_xlfn.CONCAT(LOWER(Tabulka1[[#This Row],[Příjmení bez mezer]]),".",LOWER(Tabulka1[[#This Row],[Jméno bez mezer]]),"@firmaabc.cz")</f>
        <v>hermanova.jana@firmaabc.cz</v>
      </c>
      <c r="I446" s="2" t="str">
        <f>_xlfn.CONCAT(LEFT(LOWER(Tabulka1[[#This Row],[Příjmení bez mezer]]),3),RIGHT(UPPER(Tabulka1[[#This Row],[Jméno bez mezer]]),2))</f>
        <v>herNA</v>
      </c>
    </row>
    <row r="447" spans="1:9">
      <c r="A447" s="2" t="s">
        <v>1008</v>
      </c>
      <c r="B447" t="s">
        <v>265</v>
      </c>
      <c r="C447" t="s">
        <v>1009</v>
      </c>
      <c r="D447" t="str">
        <f>TRIM(Tabulka1[[#This Row],[Jméno]])</f>
        <v>Robert</v>
      </c>
      <c r="E447" t="str">
        <f>TRIM(Tabulka1[[#This Row],[Příjmení]])</f>
        <v>Svrcina</v>
      </c>
      <c r="F447" s="2" t="str">
        <f>MID(Tabulka1[[#This Row],[Adresa]],1,SEARCH(",",Tabulka1[[#This Row],[Adresa]])-1)</f>
        <v>Na Kopečku 1141</v>
      </c>
      <c r="G447" s="2" t="str">
        <f>RIGHT(Tabulka1[[#This Row],[Adresa]],LEN(Tabulka1[[#This Row],[Adresa]])-LEN(Tabulka1[[#This Row],[Ulice]])-1)</f>
        <v>Lužany</v>
      </c>
      <c r="H447" s="2" t="str">
        <f>_xlfn.CONCAT(LOWER(Tabulka1[[#This Row],[Příjmení bez mezer]]),".",LOWER(Tabulka1[[#This Row],[Jméno bez mezer]]),"@firmaabc.cz")</f>
        <v>svrcina.robert@firmaabc.cz</v>
      </c>
      <c r="I447" s="2" t="str">
        <f>_xlfn.CONCAT(LEFT(LOWER(Tabulka1[[#This Row],[Příjmení bez mezer]]),3),RIGHT(UPPER(Tabulka1[[#This Row],[Jméno bez mezer]]),2))</f>
        <v>svrRT</v>
      </c>
    </row>
    <row r="448" spans="1:9">
      <c r="A448" s="2" t="s">
        <v>1010</v>
      </c>
      <c r="B448" t="s">
        <v>125</v>
      </c>
      <c r="C448" t="s">
        <v>1011</v>
      </c>
      <c r="D448" t="str">
        <f>TRIM(Tabulka1[[#This Row],[Jméno]])</f>
        <v>Veronika</v>
      </c>
      <c r="E448" t="str">
        <f>TRIM(Tabulka1[[#This Row],[Příjmení]])</f>
        <v>Cigankova</v>
      </c>
      <c r="F448" s="2" t="str">
        <f>MID(Tabulka1[[#This Row],[Adresa]],1,SEARCH(",",Tabulka1[[#This Row],[Adresa]])-1)</f>
        <v>Vrchlického 766</v>
      </c>
      <c r="G448" s="2" t="str">
        <f>RIGHT(Tabulka1[[#This Row],[Adresa]],LEN(Tabulka1[[#This Row],[Adresa]])-LEN(Tabulka1[[#This Row],[Ulice]])-1)</f>
        <v>Citonice</v>
      </c>
      <c r="H448" s="2" t="str">
        <f>_xlfn.CONCAT(LOWER(Tabulka1[[#This Row],[Příjmení bez mezer]]),".",LOWER(Tabulka1[[#This Row],[Jméno bez mezer]]),"@firmaabc.cz")</f>
        <v>cigankova.veronika@firmaabc.cz</v>
      </c>
      <c r="I448" s="2" t="str">
        <f>_xlfn.CONCAT(LEFT(LOWER(Tabulka1[[#This Row],[Příjmení bez mezer]]),3),RIGHT(UPPER(Tabulka1[[#This Row],[Jméno bez mezer]]),2))</f>
        <v>cigKA</v>
      </c>
    </row>
    <row r="449" spans="1:9">
      <c r="A449" s="2" t="s">
        <v>1012</v>
      </c>
      <c r="B449" t="s">
        <v>140</v>
      </c>
      <c r="C449" t="s">
        <v>1013</v>
      </c>
      <c r="D449" t="str">
        <f>TRIM(Tabulka1[[#This Row],[Jméno]])</f>
        <v>Iveta</v>
      </c>
      <c r="E449" t="str">
        <f>TRIM(Tabulka1[[#This Row],[Příjmení]])</f>
        <v>Fojtikova</v>
      </c>
      <c r="F449" s="2" t="str">
        <f>MID(Tabulka1[[#This Row],[Adresa]],1,SEARCH(",",Tabulka1[[#This Row],[Adresa]])-1)</f>
        <v>Sokolská 1943</v>
      </c>
      <c r="G449" s="2" t="str">
        <f>RIGHT(Tabulka1[[#This Row],[Adresa]],LEN(Tabulka1[[#This Row],[Adresa]])-LEN(Tabulka1[[#This Row],[Ulice]])-1)</f>
        <v>Hlubocky 3</v>
      </c>
      <c r="H449" s="2" t="str">
        <f>_xlfn.CONCAT(LOWER(Tabulka1[[#This Row],[Příjmení bez mezer]]),".",LOWER(Tabulka1[[#This Row],[Jméno bez mezer]]),"@firmaabc.cz")</f>
        <v>fojtikova.iveta@firmaabc.cz</v>
      </c>
      <c r="I449" s="2" t="str">
        <f>_xlfn.CONCAT(LEFT(LOWER(Tabulka1[[#This Row],[Příjmení bez mezer]]),3),RIGHT(UPPER(Tabulka1[[#This Row],[Jméno bez mezer]]),2))</f>
        <v>fojTA</v>
      </c>
    </row>
    <row r="450" spans="1:9" ht="30">
      <c r="A450" s="2" t="s">
        <v>1014</v>
      </c>
      <c r="B450" t="s">
        <v>1015</v>
      </c>
      <c r="C450" t="s">
        <v>1016</v>
      </c>
      <c r="D450" t="str">
        <f>TRIM(Tabulka1[[#This Row],[Jméno]])</f>
        <v>Lubomira</v>
      </c>
      <c r="E450" t="str">
        <f>TRIM(Tabulka1[[#This Row],[Příjmení]])</f>
        <v>Cihlarova</v>
      </c>
      <c r="F450" s="2" t="str">
        <f>MID(Tabulka1[[#This Row],[Adresa]],1,SEARCH(",",Tabulka1[[#This Row],[Adresa]])-1)</f>
        <v>Bedřicha Smetany 1354</v>
      </c>
      <c r="G450" s="2" t="str">
        <f>RIGHT(Tabulka1[[#This Row],[Adresa]],LEN(Tabulka1[[#This Row],[Adresa]])-LEN(Tabulka1[[#This Row],[Ulice]])-1)</f>
        <v>Kutná Hora 1</v>
      </c>
      <c r="H450" s="2" t="str">
        <f>_xlfn.CONCAT(LOWER(Tabulka1[[#This Row],[Příjmení bez mezer]]),".",LOWER(Tabulka1[[#This Row],[Jméno bez mezer]]),"@firmaabc.cz")</f>
        <v>cihlarova.lubomira@firmaabc.cz</v>
      </c>
      <c r="I450" s="2" t="str">
        <f>_xlfn.CONCAT(LEFT(LOWER(Tabulka1[[#This Row],[Příjmení bez mezer]]),3),RIGHT(UPPER(Tabulka1[[#This Row],[Jméno bez mezer]]),2))</f>
        <v>cihRA</v>
      </c>
    </row>
    <row r="451" spans="1:9">
      <c r="A451" s="2" t="s">
        <v>1017</v>
      </c>
      <c r="B451" t="s">
        <v>1018</v>
      </c>
      <c r="C451" t="s">
        <v>1019</v>
      </c>
      <c r="D451" t="str">
        <f>TRIM(Tabulka1[[#This Row],[Jméno]])</f>
        <v>Jarmila</v>
      </c>
      <c r="E451" t="str">
        <f>TRIM(Tabulka1[[#This Row],[Příjmení]])</f>
        <v>Zizkova</v>
      </c>
      <c r="F451" s="2" t="str">
        <f>MID(Tabulka1[[#This Row],[Adresa]],1,SEARCH(",",Tabulka1[[#This Row],[Adresa]])-1)</f>
        <v>Školní 1407</v>
      </c>
      <c r="G451" s="2" t="str">
        <f>RIGHT(Tabulka1[[#This Row],[Adresa]],LEN(Tabulka1[[#This Row],[Adresa]])-LEN(Tabulka1[[#This Row],[Ulice]])-1)</f>
        <v>Malonty</v>
      </c>
      <c r="H451" s="2" t="str">
        <f>_xlfn.CONCAT(LOWER(Tabulka1[[#This Row],[Příjmení bez mezer]]),".",LOWER(Tabulka1[[#This Row],[Jméno bez mezer]]),"@firmaabc.cz")</f>
        <v>zizkova.jarmila@firmaabc.cz</v>
      </c>
      <c r="I451" s="2" t="str">
        <f>_xlfn.CONCAT(LEFT(LOWER(Tabulka1[[#This Row],[Příjmení bez mezer]]),3),RIGHT(UPPER(Tabulka1[[#This Row],[Jméno bez mezer]]),2))</f>
        <v>zizLA</v>
      </c>
    </row>
    <row r="452" spans="1:9">
      <c r="A452" s="2" t="s">
        <v>1020</v>
      </c>
      <c r="B452" t="s">
        <v>544</v>
      </c>
      <c r="C452" t="s">
        <v>1021</v>
      </c>
      <c r="D452" t="str">
        <f>TRIM(Tabulka1[[#This Row],[Jméno]])</f>
        <v>Vlasta</v>
      </c>
      <c r="E452" t="str">
        <f>TRIM(Tabulka1[[#This Row],[Příjmení]])</f>
        <v>Bukackova</v>
      </c>
      <c r="F452" s="2" t="str">
        <f>MID(Tabulka1[[#This Row],[Adresa]],1,SEARCH(",",Tabulka1[[#This Row],[Adresa]])-1)</f>
        <v>Čechova 606</v>
      </c>
      <c r="G452" s="2" t="str">
        <f>RIGHT(Tabulka1[[#This Row],[Adresa]],LEN(Tabulka1[[#This Row],[Adresa]])-LEN(Tabulka1[[#This Row],[Ulice]])-1)</f>
        <v>Trutnov 1</v>
      </c>
      <c r="H452" s="2" t="str">
        <f>_xlfn.CONCAT(LOWER(Tabulka1[[#This Row],[Příjmení bez mezer]]),".",LOWER(Tabulka1[[#This Row],[Jméno bez mezer]]),"@firmaabc.cz")</f>
        <v>bukackova.vlasta@firmaabc.cz</v>
      </c>
      <c r="I452" s="2" t="str">
        <f>_xlfn.CONCAT(LEFT(LOWER(Tabulka1[[#This Row],[Příjmení bez mezer]]),3),RIGHT(UPPER(Tabulka1[[#This Row],[Jméno bez mezer]]),2))</f>
        <v>bukTA</v>
      </c>
    </row>
    <row r="453" spans="1:9">
      <c r="A453" s="2" t="s">
        <v>1022</v>
      </c>
      <c r="B453" t="s">
        <v>996</v>
      </c>
      <c r="C453" t="s">
        <v>18</v>
      </c>
      <c r="D453" t="str">
        <f>TRIM(Tabulka1[[#This Row],[Jméno]])</f>
        <v>Vaclav</v>
      </c>
      <c r="E453" t="str">
        <f>TRIM(Tabulka1[[#This Row],[Příjmení]])</f>
        <v>Svoboda</v>
      </c>
      <c r="F453" s="2" t="str">
        <f>MID(Tabulka1[[#This Row],[Adresa]],1,SEARCH(",",Tabulka1[[#This Row],[Adresa]])-1)</f>
        <v>Na Výsluní 736</v>
      </c>
      <c r="G453" s="2" t="str">
        <f>RIGHT(Tabulka1[[#This Row],[Adresa]],LEN(Tabulka1[[#This Row],[Adresa]])-LEN(Tabulka1[[#This Row],[Ulice]])-1)</f>
        <v>Zvole u Prahy</v>
      </c>
      <c r="H453" s="2" t="str">
        <f>_xlfn.CONCAT(LOWER(Tabulka1[[#This Row],[Příjmení bez mezer]]),".",LOWER(Tabulka1[[#This Row],[Jméno bez mezer]]),"@firmaabc.cz")</f>
        <v>svoboda.vaclav@firmaabc.cz</v>
      </c>
      <c r="I453" s="2" t="str">
        <f>_xlfn.CONCAT(LEFT(LOWER(Tabulka1[[#This Row],[Příjmení bez mezer]]),3),RIGHT(UPPER(Tabulka1[[#This Row],[Jméno bez mezer]]),2))</f>
        <v>svoAV</v>
      </c>
    </row>
    <row r="454" spans="1:9">
      <c r="A454" s="2" t="s">
        <v>1023</v>
      </c>
      <c r="B454" t="s">
        <v>1024</v>
      </c>
      <c r="C454" t="s">
        <v>1025</v>
      </c>
      <c r="D454" t="str">
        <f>TRIM(Tabulka1[[#This Row],[Jméno]])</f>
        <v>Denisa</v>
      </c>
      <c r="E454" t="str">
        <f>TRIM(Tabulka1[[#This Row],[Příjmení]])</f>
        <v>Vasikova</v>
      </c>
      <c r="F454" s="2" t="str">
        <f>MID(Tabulka1[[#This Row],[Adresa]],1,SEARCH(",",Tabulka1[[#This Row],[Adresa]])-1)</f>
        <v>Příkopy 1062</v>
      </c>
      <c r="G454" s="2" t="str">
        <f>RIGHT(Tabulka1[[#This Row],[Adresa]],LEN(Tabulka1[[#This Row],[Adresa]])-LEN(Tabulka1[[#This Row],[Ulice]])-1)</f>
        <v>Lanškroun</v>
      </c>
      <c r="H454" s="2" t="str">
        <f>_xlfn.CONCAT(LOWER(Tabulka1[[#This Row],[Příjmení bez mezer]]),".",LOWER(Tabulka1[[#This Row],[Jméno bez mezer]]),"@firmaabc.cz")</f>
        <v>vasikova.denisa@firmaabc.cz</v>
      </c>
      <c r="I454" s="2" t="str">
        <f>_xlfn.CONCAT(LEFT(LOWER(Tabulka1[[#This Row],[Příjmení bez mezer]]),3),RIGHT(UPPER(Tabulka1[[#This Row],[Jméno bez mezer]]),2))</f>
        <v>vasSA</v>
      </c>
    </row>
    <row r="455" spans="1:9">
      <c r="A455" s="2" t="s">
        <v>1026</v>
      </c>
      <c r="B455" t="s">
        <v>1027</v>
      </c>
      <c r="C455" t="s">
        <v>1028</v>
      </c>
      <c r="D455" t="str">
        <f>TRIM(Tabulka1[[#This Row],[Jméno]])</f>
        <v>Stepanka</v>
      </c>
      <c r="E455" t="str">
        <f>TRIM(Tabulka1[[#This Row],[Příjmení]])</f>
        <v>Lavickova</v>
      </c>
      <c r="F455" s="2" t="str">
        <f>MID(Tabulka1[[#This Row],[Adresa]],1,SEARCH(",",Tabulka1[[#This Row],[Adresa]])-1)</f>
        <v>Školní 97</v>
      </c>
      <c r="G455" s="2" t="str">
        <f>RIGHT(Tabulka1[[#This Row],[Adresa]],LEN(Tabulka1[[#This Row],[Adresa]])-LEN(Tabulka1[[#This Row],[Ulice]])-1)</f>
        <v>Brasy 1</v>
      </c>
      <c r="H455" s="2" t="str">
        <f>_xlfn.CONCAT(LOWER(Tabulka1[[#This Row],[Příjmení bez mezer]]),".",LOWER(Tabulka1[[#This Row],[Jméno bez mezer]]),"@firmaabc.cz")</f>
        <v>lavickova.stepanka@firmaabc.cz</v>
      </c>
      <c r="I455" s="2" t="str">
        <f>_xlfn.CONCAT(LEFT(LOWER(Tabulka1[[#This Row],[Příjmení bez mezer]]),3),RIGHT(UPPER(Tabulka1[[#This Row],[Jméno bez mezer]]),2))</f>
        <v>lavKA</v>
      </c>
    </row>
    <row r="456" spans="1:9" ht="30">
      <c r="A456" s="2" t="s">
        <v>1029</v>
      </c>
      <c r="B456" t="s">
        <v>1030</v>
      </c>
      <c r="C456" t="s">
        <v>1031</v>
      </c>
      <c r="D456" t="str">
        <f>TRIM(Tabulka1[[#This Row],[Jméno]])</f>
        <v>Dana</v>
      </c>
      <c r="E456" t="str">
        <f>TRIM(Tabulka1[[#This Row],[Příjmení]])</f>
        <v>Dudova</v>
      </c>
      <c r="F456" s="2" t="str">
        <f>MID(Tabulka1[[#This Row],[Adresa]],1,SEARCH(",",Tabulka1[[#This Row],[Adresa]])-1)</f>
        <v>Generála Jaroše 620</v>
      </c>
      <c r="G456" s="2" t="str">
        <f>RIGHT(Tabulka1[[#This Row],[Adresa]],LEN(Tabulka1[[#This Row],[Adresa]])-LEN(Tabulka1[[#This Row],[Ulice]])-1)</f>
        <v>Velké Mezirící</v>
      </c>
      <c r="H456" s="2" t="str">
        <f>_xlfn.CONCAT(LOWER(Tabulka1[[#This Row],[Příjmení bez mezer]]),".",LOWER(Tabulka1[[#This Row],[Jméno bez mezer]]),"@firmaabc.cz")</f>
        <v>dudova.dana@firmaabc.cz</v>
      </c>
      <c r="I456" s="2" t="str">
        <f>_xlfn.CONCAT(LEFT(LOWER(Tabulka1[[#This Row],[Příjmení bez mezer]]),3),RIGHT(UPPER(Tabulka1[[#This Row],[Jméno bez mezer]]),2))</f>
        <v>dudNA</v>
      </c>
    </row>
    <row r="457" spans="1:9" ht="30">
      <c r="A457" s="2" t="s">
        <v>1032</v>
      </c>
      <c r="B457" t="s">
        <v>44</v>
      </c>
      <c r="C457" t="s">
        <v>1033</v>
      </c>
      <c r="D457" t="str">
        <f>TRIM(Tabulka1[[#This Row],[Jméno]])</f>
        <v>Marie</v>
      </c>
      <c r="E457" t="str">
        <f>TRIM(Tabulka1[[#This Row],[Příjmení]])</f>
        <v>Prchalova</v>
      </c>
      <c r="F457" s="2" t="str">
        <f>MID(Tabulka1[[#This Row],[Adresa]],1,SEARCH(",",Tabulka1[[#This Row],[Adresa]])-1)</f>
        <v>Palackého 919</v>
      </c>
      <c r="G457" s="2" t="str">
        <f>RIGHT(Tabulka1[[#This Row],[Adresa]],LEN(Tabulka1[[#This Row],[Adresa]])-LEN(Tabulka1[[#This Row],[Ulice]])-1)</f>
        <v>Cervená Recice</v>
      </c>
      <c r="H457" s="2" t="str">
        <f>_xlfn.CONCAT(LOWER(Tabulka1[[#This Row],[Příjmení bez mezer]]),".",LOWER(Tabulka1[[#This Row],[Jméno bez mezer]]),"@firmaabc.cz")</f>
        <v>prchalova.marie@firmaabc.cz</v>
      </c>
      <c r="I457" s="2" t="str">
        <f>_xlfn.CONCAT(LEFT(LOWER(Tabulka1[[#This Row],[Příjmení bez mezer]]),3),RIGHT(UPPER(Tabulka1[[#This Row],[Jméno bez mezer]]),2))</f>
        <v>prcIE</v>
      </c>
    </row>
    <row r="458" spans="1:9" ht="30">
      <c r="A458" s="2" t="s">
        <v>1034</v>
      </c>
      <c r="B458" t="s">
        <v>44</v>
      </c>
      <c r="C458" t="s">
        <v>1035</v>
      </c>
      <c r="D458" t="str">
        <f>TRIM(Tabulka1[[#This Row],[Jméno]])</f>
        <v>Marie</v>
      </c>
      <c r="E458" t="str">
        <f>TRIM(Tabulka1[[#This Row],[Příjmení]])</f>
        <v>Bublova</v>
      </c>
      <c r="F458" s="2" t="str">
        <f>MID(Tabulka1[[#This Row],[Adresa]],1,SEARCH(",",Tabulka1[[#This Row],[Adresa]])-1)</f>
        <v>Velký průhon 1756</v>
      </c>
      <c r="G458" s="2" t="str">
        <f>RIGHT(Tabulka1[[#This Row],[Adresa]],LEN(Tabulka1[[#This Row],[Adresa]])-LEN(Tabulka1[[#This Row],[Ulice]])-1)</f>
        <v>Dymokury</v>
      </c>
      <c r="H458" s="2" t="str">
        <f>_xlfn.CONCAT(LOWER(Tabulka1[[#This Row],[Příjmení bez mezer]]),".",LOWER(Tabulka1[[#This Row],[Jméno bez mezer]]),"@firmaabc.cz")</f>
        <v>bublova.marie@firmaabc.cz</v>
      </c>
      <c r="I458" s="2" t="str">
        <f>_xlfn.CONCAT(LEFT(LOWER(Tabulka1[[#This Row],[Příjmení bez mezer]]),3),RIGHT(UPPER(Tabulka1[[#This Row],[Jméno bez mezer]]),2))</f>
        <v>bubIE</v>
      </c>
    </row>
    <row r="459" spans="1:9" ht="30">
      <c r="A459" s="2" t="s">
        <v>1036</v>
      </c>
      <c r="B459" t="s">
        <v>44</v>
      </c>
      <c r="C459" t="s">
        <v>1037</v>
      </c>
      <c r="D459" t="str">
        <f>TRIM(Tabulka1[[#This Row],[Jméno]])</f>
        <v>Marie</v>
      </c>
      <c r="E459" t="str">
        <f>TRIM(Tabulka1[[#This Row],[Příjmení]])</f>
        <v>Zichova</v>
      </c>
      <c r="F459" s="2" t="str">
        <f>MID(Tabulka1[[#This Row],[Adresa]],1,SEARCH(",",Tabulka1[[#This Row],[Adresa]])-1)</f>
        <v>Václava Haňky 779</v>
      </c>
      <c r="G459" s="2" t="str">
        <f>RIGHT(Tabulka1[[#This Row],[Adresa]],LEN(Tabulka1[[#This Row],[Adresa]])-LEN(Tabulka1[[#This Row],[Ulice]])-1)</f>
        <v>Moravany u Brna</v>
      </c>
      <c r="H459" s="2" t="str">
        <f>_xlfn.CONCAT(LOWER(Tabulka1[[#This Row],[Příjmení bez mezer]]),".",LOWER(Tabulka1[[#This Row],[Jméno bez mezer]]),"@firmaabc.cz")</f>
        <v>zichova.marie@firmaabc.cz</v>
      </c>
      <c r="I459" s="2" t="str">
        <f>_xlfn.CONCAT(LEFT(LOWER(Tabulka1[[#This Row],[Příjmení bez mezer]]),3),RIGHT(UPPER(Tabulka1[[#This Row],[Jméno bez mezer]]),2))</f>
        <v>zicIE</v>
      </c>
    </row>
    <row r="460" spans="1:9">
      <c r="A460" s="2" t="s">
        <v>1038</v>
      </c>
      <c r="B460" t="s">
        <v>98</v>
      </c>
      <c r="C460" t="s">
        <v>1039</v>
      </c>
      <c r="D460" t="str">
        <f>TRIM(Tabulka1[[#This Row],[Jméno]])</f>
        <v>Lukas</v>
      </c>
      <c r="E460" t="str">
        <f>TRIM(Tabulka1[[#This Row],[Příjmení]])</f>
        <v>Blaha</v>
      </c>
      <c r="F460" s="2" t="str">
        <f>MID(Tabulka1[[#This Row],[Adresa]],1,SEARCH(",",Tabulka1[[#This Row],[Adresa]])-1)</f>
        <v>Jana Nerudy 1836</v>
      </c>
      <c r="G460" s="2" t="str">
        <f>RIGHT(Tabulka1[[#This Row],[Adresa]],LEN(Tabulka1[[#This Row],[Adresa]])-LEN(Tabulka1[[#This Row],[Ulice]])-1)</f>
        <v>Bozkov</v>
      </c>
      <c r="H460" s="2" t="str">
        <f>_xlfn.CONCAT(LOWER(Tabulka1[[#This Row],[Příjmení bez mezer]]),".",LOWER(Tabulka1[[#This Row],[Jméno bez mezer]]),"@firmaabc.cz")</f>
        <v>blaha.lukas@firmaabc.cz</v>
      </c>
      <c r="I460" s="2" t="str">
        <f>_xlfn.CONCAT(LEFT(LOWER(Tabulka1[[#This Row],[Příjmení bez mezer]]),3),RIGHT(UPPER(Tabulka1[[#This Row],[Jméno bez mezer]]),2))</f>
        <v>blaAS</v>
      </c>
    </row>
    <row r="461" spans="1:9">
      <c r="A461" s="2" t="s">
        <v>1040</v>
      </c>
      <c r="B461" t="s">
        <v>44</v>
      </c>
      <c r="C461" t="s">
        <v>729</v>
      </c>
      <c r="D461" t="str">
        <f>TRIM(Tabulka1[[#This Row],[Jméno]])</f>
        <v>Marie</v>
      </c>
      <c r="E461" t="str">
        <f>TRIM(Tabulka1[[#This Row],[Příjmení]])</f>
        <v>Navratilova</v>
      </c>
      <c r="F461" s="2" t="str">
        <f>MID(Tabulka1[[#This Row],[Adresa]],1,SEARCH(",",Tabulka1[[#This Row],[Adresa]])-1)</f>
        <v>Palackého 533</v>
      </c>
      <c r="G461" s="2" t="str">
        <f>RIGHT(Tabulka1[[#This Row],[Adresa]],LEN(Tabulka1[[#This Row],[Adresa]])-LEN(Tabulka1[[#This Row],[Ulice]])-1)</f>
        <v>Zlobice</v>
      </c>
      <c r="H461" s="2" t="str">
        <f>_xlfn.CONCAT(LOWER(Tabulka1[[#This Row],[Příjmení bez mezer]]),".",LOWER(Tabulka1[[#This Row],[Jméno bez mezer]]),"@firmaabc.cz")</f>
        <v>navratilova.marie@firmaabc.cz</v>
      </c>
      <c r="I461" s="2" t="str">
        <f>_xlfn.CONCAT(LEFT(LOWER(Tabulka1[[#This Row],[Příjmení bez mezer]]),3),RIGHT(UPPER(Tabulka1[[#This Row],[Jméno bez mezer]]),2))</f>
        <v>navIE</v>
      </c>
    </row>
    <row r="462" spans="1:9">
      <c r="A462" s="2" t="s">
        <v>1041</v>
      </c>
      <c r="B462" t="s">
        <v>41</v>
      </c>
      <c r="C462" t="s">
        <v>1042</v>
      </c>
      <c r="D462" t="str">
        <f>TRIM(Tabulka1[[#This Row],[Jméno]])</f>
        <v>Ivana</v>
      </c>
      <c r="E462" t="str">
        <f>TRIM(Tabulka1[[#This Row],[Příjmení]])</f>
        <v>Vyskocilova</v>
      </c>
      <c r="F462" s="2" t="str">
        <f>MID(Tabulka1[[#This Row],[Adresa]],1,SEARCH(",",Tabulka1[[#This Row],[Adresa]])-1)</f>
        <v>Hamerská 714</v>
      </c>
      <c r="G462" s="2" t="str">
        <f>RIGHT(Tabulka1[[#This Row],[Adresa]],LEN(Tabulka1[[#This Row],[Adresa]])-LEN(Tabulka1[[#This Row],[Ulice]])-1)</f>
        <v>Malec</v>
      </c>
      <c r="H462" s="2" t="str">
        <f>_xlfn.CONCAT(LOWER(Tabulka1[[#This Row],[Příjmení bez mezer]]),".",LOWER(Tabulka1[[#This Row],[Jméno bez mezer]]),"@firmaabc.cz")</f>
        <v>vyskocilova.ivana@firmaabc.cz</v>
      </c>
      <c r="I462" s="2" t="str">
        <f>_xlfn.CONCAT(LEFT(LOWER(Tabulka1[[#This Row],[Příjmení bez mezer]]),3),RIGHT(UPPER(Tabulka1[[#This Row],[Jméno bez mezer]]),2))</f>
        <v>vysNA</v>
      </c>
    </row>
    <row r="463" spans="1:9">
      <c r="A463" s="2" t="s">
        <v>1043</v>
      </c>
      <c r="B463" t="s">
        <v>322</v>
      </c>
      <c r="C463" t="s">
        <v>1044</v>
      </c>
      <c r="D463" t="str">
        <f>TRIM(Tabulka1[[#This Row],[Jméno]])</f>
        <v>Helena</v>
      </c>
      <c r="E463" t="str">
        <f>TRIM(Tabulka1[[#This Row],[Příjmení]])</f>
        <v>Sulova</v>
      </c>
      <c r="F463" s="2" t="str">
        <f>MID(Tabulka1[[#This Row],[Adresa]],1,SEARCH(",",Tabulka1[[#This Row],[Adresa]])-1)</f>
        <v>Havlíčkova 400</v>
      </c>
      <c r="G463" s="2" t="str">
        <f>RIGHT(Tabulka1[[#This Row],[Adresa]],LEN(Tabulka1[[#This Row],[Adresa]])-LEN(Tabulka1[[#This Row],[Ulice]])-1)</f>
        <v>Vejprty</v>
      </c>
      <c r="H463" s="2" t="str">
        <f>_xlfn.CONCAT(LOWER(Tabulka1[[#This Row],[Příjmení bez mezer]]),".",LOWER(Tabulka1[[#This Row],[Jméno bez mezer]]),"@firmaabc.cz")</f>
        <v>sulova.helena@firmaabc.cz</v>
      </c>
      <c r="I463" s="2" t="str">
        <f>_xlfn.CONCAT(LEFT(LOWER(Tabulka1[[#This Row],[Příjmení bez mezer]]),3),RIGHT(UPPER(Tabulka1[[#This Row],[Jméno bez mezer]]),2))</f>
        <v>sulNA</v>
      </c>
    </row>
    <row r="464" spans="1:9">
      <c r="A464" s="2" t="s">
        <v>1045</v>
      </c>
      <c r="B464" t="s">
        <v>1030</v>
      </c>
      <c r="C464" t="s">
        <v>1046</v>
      </c>
      <c r="D464" t="str">
        <f>TRIM(Tabulka1[[#This Row],[Jméno]])</f>
        <v>Dana</v>
      </c>
      <c r="E464" t="str">
        <f>TRIM(Tabulka1[[#This Row],[Příjmení]])</f>
        <v>Malinska</v>
      </c>
      <c r="F464" s="2" t="str">
        <f>MID(Tabulka1[[#This Row],[Adresa]],1,SEARCH(",",Tabulka1[[#This Row],[Adresa]])-1)</f>
        <v>Na Kopci 1728</v>
      </c>
      <c r="G464" s="2" t="str">
        <f>RIGHT(Tabulka1[[#This Row],[Adresa]],LEN(Tabulka1[[#This Row],[Adresa]])-LEN(Tabulka1[[#This Row],[Ulice]])-1)</f>
        <v>Drítec</v>
      </c>
      <c r="H464" s="2" t="str">
        <f>_xlfn.CONCAT(LOWER(Tabulka1[[#This Row],[Příjmení bez mezer]]),".",LOWER(Tabulka1[[#This Row],[Jméno bez mezer]]),"@firmaabc.cz")</f>
        <v>malinska.dana@firmaabc.cz</v>
      </c>
      <c r="I464" s="2" t="str">
        <f>_xlfn.CONCAT(LEFT(LOWER(Tabulka1[[#This Row],[Příjmení bez mezer]]),3),RIGHT(UPPER(Tabulka1[[#This Row],[Jméno bez mezer]]),2))</f>
        <v>malNA</v>
      </c>
    </row>
    <row r="465" spans="1:9" ht="30">
      <c r="A465" s="2" t="s">
        <v>1047</v>
      </c>
      <c r="B465" t="s">
        <v>1048</v>
      </c>
      <c r="C465" t="s">
        <v>1049</v>
      </c>
      <c r="D465" t="str">
        <f>TRIM(Tabulka1[[#This Row],[Jméno]])</f>
        <v>Milos</v>
      </c>
      <c r="E465" t="str">
        <f>TRIM(Tabulka1[[#This Row],[Příjmení]])</f>
        <v>Smejkal</v>
      </c>
      <c r="F465" s="2" t="str">
        <f>MID(Tabulka1[[#This Row],[Adresa]],1,SEARCH(",",Tabulka1[[#This Row],[Adresa]])-1)</f>
        <v>Na Kopci 1282</v>
      </c>
      <c r="G465" s="2" t="str">
        <f>RIGHT(Tabulka1[[#This Row],[Adresa]],LEN(Tabulka1[[#This Row],[Adresa]])-LEN(Tabulka1[[#This Row],[Ulice]])-1)</f>
        <v>Vápno u Prelouce</v>
      </c>
      <c r="H465" s="2" t="str">
        <f>_xlfn.CONCAT(LOWER(Tabulka1[[#This Row],[Příjmení bez mezer]]),".",LOWER(Tabulka1[[#This Row],[Jméno bez mezer]]),"@firmaabc.cz")</f>
        <v>smejkal.milos@firmaabc.cz</v>
      </c>
      <c r="I465" s="2" t="str">
        <f>_xlfn.CONCAT(LEFT(LOWER(Tabulka1[[#This Row],[Příjmení bez mezer]]),3),RIGHT(UPPER(Tabulka1[[#This Row],[Jméno bez mezer]]),2))</f>
        <v>smeOS</v>
      </c>
    </row>
    <row r="466" spans="1:9" ht="30">
      <c r="A466" s="2" t="s">
        <v>1050</v>
      </c>
      <c r="B466" t="s">
        <v>87</v>
      </c>
      <c r="C466" t="s">
        <v>1051</v>
      </c>
      <c r="D466" t="str">
        <f>TRIM(Tabulka1[[#This Row],[Jméno]])</f>
        <v>Martin</v>
      </c>
      <c r="E466" t="str">
        <f>TRIM(Tabulka1[[#This Row],[Příjmení]])</f>
        <v>Peterka</v>
      </c>
      <c r="F466" s="2" t="str">
        <f>MID(Tabulka1[[#This Row],[Adresa]],1,SEARCH(",",Tabulka1[[#This Row],[Adresa]])-1)</f>
        <v>U divadla 1728</v>
      </c>
      <c r="G466" s="2" t="str">
        <f>RIGHT(Tabulka1[[#This Row],[Adresa]],LEN(Tabulka1[[#This Row],[Adresa]])-LEN(Tabulka1[[#This Row],[Ulice]])-1)</f>
        <v>Oldrichov u Duchcova</v>
      </c>
      <c r="H466" s="2" t="str">
        <f>_xlfn.CONCAT(LOWER(Tabulka1[[#This Row],[Příjmení bez mezer]]),".",LOWER(Tabulka1[[#This Row],[Jméno bez mezer]]),"@firmaabc.cz")</f>
        <v>peterka.martin@firmaabc.cz</v>
      </c>
      <c r="I466" s="2" t="str">
        <f>_xlfn.CONCAT(LEFT(LOWER(Tabulka1[[#This Row],[Příjmení bez mezer]]),3),RIGHT(UPPER(Tabulka1[[#This Row],[Jméno bez mezer]]),2))</f>
        <v>petIN</v>
      </c>
    </row>
    <row r="467" spans="1:9" ht="30">
      <c r="A467" s="2" t="s">
        <v>1052</v>
      </c>
      <c r="B467" t="s">
        <v>1053</v>
      </c>
      <c r="C467" t="s">
        <v>1054</v>
      </c>
      <c r="D467" t="str">
        <f>TRIM(Tabulka1[[#This Row],[Jméno]])</f>
        <v>Waldemar</v>
      </c>
      <c r="E467" t="str">
        <f>TRIM(Tabulka1[[#This Row],[Příjmení]])</f>
        <v>Prusa</v>
      </c>
      <c r="F467" s="2" t="str">
        <f>MID(Tabulka1[[#This Row],[Adresa]],1,SEARCH(",",Tabulka1[[#This Row],[Adresa]])-1)</f>
        <v>Klimenta Čermáka 1117</v>
      </c>
      <c r="G467" s="2" t="str">
        <f>RIGHT(Tabulka1[[#This Row],[Adresa]],LEN(Tabulka1[[#This Row],[Adresa]])-LEN(Tabulka1[[#This Row],[Ulice]])-1)</f>
        <v>Cáslav</v>
      </c>
      <c r="H467" s="2" t="str">
        <f>_xlfn.CONCAT(LOWER(Tabulka1[[#This Row],[Příjmení bez mezer]]),".",LOWER(Tabulka1[[#This Row],[Jméno bez mezer]]),"@firmaabc.cz")</f>
        <v>prusa.waldemar@firmaabc.cz</v>
      </c>
      <c r="I467" s="2" t="str">
        <f>_xlfn.CONCAT(LEFT(LOWER(Tabulka1[[#This Row],[Příjmení bez mezer]]),3),RIGHT(UPPER(Tabulka1[[#This Row],[Jméno bez mezer]]),2))</f>
        <v>pruAR</v>
      </c>
    </row>
    <row r="468" spans="1:9" ht="30">
      <c r="A468" s="2" t="s">
        <v>1055</v>
      </c>
      <c r="B468" t="s">
        <v>180</v>
      </c>
      <c r="C468" t="s">
        <v>1056</v>
      </c>
      <c r="D468" t="str">
        <f>TRIM(Tabulka1[[#This Row],[Jméno]])</f>
        <v>Jaroslav</v>
      </c>
      <c r="E468" t="str">
        <f>TRIM(Tabulka1[[#This Row],[Příjmení]])</f>
        <v>Dolezal</v>
      </c>
      <c r="F468" s="2" t="str">
        <f>MID(Tabulka1[[#This Row],[Adresa]],1,SEARCH(",",Tabulka1[[#This Row],[Adresa]])-1)</f>
        <v>Teperova 268</v>
      </c>
      <c r="G468" s="2" t="str">
        <f>RIGHT(Tabulka1[[#This Row],[Adresa]],LEN(Tabulka1[[#This Row],[Adresa]])-LEN(Tabulka1[[#This Row],[Ulice]])-1)</f>
        <v>Moravany u Brna</v>
      </c>
      <c r="H468" s="2" t="str">
        <f>_xlfn.CONCAT(LOWER(Tabulka1[[#This Row],[Příjmení bez mezer]]),".",LOWER(Tabulka1[[#This Row],[Jméno bez mezer]]),"@firmaabc.cz")</f>
        <v>dolezal.jaroslav@firmaabc.cz</v>
      </c>
      <c r="I468" s="2" t="str">
        <f>_xlfn.CONCAT(LEFT(LOWER(Tabulka1[[#This Row],[Příjmení bez mezer]]),3),RIGHT(UPPER(Tabulka1[[#This Row],[Jméno bez mezer]]),2))</f>
        <v>dolAV</v>
      </c>
    </row>
    <row r="469" spans="1:9" ht="30">
      <c r="A469" s="2" t="s">
        <v>1057</v>
      </c>
      <c r="B469" t="s">
        <v>150</v>
      </c>
      <c r="C469" t="s">
        <v>419</v>
      </c>
      <c r="D469" t="str">
        <f>TRIM(Tabulka1[[#This Row],[Jméno]])</f>
        <v>Josef</v>
      </c>
      <c r="E469" t="str">
        <f>TRIM(Tabulka1[[#This Row],[Příjmení]])</f>
        <v>Svec</v>
      </c>
      <c r="F469" s="2" t="str">
        <f>MID(Tabulka1[[#This Row],[Adresa]],1,SEARCH(",",Tabulka1[[#This Row],[Adresa]])-1)</f>
        <v>Hájecká 1339</v>
      </c>
      <c r="G469" s="2" t="str">
        <f>RIGHT(Tabulka1[[#This Row],[Adresa]],LEN(Tabulka1[[#This Row],[Adresa]])-LEN(Tabulka1[[#This Row],[Ulice]])-1)</f>
        <v>Vraný u Slaného</v>
      </c>
      <c r="H469" s="2" t="str">
        <f>_xlfn.CONCAT(LOWER(Tabulka1[[#This Row],[Příjmení bez mezer]]),".",LOWER(Tabulka1[[#This Row],[Jméno bez mezer]]),"@firmaabc.cz")</f>
        <v>svec.josef@firmaabc.cz</v>
      </c>
      <c r="I469" s="2" t="str">
        <f>_xlfn.CONCAT(LEFT(LOWER(Tabulka1[[#This Row],[Příjmení bez mezer]]),3),RIGHT(UPPER(Tabulka1[[#This Row],[Jméno bez mezer]]),2))</f>
        <v>sveEF</v>
      </c>
    </row>
    <row r="470" spans="1:9">
      <c r="A470" s="2" t="s">
        <v>1058</v>
      </c>
      <c r="B470" t="s">
        <v>93</v>
      </c>
      <c r="C470" t="s">
        <v>1059</v>
      </c>
      <c r="D470" t="str">
        <f>TRIM(Tabulka1[[#This Row],[Jméno]])</f>
        <v>Vera</v>
      </c>
      <c r="E470" t="str">
        <f>TRIM(Tabulka1[[#This Row],[Příjmení]])</f>
        <v>Novosadova</v>
      </c>
      <c r="F470" s="2" t="str">
        <f>MID(Tabulka1[[#This Row],[Adresa]],1,SEARCH(",",Tabulka1[[#This Row],[Adresa]])-1)</f>
        <v>Střední 867</v>
      </c>
      <c r="G470" s="2" t="str">
        <f>RIGHT(Tabulka1[[#This Row],[Adresa]],LEN(Tabulka1[[#This Row],[Adresa]])-LEN(Tabulka1[[#This Row],[Ulice]])-1)</f>
        <v>Stod</v>
      </c>
      <c r="H470" s="2" t="str">
        <f>_xlfn.CONCAT(LOWER(Tabulka1[[#This Row],[Příjmení bez mezer]]),".",LOWER(Tabulka1[[#This Row],[Jméno bez mezer]]),"@firmaabc.cz")</f>
        <v>novosadova.vera@firmaabc.cz</v>
      </c>
      <c r="I470" s="2" t="str">
        <f>_xlfn.CONCAT(LEFT(LOWER(Tabulka1[[#This Row],[Příjmení bez mezer]]),3),RIGHT(UPPER(Tabulka1[[#This Row],[Jméno bez mezer]]),2))</f>
        <v>novRA</v>
      </c>
    </row>
    <row r="471" spans="1:9">
      <c r="A471" s="2" t="s">
        <v>1060</v>
      </c>
      <c r="B471" t="s">
        <v>150</v>
      </c>
      <c r="C471" t="s">
        <v>519</v>
      </c>
      <c r="D471" t="str">
        <f>TRIM(Tabulka1[[#This Row],[Jméno]])</f>
        <v>Josef</v>
      </c>
      <c r="E471" t="str">
        <f>TRIM(Tabulka1[[#This Row],[Příjmení]])</f>
        <v>Slavik</v>
      </c>
      <c r="F471" s="2" t="str">
        <f>MID(Tabulka1[[#This Row],[Adresa]],1,SEARCH(",",Tabulka1[[#This Row],[Adresa]])-1)</f>
        <v>Jičín 1077</v>
      </c>
      <c r="G471" s="2" t="str">
        <f>RIGHT(Tabulka1[[#This Row],[Adresa]],LEN(Tabulka1[[#This Row],[Adresa]])-LEN(Tabulka1[[#This Row],[Ulice]])-1)</f>
        <v>Jicín 1</v>
      </c>
      <c r="H471" s="2" t="str">
        <f>_xlfn.CONCAT(LOWER(Tabulka1[[#This Row],[Příjmení bez mezer]]),".",LOWER(Tabulka1[[#This Row],[Jméno bez mezer]]),"@firmaabc.cz")</f>
        <v>slavik.josef@firmaabc.cz</v>
      </c>
      <c r="I471" s="2" t="str">
        <f>_xlfn.CONCAT(LEFT(LOWER(Tabulka1[[#This Row],[Příjmení bez mezer]]),3),RIGHT(UPPER(Tabulka1[[#This Row],[Jméno bez mezer]]),2))</f>
        <v>slaEF</v>
      </c>
    </row>
    <row r="472" spans="1:9">
      <c r="A472" s="2" t="s">
        <v>1061</v>
      </c>
      <c r="B472" t="s">
        <v>26</v>
      </c>
      <c r="C472" t="s">
        <v>1062</v>
      </c>
      <c r="D472" t="str">
        <f>TRIM(Tabulka1[[#This Row],[Jméno]])</f>
        <v>Jan</v>
      </c>
      <c r="E472" t="str">
        <f>TRIM(Tabulka1[[#This Row],[Příjmení]])</f>
        <v>Macha</v>
      </c>
      <c r="F472" s="2" t="str">
        <f>MID(Tabulka1[[#This Row],[Adresa]],1,SEARCH(",",Tabulka1[[#This Row],[Adresa]])-1)</f>
        <v>Školní 1421</v>
      </c>
      <c r="G472" s="2" t="str">
        <f>RIGHT(Tabulka1[[#This Row],[Adresa]],LEN(Tabulka1[[#This Row],[Adresa]])-LEN(Tabulka1[[#This Row],[Ulice]])-1)</f>
        <v>Klatovy 1</v>
      </c>
      <c r="H472" s="2" t="str">
        <f>_xlfn.CONCAT(LOWER(Tabulka1[[#This Row],[Příjmení bez mezer]]),".",LOWER(Tabulka1[[#This Row],[Jméno bez mezer]]),"@firmaabc.cz")</f>
        <v>macha.jan@firmaabc.cz</v>
      </c>
      <c r="I472" s="2" t="str">
        <f>_xlfn.CONCAT(LEFT(LOWER(Tabulka1[[#This Row],[Příjmení bez mezer]]),3),RIGHT(UPPER(Tabulka1[[#This Row],[Jméno bez mezer]]),2))</f>
        <v>macAN</v>
      </c>
    </row>
    <row r="473" spans="1:9">
      <c r="A473" s="2" t="s">
        <v>1063</v>
      </c>
      <c r="B473" t="s">
        <v>191</v>
      </c>
      <c r="C473" t="s">
        <v>1064</v>
      </c>
      <c r="D473" t="str">
        <f>TRIM(Tabulka1[[#This Row],[Jméno]])</f>
        <v>Jana</v>
      </c>
      <c r="E473" t="str">
        <f>TRIM(Tabulka1[[#This Row],[Příjmení]])</f>
        <v>Marouskova</v>
      </c>
      <c r="F473" s="2" t="str">
        <f>MID(Tabulka1[[#This Row],[Adresa]],1,SEARCH(",",Tabulka1[[#This Row],[Adresa]])-1)</f>
        <v>Nerudova 405</v>
      </c>
      <c r="G473" s="2" t="str">
        <f>RIGHT(Tabulka1[[#This Row],[Adresa]],LEN(Tabulka1[[#This Row],[Adresa]])-LEN(Tabulka1[[#This Row],[Ulice]])-1)</f>
        <v>Borovany</v>
      </c>
      <c r="H473" s="2" t="str">
        <f>_xlfn.CONCAT(LOWER(Tabulka1[[#This Row],[Příjmení bez mezer]]),".",LOWER(Tabulka1[[#This Row],[Jméno bez mezer]]),"@firmaabc.cz")</f>
        <v>marouskova.jana@firmaabc.cz</v>
      </c>
      <c r="I473" s="2" t="str">
        <f>_xlfn.CONCAT(LEFT(LOWER(Tabulka1[[#This Row],[Příjmení bez mezer]]),3),RIGHT(UPPER(Tabulka1[[#This Row],[Jméno bez mezer]]),2))</f>
        <v>marNA</v>
      </c>
    </row>
    <row r="474" spans="1:9" ht="30">
      <c r="A474" s="2" t="s">
        <v>1065</v>
      </c>
      <c r="B474" t="s">
        <v>1066</v>
      </c>
      <c r="C474" t="s">
        <v>578</v>
      </c>
      <c r="D474" t="str">
        <f>TRIM(Tabulka1[[#This Row],[Jméno]])</f>
        <v>Ivanka</v>
      </c>
      <c r="E474" t="str">
        <f>TRIM(Tabulka1[[#This Row],[Příjmení]])</f>
        <v>Krizova</v>
      </c>
      <c r="F474" s="2" t="str">
        <f>MID(Tabulka1[[#This Row],[Adresa]],1,SEARCH(",",Tabulka1[[#This Row],[Adresa]])-1)</f>
        <v>Pod Floriánem 532</v>
      </c>
      <c r="G474" s="2" t="str">
        <f>RIGHT(Tabulka1[[#This Row],[Adresa]],LEN(Tabulka1[[#This Row],[Adresa]])-LEN(Tabulka1[[#This Row],[Ulice]])-1)</f>
        <v>Pelhrimov</v>
      </c>
      <c r="H474" s="2" t="str">
        <f>_xlfn.CONCAT(LOWER(Tabulka1[[#This Row],[Příjmení bez mezer]]),".",LOWER(Tabulka1[[#This Row],[Jméno bez mezer]]),"@firmaabc.cz")</f>
        <v>krizova.ivanka@firmaabc.cz</v>
      </c>
      <c r="I474" s="2" t="str">
        <f>_xlfn.CONCAT(LEFT(LOWER(Tabulka1[[#This Row],[Příjmení bez mezer]]),3),RIGHT(UPPER(Tabulka1[[#This Row],[Jméno bez mezer]]),2))</f>
        <v>kriKA</v>
      </c>
    </row>
    <row r="475" spans="1:9" ht="30">
      <c r="A475" s="2" t="s">
        <v>1067</v>
      </c>
      <c r="B475" t="s">
        <v>17</v>
      </c>
      <c r="C475" t="s">
        <v>1068</v>
      </c>
      <c r="D475" t="str">
        <f>TRIM(Tabulka1[[#This Row],[Jméno]])</f>
        <v>Vladimir</v>
      </c>
      <c r="E475" t="str">
        <f>TRIM(Tabulka1[[#This Row],[Příjmení]])</f>
        <v>?Vesely</v>
      </c>
      <c r="F475" s="2" t="str">
        <f>MID(Tabulka1[[#This Row],[Adresa]],1,SEARCH(",",Tabulka1[[#This Row],[Adresa]])-1)</f>
        <v>Větrník 129</v>
      </c>
      <c r="G475" s="2" t="str">
        <f>RIGHT(Tabulka1[[#This Row],[Adresa]],LEN(Tabulka1[[#This Row],[Adresa]])-LEN(Tabulka1[[#This Row],[Ulice]])-1)</f>
        <v>Police nad Metují</v>
      </c>
      <c r="H475" s="2" t="str">
        <f>_xlfn.CONCAT(LOWER(Tabulka1[[#This Row],[Příjmení bez mezer]]),".",LOWER(Tabulka1[[#This Row],[Jméno bez mezer]]),"@firmaabc.cz")</f>
        <v>?vesely.vladimir@firmaabc.cz</v>
      </c>
      <c r="I475" s="2" t="str">
        <f>_xlfn.CONCAT(LEFT(LOWER(Tabulka1[[#This Row],[Příjmení bez mezer]]),3),RIGHT(UPPER(Tabulka1[[#This Row],[Jméno bez mezer]]),2))</f>
        <v>?veIR</v>
      </c>
    </row>
    <row r="476" spans="1:9" ht="30">
      <c r="A476" s="2" t="s">
        <v>1069</v>
      </c>
      <c r="B476" t="s">
        <v>364</v>
      </c>
      <c r="C476" t="s">
        <v>1070</v>
      </c>
      <c r="D476" t="str">
        <f>TRIM(Tabulka1[[#This Row],[Jméno]])</f>
        <v>Danuse</v>
      </c>
      <c r="E476" t="str">
        <f>TRIM(Tabulka1[[#This Row],[Příjmení]])</f>
        <v>Bilkova</v>
      </c>
      <c r="F476" s="2" t="str">
        <f>MID(Tabulka1[[#This Row],[Adresa]],1,SEARCH(",",Tabulka1[[#This Row],[Adresa]])-1)</f>
        <v>Dobrovského 1934</v>
      </c>
      <c r="G476" s="2" t="str">
        <f>RIGHT(Tabulka1[[#This Row],[Adresa]],LEN(Tabulka1[[#This Row],[Adresa]])-LEN(Tabulka1[[#This Row],[Ulice]])-1)</f>
        <v>Lodenice u Moravského Krumlova</v>
      </c>
      <c r="H476" s="2" t="str">
        <f>_xlfn.CONCAT(LOWER(Tabulka1[[#This Row],[Příjmení bez mezer]]),".",LOWER(Tabulka1[[#This Row],[Jméno bez mezer]]),"@firmaabc.cz")</f>
        <v>bilkova.danuse@firmaabc.cz</v>
      </c>
      <c r="I476" s="2" t="str">
        <f>_xlfn.CONCAT(LEFT(LOWER(Tabulka1[[#This Row],[Příjmení bez mezer]]),3),RIGHT(UPPER(Tabulka1[[#This Row],[Jméno bez mezer]]),2))</f>
        <v>bilSE</v>
      </c>
    </row>
    <row r="477" spans="1:9" ht="30">
      <c r="A477" s="2" t="s">
        <v>1071</v>
      </c>
      <c r="B477" t="s">
        <v>125</v>
      </c>
      <c r="C477" t="s">
        <v>1072</v>
      </c>
      <c r="D477" t="str">
        <f>TRIM(Tabulka1[[#This Row],[Jméno]])</f>
        <v>Veronika</v>
      </c>
      <c r="E477" t="str">
        <f>TRIM(Tabulka1[[#This Row],[Příjmení]])</f>
        <v>Pytlikova</v>
      </c>
      <c r="F477" s="2" t="str">
        <f>MID(Tabulka1[[#This Row],[Adresa]],1,SEARCH(",",Tabulka1[[#This Row],[Adresa]])-1)</f>
        <v>Dašická 1080</v>
      </c>
      <c r="G477" s="2" t="str">
        <f>RIGHT(Tabulka1[[#This Row],[Adresa]],LEN(Tabulka1[[#This Row],[Adresa]])-LEN(Tabulka1[[#This Row],[Ulice]])-1)</f>
        <v>Holice v Cechách</v>
      </c>
      <c r="H477" s="2" t="str">
        <f>_xlfn.CONCAT(LOWER(Tabulka1[[#This Row],[Příjmení bez mezer]]),".",LOWER(Tabulka1[[#This Row],[Jméno bez mezer]]),"@firmaabc.cz")</f>
        <v>pytlikova.veronika@firmaabc.cz</v>
      </c>
      <c r="I477" s="2" t="str">
        <f>_xlfn.CONCAT(LEFT(LOWER(Tabulka1[[#This Row],[Příjmení bez mezer]]),3),RIGHT(UPPER(Tabulka1[[#This Row],[Jméno bez mezer]]),2))</f>
        <v>pytKA</v>
      </c>
    </row>
    <row r="478" spans="1:9">
      <c r="A478" s="2" t="s">
        <v>1073</v>
      </c>
      <c r="B478" t="s">
        <v>81</v>
      </c>
      <c r="C478" t="s">
        <v>165</v>
      </c>
      <c r="D478" t="str">
        <f>TRIM(Tabulka1[[#This Row],[Jméno]])</f>
        <v>Miroslav</v>
      </c>
      <c r="E478" t="str">
        <f>TRIM(Tabulka1[[#This Row],[Příjmení]])</f>
        <v>Novak</v>
      </c>
      <c r="F478" s="2" t="str">
        <f>MID(Tabulka1[[#This Row],[Adresa]],1,SEARCH(",",Tabulka1[[#This Row],[Adresa]])-1)</f>
        <v>Alšova 1314</v>
      </c>
      <c r="G478" s="2" t="str">
        <f>RIGHT(Tabulka1[[#This Row],[Adresa]],LEN(Tabulka1[[#This Row],[Adresa]])-LEN(Tabulka1[[#This Row],[Ulice]])-1)</f>
        <v>Tálín</v>
      </c>
      <c r="H478" s="2" t="str">
        <f>_xlfn.CONCAT(LOWER(Tabulka1[[#This Row],[Příjmení bez mezer]]),".",LOWER(Tabulka1[[#This Row],[Jméno bez mezer]]),"@firmaabc.cz")</f>
        <v>novak.miroslav@firmaabc.cz</v>
      </c>
      <c r="I478" s="2" t="str">
        <f>_xlfn.CONCAT(LEFT(LOWER(Tabulka1[[#This Row],[Příjmení bez mezer]]),3),RIGHT(UPPER(Tabulka1[[#This Row],[Jméno bez mezer]]),2))</f>
        <v>novAV</v>
      </c>
    </row>
    <row r="479" spans="1:9">
      <c r="A479" s="2" t="s">
        <v>1074</v>
      </c>
      <c r="B479" t="s">
        <v>125</v>
      </c>
      <c r="C479" t="s">
        <v>365</v>
      </c>
      <c r="D479" t="str">
        <f>TRIM(Tabulka1[[#This Row],[Jméno]])</f>
        <v>Veronika</v>
      </c>
      <c r="E479" t="str">
        <f>TRIM(Tabulka1[[#This Row],[Příjmení]])</f>
        <v>Hajkova</v>
      </c>
      <c r="F479" s="2" t="str">
        <f>MID(Tabulka1[[#This Row],[Adresa]],1,SEARCH(",",Tabulka1[[#This Row],[Adresa]])-1)</f>
        <v>Jiráskova 449</v>
      </c>
      <c r="G479" s="2" t="str">
        <f>RIGHT(Tabulka1[[#This Row],[Adresa]],LEN(Tabulka1[[#This Row],[Adresa]])-LEN(Tabulka1[[#This Row],[Ulice]])-1)</f>
        <v>Miletín</v>
      </c>
      <c r="H479" s="2" t="str">
        <f>_xlfn.CONCAT(LOWER(Tabulka1[[#This Row],[Příjmení bez mezer]]),".",LOWER(Tabulka1[[#This Row],[Jméno bez mezer]]),"@firmaabc.cz")</f>
        <v>hajkova.veronika@firmaabc.cz</v>
      </c>
      <c r="I479" s="2" t="str">
        <f>_xlfn.CONCAT(LEFT(LOWER(Tabulka1[[#This Row],[Příjmení bez mezer]]),3),RIGHT(UPPER(Tabulka1[[#This Row],[Jméno bez mezer]]),2))</f>
        <v>hajKA</v>
      </c>
    </row>
    <row r="480" spans="1:9">
      <c r="A480" s="2" t="s">
        <v>1075</v>
      </c>
      <c r="B480" t="s">
        <v>1076</v>
      </c>
      <c r="C480" t="s">
        <v>1077</v>
      </c>
      <c r="D480" t="str">
        <f>TRIM(Tabulka1[[#This Row],[Jméno]])</f>
        <v>Lada</v>
      </c>
      <c r="E480" t="str">
        <f>TRIM(Tabulka1[[#This Row],[Příjmení]])</f>
        <v>Brozikova</v>
      </c>
      <c r="F480" s="2" t="str">
        <f>MID(Tabulka1[[#This Row],[Adresa]],1,SEARCH(",",Tabulka1[[#This Row],[Adresa]])-1)</f>
        <v>Palackého 238</v>
      </c>
      <c r="G480" s="2" t="str">
        <f>RIGHT(Tabulka1[[#This Row],[Adresa]],LEN(Tabulka1[[#This Row],[Adresa]])-LEN(Tabulka1[[#This Row],[Ulice]])-1)</f>
        <v>Božejov</v>
      </c>
      <c r="H480" s="2" t="str">
        <f>_xlfn.CONCAT(LOWER(Tabulka1[[#This Row],[Příjmení bez mezer]]),".",LOWER(Tabulka1[[#This Row],[Jméno bez mezer]]),"@firmaabc.cz")</f>
        <v>brozikova.lada@firmaabc.cz</v>
      </c>
      <c r="I480" s="2" t="str">
        <f>_xlfn.CONCAT(LEFT(LOWER(Tabulka1[[#This Row],[Příjmení bez mezer]]),3),RIGHT(UPPER(Tabulka1[[#This Row],[Jméno bez mezer]]),2))</f>
        <v>broDA</v>
      </c>
    </row>
    <row r="481" spans="1:9" ht="30">
      <c r="A481" s="2" t="s">
        <v>1078</v>
      </c>
      <c r="B481" t="s">
        <v>90</v>
      </c>
      <c r="C481" t="s">
        <v>1079</v>
      </c>
      <c r="D481" t="str">
        <f>TRIM(Tabulka1[[#This Row],[Jméno]])</f>
        <v>Pavel</v>
      </c>
      <c r="E481" t="str">
        <f>TRIM(Tabulka1[[#This Row],[Příjmení]])</f>
        <v>Rajtr</v>
      </c>
      <c r="F481" s="2" t="str">
        <f>MID(Tabulka1[[#This Row],[Adresa]],1,SEARCH(",",Tabulka1[[#This Row],[Adresa]])-1)</f>
        <v>Spodní Pustá 1872</v>
      </c>
      <c r="G481" s="2" t="str">
        <f>RIGHT(Tabulka1[[#This Row],[Adresa]],LEN(Tabulka1[[#This Row],[Adresa]])-LEN(Tabulka1[[#This Row],[Ulice]])-1)</f>
        <v>Bukovany u Hodonína</v>
      </c>
      <c r="H481" s="2" t="str">
        <f>_xlfn.CONCAT(LOWER(Tabulka1[[#This Row],[Příjmení bez mezer]]),".",LOWER(Tabulka1[[#This Row],[Jméno bez mezer]]),"@firmaabc.cz")</f>
        <v>rajtr.pavel@firmaabc.cz</v>
      </c>
      <c r="I481" s="2" t="str">
        <f>_xlfn.CONCAT(LEFT(LOWER(Tabulka1[[#This Row],[Příjmení bez mezer]]),3),RIGHT(UPPER(Tabulka1[[#This Row],[Jméno bez mezer]]),2))</f>
        <v>rajEL</v>
      </c>
    </row>
    <row r="482" spans="1:9">
      <c r="A482" s="2" t="s">
        <v>1080</v>
      </c>
      <c r="B482" t="s">
        <v>1081</v>
      </c>
      <c r="C482" t="s">
        <v>1082</v>
      </c>
      <c r="D482" t="str">
        <f>TRIM(Tabulka1[[#This Row],[Jméno]])</f>
        <v>Alex</v>
      </c>
      <c r="E482" t="str">
        <f>TRIM(Tabulka1[[#This Row],[Příjmení]])</f>
        <v>Vojta</v>
      </c>
      <c r="F482" s="2" t="str">
        <f>MID(Tabulka1[[#This Row],[Adresa]],1,SEARCH(",",Tabulka1[[#This Row],[Adresa]])-1)</f>
        <v>Na Výsluní 1462</v>
      </c>
      <c r="G482" s="2" t="str">
        <f>RIGHT(Tabulka1[[#This Row],[Adresa]],LEN(Tabulka1[[#This Row],[Adresa]])-LEN(Tabulka1[[#This Row],[Ulice]])-1)</f>
        <v>Stríbro</v>
      </c>
      <c r="H482" s="2" t="str">
        <f>_xlfn.CONCAT(LOWER(Tabulka1[[#This Row],[Příjmení bez mezer]]),".",LOWER(Tabulka1[[#This Row],[Jméno bez mezer]]),"@firmaabc.cz")</f>
        <v>vojta.alex@firmaabc.cz</v>
      </c>
      <c r="I482" s="2" t="str">
        <f>_xlfn.CONCAT(LEFT(LOWER(Tabulka1[[#This Row],[Příjmení bez mezer]]),3),RIGHT(UPPER(Tabulka1[[#This Row],[Jméno bez mezer]]),2))</f>
        <v>vojEX</v>
      </c>
    </row>
    <row r="483" spans="1:9">
      <c r="A483" s="2" t="s">
        <v>1083</v>
      </c>
      <c r="B483" t="s">
        <v>90</v>
      </c>
      <c r="C483" t="s">
        <v>778</v>
      </c>
      <c r="D483" t="str">
        <f>TRIM(Tabulka1[[#This Row],[Jméno]])</f>
        <v>Pavel</v>
      </c>
      <c r="E483" t="str">
        <f>TRIM(Tabulka1[[#This Row],[Příjmení]])</f>
        <v>Novotny</v>
      </c>
      <c r="F483" s="2" t="str">
        <f>MID(Tabulka1[[#This Row],[Adresa]],1,SEARCH(",",Tabulka1[[#This Row],[Adresa]])-1)</f>
        <v>Hálkova 1686</v>
      </c>
      <c r="G483" s="2" t="str">
        <f>RIGHT(Tabulka1[[#This Row],[Adresa]],LEN(Tabulka1[[#This Row],[Adresa]])-LEN(Tabulka1[[#This Row],[Ulice]])-1)</f>
        <v>Volfartice</v>
      </c>
      <c r="H483" s="2" t="str">
        <f>_xlfn.CONCAT(LOWER(Tabulka1[[#This Row],[Příjmení bez mezer]]),".",LOWER(Tabulka1[[#This Row],[Jméno bez mezer]]),"@firmaabc.cz")</f>
        <v>novotny.pavel@firmaabc.cz</v>
      </c>
      <c r="I483" s="2" t="str">
        <f>_xlfn.CONCAT(LEFT(LOWER(Tabulka1[[#This Row],[Příjmení bez mezer]]),3),RIGHT(UPPER(Tabulka1[[#This Row],[Jméno bez mezer]]),2))</f>
        <v>novEL</v>
      </c>
    </row>
    <row r="484" spans="1:9">
      <c r="A484" s="2" t="s">
        <v>1084</v>
      </c>
      <c r="B484" t="s">
        <v>996</v>
      </c>
      <c r="C484" t="s">
        <v>1085</v>
      </c>
      <c r="D484" t="str">
        <f>TRIM(Tabulka1[[#This Row],[Jméno]])</f>
        <v>Vaclav</v>
      </c>
      <c r="E484" t="str">
        <f>TRIM(Tabulka1[[#This Row],[Příjmení]])</f>
        <v>Malik</v>
      </c>
      <c r="F484" s="2" t="str">
        <f>MID(Tabulka1[[#This Row],[Adresa]],1,SEARCH(",",Tabulka1[[#This Row],[Adresa]])-1)</f>
        <v>Pardubská 550</v>
      </c>
      <c r="G484" s="2" t="str">
        <f>RIGHT(Tabulka1[[#This Row],[Adresa]],LEN(Tabulka1[[#This Row],[Adresa]])-LEN(Tabulka1[[#This Row],[Ulice]])-1)</f>
        <v>Myslocovice</v>
      </c>
      <c r="H484" s="2" t="str">
        <f>_xlfn.CONCAT(LOWER(Tabulka1[[#This Row],[Příjmení bez mezer]]),".",LOWER(Tabulka1[[#This Row],[Jméno bez mezer]]),"@firmaabc.cz")</f>
        <v>malik.vaclav@firmaabc.cz</v>
      </c>
      <c r="I484" s="2" t="str">
        <f>_xlfn.CONCAT(LEFT(LOWER(Tabulka1[[#This Row],[Příjmení bez mezer]]),3),RIGHT(UPPER(Tabulka1[[#This Row],[Jméno bez mezer]]),2))</f>
        <v>malAV</v>
      </c>
    </row>
    <row r="485" spans="1:9">
      <c r="A485" s="2" t="s">
        <v>1086</v>
      </c>
      <c r="B485" t="s">
        <v>103</v>
      </c>
      <c r="C485" t="s">
        <v>1087</v>
      </c>
      <c r="D485" t="str">
        <f>TRIM(Tabulka1[[#This Row],[Jméno]])</f>
        <v>Frantisek</v>
      </c>
      <c r="E485" t="str">
        <f>TRIM(Tabulka1[[#This Row],[Příjmení]])</f>
        <v>Kos</v>
      </c>
      <c r="F485" s="2" t="str">
        <f>MID(Tabulka1[[#This Row],[Adresa]],1,SEARCH(",",Tabulka1[[#This Row],[Adresa]])-1)</f>
        <v>Sokolovská 363</v>
      </c>
      <c r="G485" s="2" t="str">
        <f>RIGHT(Tabulka1[[#This Row],[Adresa]],LEN(Tabulka1[[#This Row],[Adresa]])-LEN(Tabulka1[[#This Row],[Ulice]])-1)</f>
        <v>Bridlicná</v>
      </c>
      <c r="H485" s="2" t="str">
        <f>_xlfn.CONCAT(LOWER(Tabulka1[[#This Row],[Příjmení bez mezer]]),".",LOWER(Tabulka1[[#This Row],[Jméno bez mezer]]),"@firmaabc.cz")</f>
        <v>kos.frantisek@firmaabc.cz</v>
      </c>
      <c r="I485" s="2" t="str">
        <f>_xlfn.CONCAT(LEFT(LOWER(Tabulka1[[#This Row],[Příjmení bez mezer]]),3),RIGHT(UPPER(Tabulka1[[#This Row],[Jméno bez mezer]]),2))</f>
        <v>kosEK</v>
      </c>
    </row>
    <row r="486" spans="1:9" ht="30">
      <c r="A486" s="2" t="s">
        <v>1088</v>
      </c>
      <c r="B486" t="s">
        <v>322</v>
      </c>
      <c r="C486" t="s">
        <v>850</v>
      </c>
      <c r="D486" t="str">
        <f>TRIM(Tabulka1[[#This Row],[Jméno]])</f>
        <v>Helena</v>
      </c>
      <c r="E486" t="str">
        <f>TRIM(Tabulka1[[#This Row],[Příjmení]])</f>
        <v>Svobodova</v>
      </c>
      <c r="F486" s="2" t="str">
        <f>MID(Tabulka1[[#This Row],[Adresa]],1,SEARCH(",",Tabulka1[[#This Row],[Adresa]])-1)</f>
        <v>Pivovarská 1439</v>
      </c>
      <c r="G486" s="2" t="str">
        <f>RIGHT(Tabulka1[[#This Row],[Adresa]],LEN(Tabulka1[[#This Row],[Adresa]])-LEN(Tabulka1[[#This Row],[Ulice]])-1)</f>
        <v>Vráž u Berouna</v>
      </c>
      <c r="H486" s="2" t="str">
        <f>_xlfn.CONCAT(LOWER(Tabulka1[[#This Row],[Příjmení bez mezer]]),".",LOWER(Tabulka1[[#This Row],[Jméno bez mezer]]),"@firmaabc.cz")</f>
        <v>svobodova.helena@firmaabc.cz</v>
      </c>
      <c r="I486" s="2" t="str">
        <f>_xlfn.CONCAT(LEFT(LOWER(Tabulka1[[#This Row],[Příjmení bez mezer]]),3),RIGHT(UPPER(Tabulka1[[#This Row],[Jméno bez mezer]]),2))</f>
        <v>svoNA</v>
      </c>
    </row>
    <row r="487" spans="1:9" ht="30">
      <c r="A487" s="2" t="s">
        <v>1089</v>
      </c>
      <c r="B487" t="s">
        <v>709</v>
      </c>
      <c r="C487" t="s">
        <v>1090</v>
      </c>
      <c r="D487" t="str">
        <f>TRIM(Tabulka1[[#This Row],[Jméno]])</f>
        <v>Bozena</v>
      </c>
      <c r="E487" t="str">
        <f>TRIM(Tabulka1[[#This Row],[Příjmení]])</f>
        <v>Urbankova</v>
      </c>
      <c r="F487" s="2" t="str">
        <f>MID(Tabulka1[[#This Row],[Adresa]],1,SEARCH(",",Tabulka1[[#This Row],[Adresa]])-1)</f>
        <v>Palackého 347</v>
      </c>
      <c r="G487" s="2" t="str">
        <f>RIGHT(Tabulka1[[#This Row],[Adresa]],LEN(Tabulka1[[#This Row],[Adresa]])-LEN(Tabulka1[[#This Row],[Ulice]])-1)</f>
        <v>Morkovice-Slížany</v>
      </c>
      <c r="H487" s="2" t="str">
        <f>_xlfn.CONCAT(LOWER(Tabulka1[[#This Row],[Příjmení bez mezer]]),".",LOWER(Tabulka1[[#This Row],[Jméno bez mezer]]),"@firmaabc.cz")</f>
        <v>urbankova.bozena@firmaabc.cz</v>
      </c>
      <c r="I487" s="2" t="str">
        <f>_xlfn.CONCAT(LEFT(LOWER(Tabulka1[[#This Row],[Příjmení bez mezer]]),3),RIGHT(UPPER(Tabulka1[[#This Row],[Jméno bez mezer]]),2))</f>
        <v>urbNA</v>
      </c>
    </row>
    <row r="488" spans="1:9" ht="30">
      <c r="A488" s="2" t="s">
        <v>1091</v>
      </c>
      <c r="B488" t="s">
        <v>106</v>
      </c>
      <c r="C488" t="s">
        <v>268</v>
      </c>
      <c r="D488" t="str">
        <f>TRIM(Tabulka1[[#This Row],[Jméno]])</f>
        <v>Alena</v>
      </c>
      <c r="E488" t="str">
        <f>TRIM(Tabulka1[[#This Row],[Příjmení]])</f>
        <v>Kockova</v>
      </c>
      <c r="F488" s="2" t="str">
        <f>MID(Tabulka1[[#This Row],[Adresa]],1,SEARCH(",",Tabulka1[[#This Row],[Adresa]])-1)</f>
        <v>Hamerská 1854</v>
      </c>
      <c r="G488" s="2" t="str">
        <f>RIGHT(Tabulka1[[#This Row],[Adresa]],LEN(Tabulka1[[#This Row],[Adresa]])-LEN(Tabulka1[[#This Row],[Ulice]])-1)</f>
        <v>Nová Ves u Chotebore</v>
      </c>
      <c r="H488" s="2" t="str">
        <f>_xlfn.CONCAT(LOWER(Tabulka1[[#This Row],[Příjmení bez mezer]]),".",LOWER(Tabulka1[[#This Row],[Jméno bez mezer]]),"@firmaabc.cz")</f>
        <v>kockova.alena@firmaabc.cz</v>
      </c>
      <c r="I488" s="2" t="str">
        <f>_xlfn.CONCAT(LEFT(LOWER(Tabulka1[[#This Row],[Příjmení bez mezer]]),3),RIGHT(UPPER(Tabulka1[[#This Row],[Jméno bez mezer]]),2))</f>
        <v>kocNA</v>
      </c>
    </row>
    <row r="489" spans="1:9">
      <c r="A489" s="2" t="s">
        <v>1092</v>
      </c>
      <c r="B489" t="s">
        <v>289</v>
      </c>
      <c r="C489" t="s">
        <v>1093</v>
      </c>
      <c r="D489" t="str">
        <f>TRIM(Tabulka1[[#This Row],[Jméno]])</f>
        <v>Petr</v>
      </c>
      <c r="E489" t="str">
        <f>TRIM(Tabulka1[[#This Row],[Příjmení]])</f>
        <v>Polacek</v>
      </c>
      <c r="F489" s="2" t="str">
        <f>MID(Tabulka1[[#This Row],[Adresa]],1,SEARCH(",",Tabulka1[[#This Row],[Adresa]])-1)</f>
        <v>Partyzánská 717</v>
      </c>
      <c r="G489" s="2" t="str">
        <f>RIGHT(Tabulka1[[#This Row],[Adresa]],LEN(Tabulka1[[#This Row],[Adresa]])-LEN(Tabulka1[[#This Row],[Ulice]])-1)</f>
        <v>Broumov 1</v>
      </c>
      <c r="H489" s="2" t="str">
        <f>_xlfn.CONCAT(LOWER(Tabulka1[[#This Row],[Příjmení bez mezer]]),".",LOWER(Tabulka1[[#This Row],[Jméno bez mezer]]),"@firmaabc.cz")</f>
        <v>polacek.petr@firmaabc.cz</v>
      </c>
      <c r="I489" s="2" t="str">
        <f>_xlfn.CONCAT(LEFT(LOWER(Tabulka1[[#This Row],[Příjmení bez mezer]]),3),RIGHT(UPPER(Tabulka1[[#This Row],[Jméno bez mezer]]),2))</f>
        <v>polTR</v>
      </c>
    </row>
    <row r="490" spans="1:9">
      <c r="A490" s="2" t="s">
        <v>1094</v>
      </c>
      <c r="B490" t="s">
        <v>1095</v>
      </c>
      <c r="C490" t="s">
        <v>1096</v>
      </c>
      <c r="D490" t="str">
        <f>TRIM(Tabulka1[[#This Row],[Jméno]])</f>
        <v>Sona</v>
      </c>
      <c r="E490" t="str">
        <f>TRIM(Tabulka1[[#This Row],[Příjmení]])</f>
        <v>Hurtova</v>
      </c>
      <c r="F490" s="2" t="str">
        <f>MID(Tabulka1[[#This Row],[Adresa]],1,SEARCH(",",Tabulka1[[#This Row],[Adresa]])-1)</f>
        <v>Sluneční 1460</v>
      </c>
      <c r="G490" s="2" t="str">
        <f>RIGHT(Tabulka1[[#This Row],[Adresa]],LEN(Tabulka1[[#This Row],[Adresa]])-LEN(Tabulka1[[#This Row],[Ulice]])-1)</f>
        <v>Mokré Lazce</v>
      </c>
      <c r="H490" s="2" t="str">
        <f>_xlfn.CONCAT(LOWER(Tabulka1[[#This Row],[Příjmení bez mezer]]),".",LOWER(Tabulka1[[#This Row],[Jméno bez mezer]]),"@firmaabc.cz")</f>
        <v>hurtova.sona@firmaabc.cz</v>
      </c>
      <c r="I490" s="2" t="str">
        <f>_xlfn.CONCAT(LEFT(LOWER(Tabulka1[[#This Row],[Příjmení bez mezer]]),3),RIGHT(UPPER(Tabulka1[[#This Row],[Jméno bez mezer]]),2))</f>
        <v>hurNA</v>
      </c>
    </row>
    <row r="491" spans="1:9">
      <c r="A491" s="2" t="s">
        <v>1097</v>
      </c>
      <c r="B491" t="s">
        <v>47</v>
      </c>
      <c r="C491" t="s">
        <v>1098</v>
      </c>
      <c r="D491" t="str">
        <f>TRIM(Tabulka1[[#This Row],[Jméno]])</f>
        <v>Tomas</v>
      </c>
      <c r="E491" t="str">
        <f>TRIM(Tabulka1[[#This Row],[Příjmení]])</f>
        <v>Kroutil</v>
      </c>
      <c r="F491" s="2" t="str">
        <f>MID(Tabulka1[[#This Row],[Adresa]],1,SEARCH(",",Tabulka1[[#This Row],[Adresa]])-1)</f>
        <v>Barákova 112</v>
      </c>
      <c r="G491" s="2" t="str">
        <f>RIGHT(Tabulka1[[#This Row],[Adresa]],LEN(Tabulka1[[#This Row],[Adresa]])-LEN(Tabulka1[[#This Row],[Ulice]])-1)</f>
        <v>Mratín</v>
      </c>
      <c r="H491" s="2" t="str">
        <f>_xlfn.CONCAT(LOWER(Tabulka1[[#This Row],[Příjmení bez mezer]]),".",LOWER(Tabulka1[[#This Row],[Jméno bez mezer]]),"@firmaabc.cz")</f>
        <v>kroutil.tomas@firmaabc.cz</v>
      </c>
      <c r="I491" s="2" t="str">
        <f>_xlfn.CONCAT(LEFT(LOWER(Tabulka1[[#This Row],[Příjmení bez mezer]]),3),RIGHT(UPPER(Tabulka1[[#This Row],[Jméno bez mezer]]),2))</f>
        <v>kroAS</v>
      </c>
    </row>
    <row r="492" spans="1:9" ht="30">
      <c r="A492" s="2" t="s">
        <v>1099</v>
      </c>
      <c r="B492" t="s">
        <v>191</v>
      </c>
      <c r="C492" t="s">
        <v>1100</v>
      </c>
      <c r="D492" t="str">
        <f>TRIM(Tabulka1[[#This Row],[Jméno]])</f>
        <v>Jana</v>
      </c>
      <c r="E492" t="str">
        <f>TRIM(Tabulka1[[#This Row],[Příjmení]])</f>
        <v>Balikova</v>
      </c>
      <c r="F492" s="2" t="str">
        <f>MID(Tabulka1[[#This Row],[Adresa]],1,SEARCH(",",Tabulka1[[#This Row],[Adresa]])-1)</f>
        <v>Žerotínova 1324</v>
      </c>
      <c r="G492" s="2" t="str">
        <f>RIGHT(Tabulka1[[#This Row],[Adresa]],LEN(Tabulka1[[#This Row],[Adresa]])-LEN(Tabulka1[[#This Row],[Ulice]])-1)</f>
        <v>Horice v Podkrkonoší</v>
      </c>
      <c r="H492" s="2" t="str">
        <f>_xlfn.CONCAT(LOWER(Tabulka1[[#This Row],[Příjmení bez mezer]]),".",LOWER(Tabulka1[[#This Row],[Jméno bez mezer]]),"@firmaabc.cz")</f>
        <v>balikova.jana@firmaabc.cz</v>
      </c>
      <c r="I492" s="2" t="str">
        <f>_xlfn.CONCAT(LEFT(LOWER(Tabulka1[[#This Row],[Příjmení bez mezer]]),3),RIGHT(UPPER(Tabulka1[[#This Row],[Jméno bez mezer]]),2))</f>
        <v>balNA</v>
      </c>
    </row>
    <row r="493" spans="1:9" ht="30">
      <c r="A493" s="2" t="s">
        <v>1101</v>
      </c>
      <c r="B493" t="s">
        <v>1018</v>
      </c>
      <c r="C493" t="s">
        <v>1102</v>
      </c>
      <c r="D493" t="str">
        <f>TRIM(Tabulka1[[#This Row],[Jméno]])</f>
        <v>Jarmila</v>
      </c>
      <c r="E493" t="str">
        <f>TRIM(Tabulka1[[#This Row],[Příjmení]])</f>
        <v>Blazkova</v>
      </c>
      <c r="F493" s="2" t="str">
        <f>MID(Tabulka1[[#This Row],[Adresa]],1,SEARCH(",",Tabulka1[[#This Row],[Adresa]])-1)</f>
        <v>Vostelčická 1117</v>
      </c>
      <c r="G493" s="2" t="str">
        <f>RIGHT(Tabulka1[[#This Row],[Adresa]],LEN(Tabulka1[[#This Row],[Adresa]])-LEN(Tabulka1[[#This Row],[Ulice]])-1)</f>
        <v>Vysoké Mýto</v>
      </c>
      <c r="H493" s="2" t="str">
        <f>_xlfn.CONCAT(LOWER(Tabulka1[[#This Row],[Příjmení bez mezer]]),".",LOWER(Tabulka1[[#This Row],[Jméno bez mezer]]),"@firmaabc.cz")</f>
        <v>blazkova.jarmila@firmaabc.cz</v>
      </c>
      <c r="I493" s="2" t="str">
        <f>_xlfn.CONCAT(LEFT(LOWER(Tabulka1[[#This Row],[Příjmení bez mezer]]),3),RIGHT(UPPER(Tabulka1[[#This Row],[Jméno bez mezer]]),2))</f>
        <v>blaLA</v>
      </c>
    </row>
    <row r="494" spans="1:9">
      <c r="A494" s="2" t="s">
        <v>1103</v>
      </c>
      <c r="B494" t="s">
        <v>72</v>
      </c>
      <c r="C494" t="s">
        <v>1104</v>
      </c>
      <c r="D494" t="str">
        <f>TRIM(Tabulka1[[#This Row],[Jméno]])</f>
        <v>Jakub</v>
      </c>
      <c r="E494" t="str">
        <f>TRIM(Tabulka1[[#This Row],[Příjmení]])</f>
        <v>Slama</v>
      </c>
      <c r="F494" s="2" t="str">
        <f>MID(Tabulka1[[#This Row],[Adresa]],1,SEARCH(",",Tabulka1[[#This Row],[Adresa]])-1)</f>
        <v>Hřbitovní 1799</v>
      </c>
      <c r="G494" s="2" t="str">
        <f>RIGHT(Tabulka1[[#This Row],[Adresa]],LEN(Tabulka1[[#This Row],[Adresa]])-LEN(Tabulka1[[#This Row],[Ulice]])-1)</f>
        <v>Nedašov</v>
      </c>
      <c r="H494" s="2" t="str">
        <f>_xlfn.CONCAT(LOWER(Tabulka1[[#This Row],[Příjmení bez mezer]]),".",LOWER(Tabulka1[[#This Row],[Jméno bez mezer]]),"@firmaabc.cz")</f>
        <v>slama.jakub@firmaabc.cz</v>
      </c>
      <c r="I494" s="2" t="str">
        <f>_xlfn.CONCAT(LEFT(LOWER(Tabulka1[[#This Row],[Příjmení bez mezer]]),3),RIGHT(UPPER(Tabulka1[[#This Row],[Jméno bez mezer]]),2))</f>
        <v>slaUB</v>
      </c>
    </row>
    <row r="495" spans="1:9" ht="30">
      <c r="A495" s="2" t="s">
        <v>1105</v>
      </c>
      <c r="B495" t="s">
        <v>17</v>
      </c>
      <c r="C495" t="s">
        <v>1106</v>
      </c>
      <c r="D495" t="str">
        <f>TRIM(Tabulka1[[#This Row],[Jméno]])</f>
        <v>Vladimir</v>
      </c>
      <c r="E495" t="str">
        <f>TRIM(Tabulka1[[#This Row],[Příjmení]])</f>
        <v>Sommer</v>
      </c>
      <c r="F495" s="2" t="str">
        <f>MID(Tabulka1[[#This Row],[Adresa]],1,SEARCH(",",Tabulka1[[#This Row],[Adresa]])-1)</f>
        <v>Opltova 783</v>
      </c>
      <c r="G495" s="2" t="str">
        <f>RIGHT(Tabulka1[[#This Row],[Adresa]],LEN(Tabulka1[[#This Row],[Adresa]])-LEN(Tabulka1[[#This Row],[Ulice]])-1)</f>
        <v>Stankovice u Žatce</v>
      </c>
      <c r="H495" s="2" t="str">
        <f>_xlfn.CONCAT(LOWER(Tabulka1[[#This Row],[Příjmení bez mezer]]),".",LOWER(Tabulka1[[#This Row],[Jméno bez mezer]]),"@firmaabc.cz")</f>
        <v>sommer.vladimir@firmaabc.cz</v>
      </c>
      <c r="I495" s="2" t="str">
        <f>_xlfn.CONCAT(LEFT(LOWER(Tabulka1[[#This Row],[Příjmení bez mezer]]),3),RIGHT(UPPER(Tabulka1[[#This Row],[Jméno bez mezer]]),2))</f>
        <v>somIR</v>
      </c>
    </row>
    <row r="496" spans="1:9">
      <c r="A496" s="2" t="s">
        <v>1107</v>
      </c>
      <c r="B496" t="s">
        <v>305</v>
      </c>
      <c r="C496" t="s">
        <v>1108</v>
      </c>
      <c r="D496" t="str">
        <f>TRIM(Tabulka1[[#This Row],[Jméno]])</f>
        <v>Lenka</v>
      </c>
      <c r="E496" t="str">
        <f>TRIM(Tabulka1[[#This Row],[Příjmení]])</f>
        <v>Jurova</v>
      </c>
      <c r="F496" s="2" t="str">
        <f>MID(Tabulka1[[#This Row],[Adresa]],1,SEARCH(",",Tabulka1[[#This Row],[Adresa]])-1)</f>
        <v>Opltova 1426</v>
      </c>
      <c r="G496" s="2" t="str">
        <f>RIGHT(Tabulka1[[#This Row],[Adresa]],LEN(Tabulka1[[#This Row],[Adresa]])-LEN(Tabulka1[[#This Row],[Ulice]])-1)</f>
        <v>Krásný Dvur</v>
      </c>
      <c r="H496" s="2" t="str">
        <f>_xlfn.CONCAT(LOWER(Tabulka1[[#This Row],[Příjmení bez mezer]]),".",LOWER(Tabulka1[[#This Row],[Jméno bez mezer]]),"@firmaabc.cz")</f>
        <v>jurova.lenka@firmaabc.cz</v>
      </c>
      <c r="I496" s="2" t="str">
        <f>_xlfn.CONCAT(LEFT(LOWER(Tabulka1[[#This Row],[Příjmení bez mezer]]),3),RIGHT(UPPER(Tabulka1[[#This Row],[Jméno bez mezer]]),2))</f>
        <v>jurKA</v>
      </c>
    </row>
    <row r="497" spans="1:9">
      <c r="A497" s="2" t="s">
        <v>1109</v>
      </c>
      <c r="B497" t="s">
        <v>1110</v>
      </c>
      <c r="C497" t="s">
        <v>1051</v>
      </c>
      <c r="D497" t="str">
        <f>TRIM(Tabulka1[[#This Row],[Jméno]])</f>
        <v>Lubomir</v>
      </c>
      <c r="E497" t="str">
        <f>TRIM(Tabulka1[[#This Row],[Příjmení]])</f>
        <v>Peterka</v>
      </c>
      <c r="F497" s="2" t="str">
        <f>MID(Tabulka1[[#This Row],[Adresa]],1,SEARCH(",",Tabulka1[[#This Row],[Adresa]])-1)</f>
        <v>U Trati 1894</v>
      </c>
      <c r="G497" s="2" t="str">
        <f>RIGHT(Tabulka1[[#This Row],[Adresa]],LEN(Tabulka1[[#This Row],[Adresa]])-LEN(Tabulka1[[#This Row],[Ulice]])-1)</f>
        <v>Kralovice</v>
      </c>
      <c r="H497" s="2" t="str">
        <f>_xlfn.CONCAT(LOWER(Tabulka1[[#This Row],[Příjmení bez mezer]]),".",LOWER(Tabulka1[[#This Row],[Jméno bez mezer]]),"@firmaabc.cz")</f>
        <v>peterka.lubomir@firmaabc.cz</v>
      </c>
      <c r="I497" s="2" t="str">
        <f>_xlfn.CONCAT(LEFT(LOWER(Tabulka1[[#This Row],[Příjmení bez mezer]]),3),RIGHT(UPPER(Tabulka1[[#This Row],[Jméno bez mezer]]),2))</f>
        <v>petIR</v>
      </c>
    </row>
    <row r="498" spans="1:9" ht="30">
      <c r="A498" s="2" t="s">
        <v>1111</v>
      </c>
      <c r="B498" t="s">
        <v>78</v>
      </c>
      <c r="C498" t="s">
        <v>1028</v>
      </c>
      <c r="D498" t="str">
        <f>TRIM(Tabulka1[[#This Row],[Jméno]])</f>
        <v>Jitka</v>
      </c>
      <c r="E498" t="str">
        <f>TRIM(Tabulka1[[#This Row],[Příjmení]])</f>
        <v>Lavickova</v>
      </c>
      <c r="F498" s="2" t="str">
        <f>MID(Tabulka1[[#This Row],[Adresa]],1,SEARCH(",",Tabulka1[[#This Row],[Adresa]])-1)</f>
        <v>Budovatelská 1017</v>
      </c>
      <c r="G498" s="2" t="str">
        <f>RIGHT(Tabulka1[[#This Row],[Adresa]],LEN(Tabulka1[[#This Row],[Adresa]])-LEN(Tabulka1[[#This Row],[Ulice]])-1)</f>
        <v>Sedlice u Blatné</v>
      </c>
      <c r="H498" s="2" t="str">
        <f>_xlfn.CONCAT(LOWER(Tabulka1[[#This Row],[Příjmení bez mezer]]),".",LOWER(Tabulka1[[#This Row],[Jméno bez mezer]]),"@firmaabc.cz")</f>
        <v>lavickova.jitka@firmaabc.cz</v>
      </c>
      <c r="I498" s="2" t="str">
        <f>_xlfn.CONCAT(LEFT(LOWER(Tabulka1[[#This Row],[Příjmení bez mezer]]),3),RIGHT(UPPER(Tabulka1[[#This Row],[Jméno bez mezer]]),2))</f>
        <v>lavKA</v>
      </c>
    </row>
    <row r="499" spans="1:9">
      <c r="A499" s="2" t="s">
        <v>1112</v>
      </c>
      <c r="B499" t="s">
        <v>180</v>
      </c>
      <c r="C499" t="s">
        <v>1113</v>
      </c>
      <c r="D499" t="str">
        <f>TRIM(Tabulka1[[#This Row],[Jméno]])</f>
        <v>Jaroslav</v>
      </c>
      <c r="E499" t="str">
        <f>TRIM(Tabulka1[[#This Row],[Příjmení]])</f>
        <v>Godla</v>
      </c>
      <c r="F499" s="2" t="str">
        <f>MID(Tabulka1[[#This Row],[Adresa]],1,SEARCH(",",Tabulka1[[#This Row],[Adresa]])-1)</f>
        <v>Školní 285</v>
      </c>
      <c r="G499" s="2" t="str">
        <f>RIGHT(Tabulka1[[#This Row],[Adresa]],LEN(Tabulka1[[#This Row],[Adresa]])-LEN(Tabulka1[[#This Row],[Ulice]])-1)</f>
        <v>Krešín u Pacova</v>
      </c>
      <c r="H499" s="2" t="str">
        <f>_xlfn.CONCAT(LOWER(Tabulka1[[#This Row],[Příjmení bez mezer]]),".",LOWER(Tabulka1[[#This Row],[Jméno bez mezer]]),"@firmaabc.cz")</f>
        <v>godla.jaroslav@firmaabc.cz</v>
      </c>
      <c r="I499" s="2" t="str">
        <f>_xlfn.CONCAT(LEFT(LOWER(Tabulka1[[#This Row],[Příjmení bez mezer]]),3),RIGHT(UPPER(Tabulka1[[#This Row],[Jméno bez mezer]]),2))</f>
        <v>godAV</v>
      </c>
    </row>
    <row r="500" spans="1:9">
      <c r="A500" s="2" t="s">
        <v>1114</v>
      </c>
      <c r="B500" t="s">
        <v>78</v>
      </c>
      <c r="C500" t="s">
        <v>1115</v>
      </c>
      <c r="D500" t="str">
        <f>TRIM(Tabulka1[[#This Row],[Jméno]])</f>
        <v>Jitka</v>
      </c>
      <c r="E500" t="str">
        <f>TRIM(Tabulka1[[#This Row],[Příjmení]])</f>
        <v>Odehnalova</v>
      </c>
      <c r="F500" s="2" t="str">
        <f>MID(Tabulka1[[#This Row],[Adresa]],1,SEARCH(",",Tabulka1[[#This Row],[Adresa]])-1)</f>
        <v>Pivovarská 1903</v>
      </c>
      <c r="G500" s="2" t="str">
        <f>RIGHT(Tabulka1[[#This Row],[Adresa]],LEN(Tabulka1[[#This Row],[Adresa]])-LEN(Tabulka1[[#This Row],[Ulice]])-1)</f>
        <v>Karlštejn</v>
      </c>
      <c r="H500" s="2" t="str">
        <f>_xlfn.CONCAT(LOWER(Tabulka1[[#This Row],[Příjmení bez mezer]]),".",LOWER(Tabulka1[[#This Row],[Jméno bez mezer]]),"@firmaabc.cz")</f>
        <v>odehnalova.jitka@firmaabc.cz</v>
      </c>
      <c r="I500" s="2" t="str">
        <f>_xlfn.CONCAT(LEFT(LOWER(Tabulka1[[#This Row],[Příjmení bez mezer]]),3),RIGHT(UPPER(Tabulka1[[#This Row],[Jméno bez mezer]]),2))</f>
        <v>odeKA</v>
      </c>
    </row>
    <row r="501" spans="1:9">
      <c r="A501" s="2" t="s">
        <v>1116</v>
      </c>
      <c r="B501" t="s">
        <v>66</v>
      </c>
      <c r="C501" t="s">
        <v>1117</v>
      </c>
      <c r="D501" t="str">
        <f>TRIM(Tabulka1[[#This Row],[Jméno]])</f>
        <v>Karel</v>
      </c>
      <c r="E501" t="str">
        <f>TRIM(Tabulka1[[#This Row],[Příjmení]])</f>
        <v>Cerny</v>
      </c>
      <c r="F501" s="2" t="str">
        <f>MID(Tabulka1[[#This Row],[Adresa]],1,SEARCH(",",Tabulka1[[#This Row],[Adresa]])-1)</f>
        <v>Komenského 1659</v>
      </c>
      <c r="G501" s="2" t="str">
        <f>RIGHT(Tabulka1[[#This Row],[Adresa]],LEN(Tabulka1[[#This Row],[Adresa]])-LEN(Tabulka1[[#This Row],[Ulice]])-1)</f>
        <v>Telc</v>
      </c>
      <c r="H501" s="2" t="str">
        <f>_xlfn.CONCAT(LOWER(Tabulka1[[#This Row],[Příjmení bez mezer]]),".",LOWER(Tabulka1[[#This Row],[Jméno bez mezer]]),"@firmaabc.cz")</f>
        <v>cerny.karel@firmaabc.cz</v>
      </c>
      <c r="I501" s="2" t="str">
        <f>_xlfn.CONCAT(LEFT(LOWER(Tabulka1[[#This Row],[Příjmení bez mezer]]),3),RIGHT(UPPER(Tabulka1[[#This Row],[Jméno bez mezer]]),2))</f>
        <v>cerEL</v>
      </c>
    </row>
    <row r="502" spans="1:9">
      <c r="A502" s="2" t="s">
        <v>1118</v>
      </c>
      <c r="B502" t="s">
        <v>439</v>
      </c>
      <c r="C502" t="s">
        <v>1119</v>
      </c>
      <c r="D502" t="str">
        <f>TRIM(Tabulka1[[#This Row],[Jméno]])</f>
        <v>Milena</v>
      </c>
      <c r="E502" t="str">
        <f>TRIM(Tabulka1[[#This Row],[Příjmení]])</f>
        <v>Jordanova</v>
      </c>
      <c r="F502" s="2" t="str">
        <f>MID(Tabulka1[[#This Row],[Adresa]],1,SEARCH(",",Tabulka1[[#This Row],[Adresa]])-1)</f>
        <v>Jiráskova 1762</v>
      </c>
      <c r="G502" s="2" t="str">
        <f>RIGHT(Tabulka1[[#This Row],[Adresa]],LEN(Tabulka1[[#This Row],[Adresa]])-LEN(Tabulka1[[#This Row],[Ulice]])-1)</f>
        <v>Libán</v>
      </c>
      <c r="H502" s="2" t="str">
        <f>_xlfn.CONCAT(LOWER(Tabulka1[[#This Row],[Příjmení bez mezer]]),".",LOWER(Tabulka1[[#This Row],[Jméno bez mezer]]),"@firmaabc.cz")</f>
        <v>jordanova.milena@firmaabc.cz</v>
      </c>
      <c r="I502" s="2" t="str">
        <f>_xlfn.CONCAT(LEFT(LOWER(Tabulka1[[#This Row],[Příjmení bez mezer]]),3),RIGHT(UPPER(Tabulka1[[#This Row],[Jméno bez mezer]]),2))</f>
        <v>jorNA</v>
      </c>
    </row>
    <row r="503" spans="1:9">
      <c r="A503" s="2" t="s">
        <v>1120</v>
      </c>
      <c r="B503" t="s">
        <v>66</v>
      </c>
      <c r="C503" t="s">
        <v>1121</v>
      </c>
      <c r="D503" t="str">
        <f>TRIM(Tabulka1[[#This Row],[Jméno]])</f>
        <v>Karel</v>
      </c>
      <c r="E503" t="str">
        <f>TRIM(Tabulka1[[#This Row],[Příjmení]])</f>
        <v>Kalny</v>
      </c>
      <c r="F503" s="2" t="str">
        <f>MID(Tabulka1[[#This Row],[Adresa]],1,SEARCH(",",Tabulka1[[#This Row],[Adresa]])-1)</f>
        <v>Školní 699</v>
      </c>
      <c r="G503" s="2" t="str">
        <f>RIGHT(Tabulka1[[#This Row],[Adresa]],LEN(Tabulka1[[#This Row],[Adresa]])-LEN(Tabulka1[[#This Row],[Ulice]])-1)</f>
        <v>Klatovy 1</v>
      </c>
      <c r="H503" s="2" t="str">
        <f>_xlfn.CONCAT(LOWER(Tabulka1[[#This Row],[Příjmení bez mezer]]),".",LOWER(Tabulka1[[#This Row],[Jméno bez mezer]]),"@firmaabc.cz")</f>
        <v>kalny.karel@firmaabc.cz</v>
      </c>
      <c r="I503" s="2" t="str">
        <f>_xlfn.CONCAT(LEFT(LOWER(Tabulka1[[#This Row],[Příjmení bez mezer]]),3),RIGHT(UPPER(Tabulka1[[#This Row],[Jméno bez mezer]]),2))</f>
        <v>kalEL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Miroslav Dvořák</cp:lastModifiedBy>
  <cp:revision/>
  <dcterms:created xsi:type="dcterms:W3CDTF">2015-06-05T18:19:34Z</dcterms:created>
  <dcterms:modified xsi:type="dcterms:W3CDTF">2021-01-05T16:26:27Z</dcterms:modified>
  <cp:category/>
  <cp:contentStatus/>
</cp:coreProperties>
</file>