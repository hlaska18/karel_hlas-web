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106" documentId="11_AD4D80C4656A4B0A437B18BF7A5C4E5A5BDEDD9E" xr6:coauthVersionLast="41" xr6:coauthVersionMax="41" xr10:uidLastSave="{ACB69B98-12A8-4926-AC32-5548ED1C702C}"/>
  <bookViews>
    <workbookView xWindow="-120" yWindow="-120" windowWidth="29040" windowHeight="15990" xr2:uid="{00000000-000D-0000-FFFF-FFFF00000000}"/>
  </bookViews>
  <sheets>
    <sheet name="Klasifik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G15" i="1"/>
  <c r="H15" i="1"/>
  <c r="I15" i="1"/>
  <c r="J15" i="1"/>
  <c r="K15" i="1"/>
  <c r="L15" i="1"/>
  <c r="M15" i="1"/>
  <c r="C15" i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15" i="1" l="1"/>
  <c r="F19" i="1"/>
  <c r="F20" i="1"/>
</calcChain>
</file>

<file path=xl/sharedStrings.xml><?xml version="1.0" encoding="utf-8"?>
<sst xmlns="http://schemas.openxmlformats.org/spreadsheetml/2006/main" count="30" uniqueCount="30">
  <si>
    <t>Klasifikace</t>
  </si>
  <si>
    <t>Jméno</t>
  </si>
  <si>
    <t>předmět</t>
  </si>
  <si>
    <t>Průměrná známka</t>
  </si>
  <si>
    <t>Prospěch</t>
  </si>
  <si>
    <t>Chování</t>
  </si>
  <si>
    <t>Český jazyk</t>
  </si>
  <si>
    <t>Anglický jazyk</t>
  </si>
  <si>
    <t>Matematika</t>
  </si>
  <si>
    <t>Fyzika</t>
  </si>
  <si>
    <t>Tělesná výchova</t>
  </si>
  <si>
    <t>Zeměpis</t>
  </si>
  <si>
    <t>Dějepis</t>
  </si>
  <si>
    <t>Přírodopis</t>
  </si>
  <si>
    <t>Hudební výchova</t>
  </si>
  <si>
    <t>Výtvarná výchova</t>
  </si>
  <si>
    <t>Petr</t>
  </si>
  <si>
    <t>Jana</t>
  </si>
  <si>
    <t>Igor</t>
  </si>
  <si>
    <t>Zdeněk</t>
  </si>
  <si>
    <t>Pavla</t>
  </si>
  <si>
    <t>Roman</t>
  </si>
  <si>
    <t>Irena</t>
  </si>
  <si>
    <t>Zdeňka</t>
  </si>
  <si>
    <t>David</t>
  </si>
  <si>
    <t>Marie</t>
  </si>
  <si>
    <t>Číslo</t>
  </si>
  <si>
    <t>Průměry předmětů</t>
  </si>
  <si>
    <t>Žák s nejhorším průměrem:</t>
  </si>
  <si>
    <t>Žák s nejlepším průměrem: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</si>
</sst>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1" fillId="2" borderId="7" xfId="0" applyFont="1" applyFill="1" applyBorder="1" applyAlignment="1">
      <alignment horizontal="center" textRotation="90"/>
    </xf>
    <xf numFmtId="0" fontId="1" fillId="2" borderId="8" xfId="0" applyFont="1" applyFill="1" applyBorder="1" applyAlignment="1">
      <alignment horizontal="center" textRotation="90"/>
    </xf>
    <xf numFmtId="0" fontId="1" fillId="2" borderId="9" xfId="0" applyFont="1" applyFill="1" applyBorder="1" applyAlignment="1">
      <alignment horizontal="center" textRotation="90"/>
    </xf>
    <xf numFmtId="0" fontId="1" fillId="2" borderId="10" xfId="0" applyFont="1" applyFill="1" applyBorder="1" applyAlignment="1">
      <alignment horizontal="center" textRotation="90"/>
    </xf>
    <xf numFmtId="0" fontId="4" fillId="3" borderId="6" xfId="0" applyFont="1" applyFill="1" applyBorder="1"/>
    <xf numFmtId="0" fontId="4" fillId="3" borderId="25" xfId="0" applyFont="1" applyFill="1" applyBorder="1"/>
    <xf numFmtId="0" fontId="0" fillId="0" borderId="28" xfId="0" applyBorder="1"/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164" fontId="4" fillId="3" borderId="24" xfId="0" applyNumberFormat="1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0" fontId="1" fillId="0" borderId="0" xfId="0" applyFont="1"/>
    <xf numFmtId="164" fontId="1" fillId="0" borderId="0" xfId="0" applyNumberFormat="1" applyFont="1"/>
    <xf numFmtId="0" fontId="1" fillId="0" borderId="32" xfId="0" applyFont="1" applyBorder="1"/>
    <xf numFmtId="0" fontId="1" fillId="0" borderId="34" xfId="0" applyFont="1" applyBorder="1"/>
    <xf numFmtId="0" fontId="1" fillId="0" borderId="33" xfId="0" applyFont="1" applyBorder="1"/>
    <xf numFmtId="0" fontId="0" fillId="0" borderId="5" xfId="0" applyBorder="1"/>
    <xf numFmtId="0" fontId="0" fillId="0" borderId="20" xfId="0" applyBorder="1"/>
    <xf numFmtId="0" fontId="0" fillId="0" borderId="22" xfId="0" applyBorder="1"/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textRotation="90"/>
    </xf>
    <xf numFmtId="0" fontId="1" fillId="2" borderId="1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textRotation="90"/>
    </xf>
    <xf numFmtId="0" fontId="1" fillId="2" borderId="1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textRotation="255"/>
    </xf>
    <xf numFmtId="0" fontId="5" fillId="2" borderId="21" xfId="0" applyFont="1" applyFill="1" applyBorder="1" applyAlignment="1">
      <alignment horizontal="center" vertical="center" textRotation="255"/>
    </xf>
    <xf numFmtId="0" fontId="1" fillId="0" borderId="35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O20" sqref="O20"/>
    </sheetView>
  </sheetViews>
  <sheetFormatPr defaultRowHeight="15" x14ac:dyDescent="0.25"/>
  <cols>
    <col min="1" max="1" width="3.42578125" customWidth="1"/>
    <col min="2" max="2" width="12.85546875" customWidth="1"/>
    <col min="15" max="15" width="15.140625" customWidth="1"/>
  </cols>
  <sheetData>
    <row r="1" spans="1:15" ht="23.25" x14ac:dyDescent="0.35">
      <c r="B1" s="1" t="s">
        <v>0</v>
      </c>
    </row>
    <row r="2" spans="1:15" ht="15.75" thickBot="1" x14ac:dyDescent="0.3"/>
    <row r="3" spans="1:15" ht="15" customHeight="1" x14ac:dyDescent="0.25">
      <c r="A3" s="44" t="s">
        <v>26</v>
      </c>
      <c r="B3" s="35" t="s">
        <v>1</v>
      </c>
      <c r="C3" s="37" t="s">
        <v>2</v>
      </c>
      <c r="D3" s="38"/>
      <c r="E3" s="38"/>
      <c r="F3" s="38"/>
      <c r="G3" s="38"/>
      <c r="H3" s="38"/>
      <c r="I3" s="38"/>
      <c r="J3" s="38"/>
      <c r="K3" s="38"/>
      <c r="L3" s="38"/>
      <c r="M3" s="39"/>
      <c r="N3" s="40" t="s">
        <v>3</v>
      </c>
      <c r="O3" s="42" t="s">
        <v>4</v>
      </c>
    </row>
    <row r="4" spans="1:15" ht="87.75" thickBot="1" x14ac:dyDescent="0.3">
      <c r="A4" s="45"/>
      <c r="B4" s="36"/>
      <c r="C4" s="2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5" t="s">
        <v>15</v>
      </c>
      <c r="N4" s="41"/>
      <c r="O4" s="43"/>
    </row>
    <row r="5" spans="1:15" ht="16.5" thickBot="1" x14ac:dyDescent="0.3">
      <c r="A5" s="32">
        <v>1</v>
      </c>
      <c r="B5" s="29" t="s">
        <v>16</v>
      </c>
      <c r="C5" s="9">
        <v>1</v>
      </c>
      <c r="D5" s="10">
        <v>5</v>
      </c>
      <c r="E5" s="11">
        <v>2</v>
      </c>
      <c r="F5" s="11">
        <v>4</v>
      </c>
      <c r="G5" s="11">
        <v>3</v>
      </c>
      <c r="H5" s="11">
        <v>1</v>
      </c>
      <c r="I5" s="11">
        <v>3</v>
      </c>
      <c r="J5" s="11">
        <v>5</v>
      </c>
      <c r="K5" s="11">
        <v>3</v>
      </c>
      <c r="L5" s="11">
        <v>1</v>
      </c>
      <c r="M5" s="12">
        <v>2</v>
      </c>
      <c r="N5" s="13">
        <f>AVERAGE(C5:M5)</f>
        <v>2.7272727272727271</v>
      </c>
      <c r="O5" s="6" t="str">
        <f>_xlfn.IFS(N5&lt;=1.5,"vyznamenání",N5&lt;=2,"velmi dobrý",MAX(C5:M5)=5,"neprospěl",N5&gt;2,"prospěl")</f>
        <v>neprospěl</v>
      </c>
    </row>
    <row r="6" spans="1:15" ht="16.5" thickBot="1" x14ac:dyDescent="0.3">
      <c r="A6" s="33">
        <v>2</v>
      </c>
      <c r="B6" s="30" t="s">
        <v>17</v>
      </c>
      <c r="C6" s="14">
        <v>1</v>
      </c>
      <c r="D6" s="15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3</v>
      </c>
      <c r="K6" s="16">
        <v>1</v>
      </c>
      <c r="L6" s="16">
        <v>1</v>
      </c>
      <c r="M6" s="17">
        <v>1</v>
      </c>
      <c r="N6" s="13">
        <f t="shared" ref="N6:N14" si="0">AVERAGE(C6:M6)</f>
        <v>1.1818181818181819</v>
      </c>
      <c r="O6" s="6" t="str">
        <f t="shared" ref="O6:O14" si="1">_xlfn.IFS(N6&lt;=1.5,"vyznamenání",N6&lt;=2,"velmi dobrý",MAX(C6:M6)=5,"neprospěl",N6&gt;2,"prospěl")</f>
        <v>vyznamenání</v>
      </c>
    </row>
    <row r="7" spans="1:15" ht="16.5" thickBot="1" x14ac:dyDescent="0.3">
      <c r="A7" s="33">
        <v>3</v>
      </c>
      <c r="B7" s="30" t="s">
        <v>18</v>
      </c>
      <c r="C7" s="14">
        <v>2</v>
      </c>
      <c r="D7" s="15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7">
        <v>1</v>
      </c>
      <c r="N7" s="13">
        <f t="shared" si="0"/>
        <v>1.0909090909090908</v>
      </c>
      <c r="O7" s="6" t="str">
        <f t="shared" si="1"/>
        <v>vyznamenání</v>
      </c>
    </row>
    <row r="8" spans="1:15" ht="16.5" thickBot="1" x14ac:dyDescent="0.3">
      <c r="A8" s="33">
        <v>4</v>
      </c>
      <c r="B8" s="30" t="s">
        <v>19</v>
      </c>
      <c r="C8" s="14">
        <v>1</v>
      </c>
      <c r="D8" s="15">
        <v>1</v>
      </c>
      <c r="E8" s="16">
        <v>1</v>
      </c>
      <c r="F8" s="16">
        <v>1</v>
      </c>
      <c r="G8" s="16">
        <v>1</v>
      </c>
      <c r="H8" s="16">
        <v>5</v>
      </c>
      <c r="I8" s="16">
        <v>1</v>
      </c>
      <c r="J8" s="16">
        <v>1</v>
      </c>
      <c r="K8" s="16">
        <v>1</v>
      </c>
      <c r="L8" s="16">
        <v>1</v>
      </c>
      <c r="M8" s="17">
        <v>1</v>
      </c>
      <c r="N8" s="13">
        <f t="shared" si="0"/>
        <v>1.3636363636363635</v>
      </c>
      <c r="O8" s="6" t="str">
        <f t="shared" si="1"/>
        <v>vyznamenání</v>
      </c>
    </row>
    <row r="9" spans="1:15" ht="16.5" thickBot="1" x14ac:dyDescent="0.3">
      <c r="A9" s="33">
        <v>5</v>
      </c>
      <c r="B9" s="30" t="s">
        <v>20</v>
      </c>
      <c r="C9" s="14">
        <v>1</v>
      </c>
      <c r="D9" s="15">
        <v>3</v>
      </c>
      <c r="E9" s="16">
        <v>5</v>
      </c>
      <c r="F9" s="16">
        <v>4</v>
      </c>
      <c r="G9" s="16">
        <v>2</v>
      </c>
      <c r="H9" s="16">
        <v>4</v>
      </c>
      <c r="I9" s="16">
        <v>3</v>
      </c>
      <c r="J9" s="16">
        <v>4</v>
      </c>
      <c r="K9" s="16">
        <v>2</v>
      </c>
      <c r="L9" s="16">
        <v>3</v>
      </c>
      <c r="M9" s="17">
        <v>2</v>
      </c>
      <c r="N9" s="13">
        <f t="shared" si="0"/>
        <v>3</v>
      </c>
      <c r="O9" s="6" t="str">
        <f t="shared" si="1"/>
        <v>neprospěl</v>
      </c>
    </row>
    <row r="10" spans="1:15" ht="16.5" thickBot="1" x14ac:dyDescent="0.3">
      <c r="A10" s="33">
        <v>6</v>
      </c>
      <c r="B10" s="30" t="s">
        <v>21</v>
      </c>
      <c r="C10" s="14">
        <v>3</v>
      </c>
      <c r="D10" s="15">
        <v>1</v>
      </c>
      <c r="E10" s="16">
        <v>2</v>
      </c>
      <c r="F10" s="16">
        <v>1</v>
      </c>
      <c r="G10" s="16">
        <v>2</v>
      </c>
      <c r="H10" s="16">
        <v>1</v>
      </c>
      <c r="I10" s="16">
        <v>2</v>
      </c>
      <c r="J10" s="16">
        <v>1</v>
      </c>
      <c r="K10" s="16">
        <v>1</v>
      </c>
      <c r="L10" s="16">
        <v>1</v>
      </c>
      <c r="M10" s="17">
        <v>2</v>
      </c>
      <c r="N10" s="13">
        <f t="shared" si="0"/>
        <v>1.5454545454545454</v>
      </c>
      <c r="O10" s="6" t="str">
        <f t="shared" si="1"/>
        <v>velmi dobrý</v>
      </c>
    </row>
    <row r="11" spans="1:15" ht="16.5" thickBot="1" x14ac:dyDescent="0.3">
      <c r="A11" s="33">
        <v>7</v>
      </c>
      <c r="B11" s="30" t="s">
        <v>22</v>
      </c>
      <c r="C11" s="14">
        <v>2</v>
      </c>
      <c r="D11" s="15">
        <v>2</v>
      </c>
      <c r="E11" s="16">
        <v>3</v>
      </c>
      <c r="F11" s="16">
        <v>2</v>
      </c>
      <c r="G11" s="16">
        <v>2</v>
      </c>
      <c r="H11" s="16">
        <v>3</v>
      </c>
      <c r="I11" s="16">
        <v>4</v>
      </c>
      <c r="J11" s="16">
        <v>1</v>
      </c>
      <c r="K11" s="16">
        <v>1</v>
      </c>
      <c r="L11" s="16">
        <v>1</v>
      </c>
      <c r="M11" s="17">
        <v>1</v>
      </c>
      <c r="N11" s="13">
        <f t="shared" si="0"/>
        <v>2</v>
      </c>
      <c r="O11" s="6" t="str">
        <f t="shared" si="1"/>
        <v>velmi dobrý</v>
      </c>
    </row>
    <row r="12" spans="1:15" ht="16.5" thickBot="1" x14ac:dyDescent="0.3">
      <c r="A12" s="33">
        <v>8</v>
      </c>
      <c r="B12" s="30" t="s">
        <v>23</v>
      </c>
      <c r="C12" s="14">
        <v>1</v>
      </c>
      <c r="D12" s="15">
        <v>1</v>
      </c>
      <c r="E12" s="16">
        <v>1</v>
      </c>
      <c r="F12" s="16">
        <v>1</v>
      </c>
      <c r="G12" s="16">
        <v>1</v>
      </c>
      <c r="H12" s="16">
        <v>2</v>
      </c>
      <c r="I12" s="16">
        <v>1</v>
      </c>
      <c r="J12" s="16">
        <v>1</v>
      </c>
      <c r="K12" s="16">
        <v>1</v>
      </c>
      <c r="L12" s="16">
        <v>1</v>
      </c>
      <c r="M12" s="17">
        <v>1</v>
      </c>
      <c r="N12" s="13">
        <f t="shared" si="0"/>
        <v>1.0909090909090908</v>
      </c>
      <c r="O12" s="6" t="str">
        <f t="shared" si="1"/>
        <v>vyznamenání</v>
      </c>
    </row>
    <row r="13" spans="1:15" ht="16.5" thickBot="1" x14ac:dyDescent="0.3">
      <c r="A13" s="33">
        <v>9</v>
      </c>
      <c r="B13" s="30" t="s">
        <v>24</v>
      </c>
      <c r="C13" s="14">
        <v>1</v>
      </c>
      <c r="D13" s="15">
        <v>2</v>
      </c>
      <c r="E13" s="16">
        <v>2</v>
      </c>
      <c r="F13" s="16">
        <v>4</v>
      </c>
      <c r="G13" s="16">
        <v>4</v>
      </c>
      <c r="H13" s="16">
        <v>3</v>
      </c>
      <c r="I13" s="16">
        <v>4</v>
      </c>
      <c r="J13" s="16">
        <v>2</v>
      </c>
      <c r="K13" s="16">
        <v>3</v>
      </c>
      <c r="L13" s="16">
        <v>2</v>
      </c>
      <c r="M13" s="17">
        <v>1</v>
      </c>
      <c r="N13" s="13">
        <f t="shared" si="0"/>
        <v>2.5454545454545454</v>
      </c>
      <c r="O13" s="6" t="str">
        <f t="shared" si="1"/>
        <v>prospěl</v>
      </c>
    </row>
    <row r="14" spans="1:15" ht="16.5" thickBot="1" x14ac:dyDescent="0.3">
      <c r="A14" s="34">
        <v>10</v>
      </c>
      <c r="B14" s="31" t="s">
        <v>25</v>
      </c>
      <c r="C14" s="18">
        <v>1</v>
      </c>
      <c r="D14" s="19">
        <v>5</v>
      </c>
      <c r="E14" s="20">
        <v>5</v>
      </c>
      <c r="F14" s="20">
        <v>5</v>
      </c>
      <c r="G14" s="20">
        <v>5</v>
      </c>
      <c r="H14" s="20">
        <v>4</v>
      </c>
      <c r="I14" s="20">
        <v>5</v>
      </c>
      <c r="J14" s="20">
        <v>5</v>
      </c>
      <c r="K14" s="20">
        <v>5</v>
      </c>
      <c r="L14" s="20">
        <v>5</v>
      </c>
      <c r="M14" s="21">
        <v>5</v>
      </c>
      <c r="N14" s="22">
        <f t="shared" si="0"/>
        <v>4.5454545454545459</v>
      </c>
      <c r="O14" s="7" t="str">
        <f t="shared" si="1"/>
        <v>neprospěl</v>
      </c>
    </row>
    <row r="15" spans="1:15" ht="36" customHeight="1" thickBot="1" x14ac:dyDescent="0.3">
      <c r="A15" s="46" t="s">
        <v>27</v>
      </c>
      <c r="B15" s="47"/>
      <c r="C15" s="23">
        <f>AVERAGE(C5:C14)</f>
        <v>1.4</v>
      </c>
      <c r="D15" s="24">
        <f t="shared" ref="D15:N15" si="2">AVERAGE(D5:D14)</f>
        <v>2.2000000000000002</v>
      </c>
      <c r="E15" s="24">
        <f t="shared" si="2"/>
        <v>2.2999999999999998</v>
      </c>
      <c r="F15" s="24">
        <f t="shared" si="2"/>
        <v>2.4</v>
      </c>
      <c r="G15" s="24">
        <f t="shared" si="2"/>
        <v>2.2000000000000002</v>
      </c>
      <c r="H15" s="24">
        <f t="shared" si="2"/>
        <v>2.5</v>
      </c>
      <c r="I15" s="24">
        <f t="shared" si="2"/>
        <v>2.5</v>
      </c>
      <c r="J15" s="24">
        <f t="shared" si="2"/>
        <v>2.4</v>
      </c>
      <c r="K15" s="24">
        <f t="shared" si="2"/>
        <v>1.9</v>
      </c>
      <c r="L15" s="24">
        <f t="shared" si="2"/>
        <v>1.7</v>
      </c>
      <c r="M15" s="25">
        <f t="shared" si="2"/>
        <v>1.7</v>
      </c>
      <c r="N15" s="26">
        <f t="shared" si="2"/>
        <v>2.1090909090909093</v>
      </c>
      <c r="O15" s="8"/>
    </row>
    <row r="19" spans="3:6" x14ac:dyDescent="0.25">
      <c r="C19" s="27" t="s">
        <v>28</v>
      </c>
      <c r="D19" s="27"/>
      <c r="E19" s="27"/>
      <c r="F19" s="28">
        <f>MAX(N5:N14)</f>
        <v>4.5454545454545459</v>
      </c>
    </row>
    <row r="20" spans="3:6" x14ac:dyDescent="0.25">
      <c r="C20" s="27" t="s">
        <v>29</v>
      </c>
      <c r="D20" s="27"/>
      <c r="E20" s="27"/>
      <c r="F20" s="28">
        <f>MIN(N5:N14)</f>
        <v>1.0909090909090908</v>
      </c>
    </row>
  </sheetData>
  <mergeCells count="6">
    <mergeCell ref="A15:B15"/>
    <mergeCell ref="B3:B4"/>
    <mergeCell ref="C3:M3"/>
    <mergeCell ref="N3:N4"/>
    <mergeCell ref="O3:O4"/>
    <mergeCell ref="A3:A4"/>
  </mergeCells>
  <conditionalFormatting sqref="C5:M14">
    <cfRule type="cellIs" dxfId="0" priority="4" operator="equal">
      <formula>5</formula>
    </cfRule>
  </conditionalFormatting>
  <conditionalFormatting sqref="N5:N14">
    <cfRule type="iconSet" priority="2">
      <iconSet iconSet="3Arrows" reverse="1">
        <cfvo type="percent" val="0"/>
        <cfvo type="num" val="2.5"/>
        <cfvo type="num" val="3"/>
      </iconSet>
    </cfRule>
  </conditionalFormatting>
  <conditionalFormatting sqref="C15:M15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Klasifikace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2019-12-13T19:08:23Z</dcterms:modified>
</cp:coreProperties>
</file>