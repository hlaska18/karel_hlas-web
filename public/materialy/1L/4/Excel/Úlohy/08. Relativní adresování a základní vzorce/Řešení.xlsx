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43" documentId="11_AD4D80C4656A4B0A437B18BF7A5C4E5A5BDEDD9E" xr6:coauthVersionLast="41" xr6:coauthVersionMax="41" xr10:uidLastSave="{0CB9B6FA-F597-49CA-8C03-60CF8476B3B5}"/>
  <bookViews>
    <workbookView xWindow="-120" yWindow="-120" windowWidth="29040" windowHeight="15990" activeTab="5" xr2:uid="{00000000-000D-0000-FFFF-FFFF00000000}"/>
  </bookViews>
  <sheets>
    <sheet name="Rychlost" sheetId="1" r:id="rId1"/>
    <sheet name="Kružnice" sheetId="2" r:id="rId2"/>
    <sheet name="Výpočty" sheetId="3" r:id="rId3"/>
    <sheet name="BMI" sheetId="4" r:id="rId4"/>
    <sheet name="Stáří" sheetId="5" r:id="rId5"/>
    <sheet name="Kvadratická rovni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6" l="1"/>
  <c r="E11" i="2"/>
  <c r="C11" i="6" l="1"/>
  <c r="C9" i="6"/>
  <c r="B6" i="5"/>
  <c r="D13" i="4"/>
  <c r="D14" i="4"/>
  <c r="D15" i="4"/>
  <c r="D16" i="4"/>
  <c r="D17" i="4"/>
  <c r="D18" i="4"/>
  <c r="D19" i="4"/>
  <c r="D20" i="4"/>
  <c r="D12" i="4"/>
  <c r="C6" i="4"/>
  <c r="B11" i="3"/>
  <c r="B10" i="3"/>
  <c r="B9" i="3"/>
  <c r="B8" i="3"/>
  <c r="B7" i="3"/>
  <c r="B6" i="3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C11" i="2"/>
  <c r="D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B11" i="2"/>
  <c r="B10" i="2"/>
  <c r="C6" i="2"/>
  <c r="C5" i="2"/>
  <c r="E11" i="1"/>
  <c r="E12" i="1"/>
  <c r="E13" i="1"/>
  <c r="E14" i="1"/>
  <c r="E15" i="1"/>
  <c r="E16" i="1"/>
  <c r="E17" i="1"/>
  <c r="E18" i="1"/>
  <c r="E19" i="1"/>
  <c r="E20" i="1"/>
  <c r="D11" i="1"/>
  <c r="D12" i="1"/>
  <c r="D13" i="1"/>
  <c r="D14" i="1"/>
  <c r="D15" i="1"/>
  <c r="D16" i="1"/>
  <c r="D17" i="1"/>
  <c r="D18" i="1"/>
  <c r="D19" i="1"/>
  <c r="D20" i="1"/>
  <c r="C6" i="1"/>
</calcChain>
</file>

<file path=xl/sharedStrings.xml><?xml version="1.0" encoding="utf-8"?>
<sst xmlns="http://schemas.openxmlformats.org/spreadsheetml/2006/main" count="53" uniqueCount="52">
  <si>
    <t>Výpočet rychlosti</t>
  </si>
  <si>
    <t>Zadej dráhu v m:</t>
  </si>
  <si>
    <t>Zadej čas v s:</t>
  </si>
  <si>
    <t>Rychlost v m/s:</t>
  </si>
  <si>
    <t>Kružnice</t>
  </si>
  <si>
    <t>Obecné výpočty</t>
  </si>
  <si>
    <t>Zadejte číslo x:</t>
  </si>
  <si>
    <t>Výraz</t>
  </si>
  <si>
    <t>Výsledek</t>
  </si>
  <si>
    <t>BMI</t>
  </si>
  <si>
    <t>Index tělesné hmotnosti</t>
  </si>
  <si>
    <t>Zadejte výšku v m:</t>
  </si>
  <si>
    <t>Zadejte váhu v kg:</t>
  </si>
  <si>
    <t>Vaše BMI je:</t>
  </si>
  <si>
    <t>Stáří ve dnech</t>
  </si>
  <si>
    <t>Zadejte datum svého narození:</t>
  </si>
  <si>
    <t>Zadejte dnešní datum:</t>
  </si>
  <si>
    <t>Vaše stáří ve dnech:</t>
  </si>
  <si>
    <t>Tabulka naměřených hodnot</t>
  </si>
  <si>
    <t>č. měření</t>
  </si>
  <si>
    <t>rychlost [m/s]</t>
  </si>
  <si>
    <t>čas [s]</t>
  </si>
  <si>
    <t>dráha [m]</t>
  </si>
  <si>
    <t>Tabulka hodnot</t>
  </si>
  <si>
    <t>Poloměr r [cm]</t>
  </si>
  <si>
    <t>Obvod o [cm]</t>
  </si>
  <si>
    <r>
      <t>Obsah S [cm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</t>
    </r>
  </si>
  <si>
    <t>Jméno</t>
  </si>
  <si>
    <t>Karel</t>
  </si>
  <si>
    <t xml:space="preserve">Lenka </t>
  </si>
  <si>
    <t>Petr</t>
  </si>
  <si>
    <t>Ivan</t>
  </si>
  <si>
    <t>Iveta</t>
  </si>
  <si>
    <t>Bohumil</t>
  </si>
  <si>
    <t>Jana</t>
  </si>
  <si>
    <t>Radek</t>
  </si>
  <si>
    <t>Martina</t>
  </si>
  <si>
    <t>Výška [cm]</t>
  </si>
  <si>
    <t>Váha [kg]</t>
  </si>
  <si>
    <t>Řešení kvadratické rovnice</t>
  </si>
  <si>
    <t>a =</t>
  </si>
  <si>
    <t xml:space="preserve">b = </t>
  </si>
  <si>
    <t>c =</t>
  </si>
  <si>
    <t>Diskriminant:</t>
  </si>
  <si>
    <t>Tabulka BMI</t>
  </si>
  <si>
    <r>
      <t>y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 = </t>
    </r>
  </si>
  <si>
    <r>
      <t>y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 xml:space="preserve"> = </t>
    </r>
  </si>
  <si>
    <t>rychlost [km/h]</t>
  </si>
  <si>
    <t>Zadejte poloměr r [cm]:</t>
  </si>
  <si>
    <t>Obvod kruhu o [cm]:</t>
  </si>
  <si>
    <r>
      <t>Obsah kruhu S  [cm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]:</t>
    </r>
  </si>
  <si>
    <t>(Řešte pouze v reálném oboru řešení)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</si>
</sst>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1" xfId="0" applyBorder="1"/>
    <xf numFmtId="0" fontId="1" fillId="0" borderId="1" xfId="0" applyFont="1" applyBorder="1"/>
    <xf numFmtId="2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center"/>
    </xf>
  </cellXfs>
  <cellStyles count="2">
    <cellStyle name="Hypertextový odkaz" xfId="1" builtinId="8"/>
    <cellStyle name="Normální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</xdr:row>
      <xdr:rowOff>23812</xdr:rowOff>
    </xdr:from>
    <xdr:ext cx="18011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5E4C9F81-EB0E-457E-B528-156F9F70885C}"/>
                </a:ext>
              </a:extLst>
            </xdr:cNvPr>
            <xdr:cNvSpPr txBox="1"/>
          </xdr:nvSpPr>
          <xdr:spPr>
            <a:xfrm>
              <a:off x="190500" y="1081087"/>
              <a:ext cx="1801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5E4C9F81-EB0E-457E-B528-156F9F70885C}"/>
                </a:ext>
              </a:extLst>
            </xdr:cNvPr>
            <xdr:cNvSpPr txBox="1"/>
          </xdr:nvSpPr>
          <xdr:spPr>
            <a:xfrm>
              <a:off x="190500" y="1081087"/>
              <a:ext cx="1801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𝑥^2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180975</xdr:colOff>
      <xdr:row>6</xdr:row>
      <xdr:rowOff>19050</xdr:rowOff>
    </xdr:from>
    <xdr:ext cx="180114" cy="1777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ovéPole 2">
              <a:extLst>
                <a:ext uri="{FF2B5EF4-FFF2-40B4-BE49-F238E27FC236}">
                  <a16:creationId xmlns:a16="http://schemas.microsoft.com/office/drawing/2014/main" id="{7C822F61-8683-4DFC-B638-7410A5EC6110}"/>
                </a:ext>
              </a:extLst>
            </xdr:cNvPr>
            <xdr:cNvSpPr txBox="1"/>
          </xdr:nvSpPr>
          <xdr:spPr>
            <a:xfrm>
              <a:off x="180975" y="1266825"/>
              <a:ext cx="18011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3" name="TextovéPole 2">
              <a:extLst>
                <a:ext uri="{FF2B5EF4-FFF2-40B4-BE49-F238E27FC236}">
                  <a16:creationId xmlns:a16="http://schemas.microsoft.com/office/drawing/2014/main" id="{7C822F61-8683-4DFC-B638-7410A5EC6110}"/>
                </a:ext>
              </a:extLst>
            </xdr:cNvPr>
            <xdr:cNvSpPr txBox="1"/>
          </xdr:nvSpPr>
          <xdr:spPr>
            <a:xfrm>
              <a:off x="180975" y="1266825"/>
              <a:ext cx="18011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𝑥^5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147272</xdr:colOff>
      <xdr:row>7</xdr:row>
      <xdr:rowOff>11723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ovéPole 4">
              <a:extLst>
                <a:ext uri="{FF2B5EF4-FFF2-40B4-BE49-F238E27FC236}">
                  <a16:creationId xmlns:a16="http://schemas.microsoft.com/office/drawing/2014/main" id="{FFBE2BAD-8152-4A93-92D8-F52C922AAEDB}"/>
                </a:ext>
              </a:extLst>
            </xdr:cNvPr>
            <xdr:cNvSpPr txBox="1"/>
          </xdr:nvSpPr>
          <xdr:spPr>
            <a:xfrm>
              <a:off x="147272" y="14478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5" name="TextovéPole 4">
              <a:extLst>
                <a:ext uri="{FF2B5EF4-FFF2-40B4-BE49-F238E27FC236}">
                  <a16:creationId xmlns:a16="http://schemas.microsoft.com/office/drawing/2014/main" id="{FFBE2BAD-8152-4A93-92D8-F52C922AAEDB}"/>
                </a:ext>
              </a:extLst>
            </xdr:cNvPr>
            <xdr:cNvSpPr txBox="1"/>
          </xdr:nvSpPr>
          <xdr:spPr>
            <a:xfrm>
              <a:off x="147272" y="14478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2𝑥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110637</xdr:colOff>
      <xdr:row>8</xdr:row>
      <xdr:rowOff>11723</xdr:rowOff>
    </xdr:from>
    <xdr:ext cx="2585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ovéPole 6">
              <a:extLst>
                <a:ext uri="{FF2B5EF4-FFF2-40B4-BE49-F238E27FC236}">
                  <a16:creationId xmlns:a16="http://schemas.microsoft.com/office/drawing/2014/main" id="{D02E1215-8A64-4CB4-969F-DF275075332E}"/>
                </a:ext>
              </a:extLst>
            </xdr:cNvPr>
            <xdr:cNvSpPr txBox="1"/>
          </xdr:nvSpPr>
          <xdr:spPr>
            <a:xfrm>
              <a:off x="110637" y="1638300"/>
              <a:ext cx="2585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1/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7" name="TextovéPole 6">
              <a:extLst>
                <a:ext uri="{FF2B5EF4-FFF2-40B4-BE49-F238E27FC236}">
                  <a16:creationId xmlns:a16="http://schemas.microsoft.com/office/drawing/2014/main" id="{D02E1215-8A64-4CB4-969F-DF275075332E}"/>
                </a:ext>
              </a:extLst>
            </xdr:cNvPr>
            <xdr:cNvSpPr txBox="1"/>
          </xdr:nvSpPr>
          <xdr:spPr>
            <a:xfrm>
              <a:off x="110637" y="1638300"/>
              <a:ext cx="2585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1/𝑥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117963</xdr:colOff>
      <xdr:row>9</xdr:row>
      <xdr:rowOff>4396</xdr:rowOff>
    </xdr:from>
    <xdr:ext cx="2166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ovéPole 7">
              <a:extLst>
                <a:ext uri="{FF2B5EF4-FFF2-40B4-BE49-F238E27FC236}">
                  <a16:creationId xmlns:a16="http://schemas.microsoft.com/office/drawing/2014/main" id="{1D76D8E3-897D-40D2-96F1-36F8DE0C2D8F}"/>
                </a:ext>
              </a:extLst>
            </xdr:cNvPr>
            <xdr:cNvSpPr txBox="1"/>
          </xdr:nvSpPr>
          <xdr:spPr>
            <a:xfrm>
              <a:off x="117963" y="1821473"/>
              <a:ext cx="216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8" name="TextovéPole 7">
              <a:extLst>
                <a:ext uri="{FF2B5EF4-FFF2-40B4-BE49-F238E27FC236}">
                  <a16:creationId xmlns:a16="http://schemas.microsoft.com/office/drawing/2014/main" id="{1D76D8E3-897D-40D2-96F1-36F8DE0C2D8F}"/>
                </a:ext>
              </a:extLst>
            </xdr:cNvPr>
            <xdr:cNvSpPr txBox="1"/>
          </xdr:nvSpPr>
          <xdr:spPr>
            <a:xfrm>
              <a:off x="117963" y="1821473"/>
              <a:ext cx="216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−𝑥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66675</xdr:colOff>
      <xdr:row>10</xdr:row>
      <xdr:rowOff>19050</xdr:rowOff>
    </xdr:from>
    <xdr:ext cx="6320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ovéPole 8">
              <a:extLst>
                <a:ext uri="{FF2B5EF4-FFF2-40B4-BE49-F238E27FC236}">
                  <a16:creationId xmlns:a16="http://schemas.microsoft.com/office/drawing/2014/main" id="{C7EE21FB-DD3D-4F04-9976-B41D6B510E04}"/>
                </a:ext>
              </a:extLst>
            </xdr:cNvPr>
            <xdr:cNvSpPr txBox="1"/>
          </xdr:nvSpPr>
          <xdr:spPr>
            <a:xfrm>
              <a:off x="66675" y="2026627"/>
              <a:ext cx="632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cs-CZ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+2</m:t>
                        </m:r>
                      </m:e>
                    </m:d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9" name="TextovéPole 8">
              <a:extLst>
                <a:ext uri="{FF2B5EF4-FFF2-40B4-BE49-F238E27FC236}">
                  <a16:creationId xmlns:a16="http://schemas.microsoft.com/office/drawing/2014/main" id="{C7EE21FB-DD3D-4F04-9976-B41D6B510E04}"/>
                </a:ext>
              </a:extLst>
            </xdr:cNvPr>
            <xdr:cNvSpPr txBox="1"/>
          </xdr:nvSpPr>
          <xdr:spPr>
            <a:xfrm>
              <a:off x="66675" y="2026627"/>
              <a:ext cx="632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(3𝑥+2)𝑥</a:t>
              </a:r>
              <a:endParaRPr lang="cs-CZ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47624</xdr:colOff>
      <xdr:row>2</xdr:row>
      <xdr:rowOff>42862</xdr:rowOff>
    </xdr:from>
    <xdr:ext cx="1409701" cy="196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89C163BC-5DA4-473D-BCDD-514E80E8B34A}"/>
                </a:ext>
              </a:extLst>
            </xdr:cNvPr>
            <xdr:cNvSpPr txBox="1"/>
          </xdr:nvSpPr>
          <xdr:spPr>
            <a:xfrm>
              <a:off x="47624" y="528637"/>
              <a:ext cx="1409701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2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𝒂</m:t>
                    </m:r>
                    <m:sSup>
                      <m:sSupPr>
                        <m:ctrlPr>
                          <a:rPr lang="cs-CZ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cs-CZ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cs-CZ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𝒃𝒙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𝒄</m:t>
                    </m:r>
                  </m:oMath>
                </m:oMathPara>
              </a14:m>
              <a:endParaRPr lang="cs-CZ" sz="1200" b="1"/>
            </a:p>
          </xdr:txBody>
        </xdr:sp>
      </mc:Choice>
      <mc:Fallback xmlns="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89C163BC-5DA4-473D-BCDD-514E80E8B34A}"/>
                </a:ext>
              </a:extLst>
            </xdr:cNvPr>
            <xdr:cNvSpPr txBox="1"/>
          </xdr:nvSpPr>
          <xdr:spPr>
            <a:xfrm>
              <a:off x="47624" y="528637"/>
              <a:ext cx="1409701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cs-CZ" sz="1200" b="1" i="0">
                  <a:latin typeface="Cambria Math" panose="02040503050406030204" pitchFamily="18" charset="0"/>
                </a:rPr>
                <a:t>𝒚=𝒂𝒙^𝟐+𝒃𝒙+𝒄</a:t>
              </a:r>
              <a:endParaRPr lang="cs-CZ" sz="1200" b="1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8547A-873B-4DCE-B386-32117352AEB8}" name="Tabulka1" displayName="Tabulka1" ref="A10:E20" totalsRowShown="0" headerRowDxfId="3">
  <tableColumns count="5">
    <tableColumn id="1" xr3:uid="{BE9DF304-C21B-4BB7-ADC7-8628579C3347}" name="č. měření"/>
    <tableColumn id="2" xr3:uid="{CB26ECB2-23D2-4D85-9AF7-A1B09009E7AD}" name="dráha [m]"/>
    <tableColumn id="3" xr3:uid="{F34256B4-3684-4076-BB27-7726BA014164}" name="čas [s]" dataDxfId="2"/>
    <tableColumn id="4" xr3:uid="{DEFE6094-2F69-4BDA-B5C4-8DBE4CCE21ED}" name="rychlost [m/s]" dataDxfId="1">
      <calculatedColumnFormula>Tabulka1[[#This Row],[dráha '[m']]]/Tabulka1[[#This Row],[čas '[s']]]</calculatedColumnFormula>
    </tableColumn>
    <tableColumn id="5" xr3:uid="{9408FB66-A8B8-4A87-9F1E-82EBB8C66BF1}" name="rychlost [km/h]" dataDxfId="0">
      <calculatedColumnFormula>Tabulka1[[#This Row],[rychlost '[m/s']]]*3.6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s.wikipedia.org/wiki/Index_t%C4%9Blesn%C3%A9_hmotnost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A4" workbookViewId="0">
      <selection activeCell="D11" sqref="D11"/>
    </sheetView>
  </sheetViews>
  <sheetFormatPr defaultRowHeight="15" x14ac:dyDescent="0.25"/>
  <cols>
    <col min="1" max="1" width="11.42578125" customWidth="1"/>
    <col min="2" max="2" width="11.7109375" customWidth="1"/>
    <col min="3" max="3" width="9" customWidth="1"/>
    <col min="4" max="5" width="15.42578125" customWidth="1"/>
  </cols>
  <sheetData>
    <row r="1" spans="1:5" ht="23.25" x14ac:dyDescent="0.35">
      <c r="A1" s="2" t="s">
        <v>0</v>
      </c>
    </row>
    <row r="3" spans="1:5" x14ac:dyDescent="0.25">
      <c r="A3" s="1" t="s">
        <v>1</v>
      </c>
      <c r="C3" s="5">
        <v>680</v>
      </c>
    </row>
    <row r="4" spans="1:5" x14ac:dyDescent="0.25">
      <c r="A4" s="1" t="s">
        <v>2</v>
      </c>
      <c r="C4" s="5">
        <v>5</v>
      </c>
    </row>
    <row r="5" spans="1:5" x14ac:dyDescent="0.25">
      <c r="A5" s="1"/>
    </row>
    <row r="6" spans="1:5" x14ac:dyDescent="0.25">
      <c r="A6" s="1" t="s">
        <v>3</v>
      </c>
      <c r="C6" s="5">
        <f>C3/C4</f>
        <v>136</v>
      </c>
    </row>
    <row r="9" spans="1:5" x14ac:dyDescent="0.25">
      <c r="A9" s="1" t="s">
        <v>18</v>
      </c>
    </row>
    <row r="10" spans="1:5" x14ac:dyDescent="0.25">
      <c r="A10" s="1" t="s">
        <v>19</v>
      </c>
      <c r="B10" s="1" t="s">
        <v>22</v>
      </c>
      <c r="C10" s="1" t="s">
        <v>21</v>
      </c>
      <c r="D10" s="1" t="s">
        <v>20</v>
      </c>
      <c r="E10" s="1" t="s">
        <v>47</v>
      </c>
    </row>
    <row r="11" spans="1:5" x14ac:dyDescent="0.25">
      <c r="A11">
        <v>1</v>
      </c>
      <c r="B11">
        <v>100</v>
      </c>
      <c r="C11" s="7">
        <v>11.6</v>
      </c>
      <c r="D11" s="7">
        <f>Tabulka1[[#This Row],[dráha '[m']]]/Tabulka1[[#This Row],[čas '[s']]]</f>
        <v>8.6206896551724146</v>
      </c>
      <c r="E11" s="7">
        <f>Tabulka1[[#This Row],[rychlost '[m/s']]]*3.6</f>
        <v>31.034482758620694</v>
      </c>
    </row>
    <row r="12" spans="1:5" x14ac:dyDescent="0.25">
      <c r="A12">
        <v>2</v>
      </c>
      <c r="B12">
        <v>56</v>
      </c>
      <c r="C12" s="7">
        <v>27</v>
      </c>
      <c r="D12" s="7">
        <f>Tabulka1[[#This Row],[dráha '[m']]]/Tabulka1[[#This Row],[čas '[s']]]</f>
        <v>2.074074074074074</v>
      </c>
      <c r="E12" s="7">
        <f>Tabulka1[[#This Row],[rychlost '[m/s']]]*3.6</f>
        <v>7.4666666666666668</v>
      </c>
    </row>
    <row r="13" spans="1:5" x14ac:dyDescent="0.25">
      <c r="A13">
        <v>3</v>
      </c>
      <c r="B13">
        <v>98</v>
      </c>
      <c r="C13" s="7">
        <v>3</v>
      </c>
      <c r="D13" s="7">
        <f>Tabulka1[[#This Row],[dráha '[m']]]/Tabulka1[[#This Row],[čas '[s']]]</f>
        <v>32.666666666666664</v>
      </c>
      <c r="E13" s="7">
        <f>Tabulka1[[#This Row],[rychlost '[m/s']]]*3.6</f>
        <v>117.6</v>
      </c>
    </row>
    <row r="14" spans="1:5" x14ac:dyDescent="0.25">
      <c r="A14">
        <v>4</v>
      </c>
      <c r="B14">
        <v>1230</v>
      </c>
      <c r="C14" s="7">
        <v>450</v>
      </c>
      <c r="D14" s="7">
        <f>Tabulka1[[#This Row],[dráha '[m']]]/Tabulka1[[#This Row],[čas '[s']]]</f>
        <v>2.7333333333333334</v>
      </c>
      <c r="E14" s="7">
        <f>Tabulka1[[#This Row],[rychlost '[m/s']]]*3.6</f>
        <v>9.84</v>
      </c>
    </row>
    <row r="15" spans="1:5" x14ac:dyDescent="0.25">
      <c r="A15">
        <v>5</v>
      </c>
      <c r="B15">
        <v>987</v>
      </c>
      <c r="C15" s="7">
        <v>364</v>
      </c>
      <c r="D15" s="7">
        <f>Tabulka1[[#This Row],[dráha '[m']]]/Tabulka1[[#This Row],[čas '[s']]]</f>
        <v>2.7115384615384617</v>
      </c>
      <c r="E15" s="7">
        <f>Tabulka1[[#This Row],[rychlost '[m/s']]]*3.6</f>
        <v>9.7615384615384624</v>
      </c>
    </row>
    <row r="16" spans="1:5" x14ac:dyDescent="0.25">
      <c r="A16">
        <v>6</v>
      </c>
      <c r="B16">
        <v>567</v>
      </c>
      <c r="C16" s="7">
        <v>291</v>
      </c>
      <c r="D16" s="7">
        <f>Tabulka1[[#This Row],[dráha '[m']]]/Tabulka1[[#This Row],[čas '[s']]]</f>
        <v>1.9484536082474226</v>
      </c>
      <c r="E16" s="7">
        <f>Tabulka1[[#This Row],[rychlost '[m/s']]]*3.6</f>
        <v>7.0144329896907216</v>
      </c>
    </row>
    <row r="17" spans="1:5" x14ac:dyDescent="0.25">
      <c r="A17">
        <v>7</v>
      </c>
      <c r="B17">
        <v>90</v>
      </c>
      <c r="C17" s="7">
        <v>18</v>
      </c>
      <c r="D17" s="7">
        <f>Tabulka1[[#This Row],[dráha '[m']]]/Tabulka1[[#This Row],[čas '[s']]]</f>
        <v>5</v>
      </c>
      <c r="E17" s="7">
        <f>Tabulka1[[#This Row],[rychlost '[m/s']]]*3.6</f>
        <v>18</v>
      </c>
    </row>
    <row r="18" spans="1:5" x14ac:dyDescent="0.25">
      <c r="A18">
        <v>8</v>
      </c>
      <c r="B18">
        <v>120</v>
      </c>
      <c r="C18" s="7">
        <v>16.8</v>
      </c>
      <c r="D18" s="7">
        <f>Tabulka1[[#This Row],[dráha '[m']]]/Tabulka1[[#This Row],[čas '[s']]]</f>
        <v>7.1428571428571423</v>
      </c>
      <c r="E18" s="7">
        <f>Tabulka1[[#This Row],[rychlost '[m/s']]]*3.6</f>
        <v>25.714285714285712</v>
      </c>
    </row>
    <row r="19" spans="1:5" x14ac:dyDescent="0.25">
      <c r="A19">
        <v>9</v>
      </c>
      <c r="B19">
        <v>127</v>
      </c>
      <c r="C19" s="7">
        <v>18.899999999999999</v>
      </c>
      <c r="D19" s="7">
        <f>Tabulka1[[#This Row],[dráha '[m']]]/Tabulka1[[#This Row],[čas '[s']]]</f>
        <v>6.71957671957672</v>
      </c>
      <c r="E19" s="7">
        <f>Tabulka1[[#This Row],[rychlost '[m/s']]]*3.6</f>
        <v>24.190476190476193</v>
      </c>
    </row>
    <row r="20" spans="1:5" x14ac:dyDescent="0.25">
      <c r="A20">
        <v>10</v>
      </c>
      <c r="B20">
        <v>18</v>
      </c>
      <c r="C20" s="7">
        <v>3.7</v>
      </c>
      <c r="D20" s="7">
        <f>Tabulka1[[#This Row],[dráha '[m']]]/Tabulka1[[#This Row],[čas '[s']]]</f>
        <v>4.8648648648648649</v>
      </c>
      <c r="E20" s="7">
        <f>Tabulka1[[#This Row],[rychlost '[m/s']]]*3.6</f>
        <v>17.513513513513516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3A0C-0B57-4B22-8A7C-734B1B971CB6}">
  <dimension ref="A1:U11"/>
  <sheetViews>
    <sheetView workbookViewId="0">
      <selection activeCell="E11" sqref="E11"/>
    </sheetView>
  </sheetViews>
  <sheetFormatPr defaultRowHeight="15" x14ac:dyDescent="0.25"/>
  <cols>
    <col min="1" max="1" width="16.28515625" customWidth="1"/>
  </cols>
  <sheetData>
    <row r="1" spans="1:21" ht="23.25" x14ac:dyDescent="0.35">
      <c r="A1" s="2" t="s">
        <v>4</v>
      </c>
    </row>
    <row r="3" spans="1:21" x14ac:dyDescent="0.25">
      <c r="A3" s="1" t="s">
        <v>48</v>
      </c>
      <c r="C3" s="5">
        <v>5</v>
      </c>
    </row>
    <row r="4" spans="1:21" x14ac:dyDescent="0.25">
      <c r="A4" s="1"/>
    </row>
    <row r="5" spans="1:21" x14ac:dyDescent="0.25">
      <c r="A5" s="1" t="s">
        <v>49</v>
      </c>
      <c r="C5" s="5">
        <f>2*PI()*C3</f>
        <v>31.415926535897931</v>
      </c>
    </row>
    <row r="6" spans="1:21" ht="17.25" x14ac:dyDescent="0.25">
      <c r="A6" s="1" t="s">
        <v>50</v>
      </c>
      <c r="C6" s="5">
        <f>2*PI()*C3^2</f>
        <v>157.07963267948966</v>
      </c>
    </row>
    <row r="8" spans="1:21" x14ac:dyDescent="0.25">
      <c r="A8" s="1" t="s">
        <v>23</v>
      </c>
    </row>
    <row r="9" spans="1:21" x14ac:dyDescent="0.25">
      <c r="A9" s="8" t="s">
        <v>24</v>
      </c>
      <c r="B9" s="9">
        <v>2.2999999999999998</v>
      </c>
      <c r="C9" s="9">
        <v>2.6</v>
      </c>
      <c r="D9" s="9">
        <v>2.9</v>
      </c>
      <c r="E9" s="9">
        <v>3.2</v>
      </c>
      <c r="F9" s="9">
        <v>3.5</v>
      </c>
      <c r="G9" s="9">
        <v>3.8</v>
      </c>
      <c r="H9" s="9">
        <v>4.0999999999999996</v>
      </c>
      <c r="I9" s="9">
        <v>4.4000000000000004</v>
      </c>
      <c r="J9" s="9">
        <v>4.7</v>
      </c>
      <c r="K9" s="9">
        <v>5</v>
      </c>
      <c r="L9" s="9">
        <v>5.3</v>
      </c>
      <c r="M9" s="9">
        <v>5.6</v>
      </c>
      <c r="N9" s="9">
        <v>5.9</v>
      </c>
      <c r="O9" s="9">
        <v>6.2</v>
      </c>
      <c r="P9" s="9">
        <v>6.5</v>
      </c>
      <c r="Q9" s="9">
        <v>6.8</v>
      </c>
      <c r="R9" s="9">
        <v>7.1</v>
      </c>
      <c r="S9" s="9">
        <v>7.4</v>
      </c>
      <c r="T9" s="9">
        <v>7.7</v>
      </c>
      <c r="U9" s="9">
        <v>8</v>
      </c>
    </row>
    <row r="10" spans="1:21" x14ac:dyDescent="0.25">
      <c r="A10" s="8" t="s">
        <v>25</v>
      </c>
      <c r="B10" s="10">
        <f>2*PI()*B9</f>
        <v>14.451326206513047</v>
      </c>
      <c r="C10" s="10">
        <f t="shared" ref="C10:U10" si="0">2*PI()*C9</f>
        <v>16.336281798666924</v>
      </c>
      <c r="D10" s="10">
        <f t="shared" si="0"/>
        <v>18.2212373908208</v>
      </c>
      <c r="E10" s="10">
        <f t="shared" si="0"/>
        <v>20.106192982974676</v>
      </c>
      <c r="F10" s="10">
        <f t="shared" si="0"/>
        <v>21.991148575128552</v>
      </c>
      <c r="G10" s="10">
        <f t="shared" si="0"/>
        <v>23.876104167282428</v>
      </c>
      <c r="H10" s="10">
        <f t="shared" si="0"/>
        <v>25.7610597594363</v>
      </c>
      <c r="I10" s="10">
        <f t="shared" si="0"/>
        <v>27.646015351590183</v>
      </c>
      <c r="J10" s="10">
        <f t="shared" si="0"/>
        <v>29.530970943744055</v>
      </c>
      <c r="K10" s="10">
        <f t="shared" si="0"/>
        <v>31.415926535897931</v>
      </c>
      <c r="L10" s="10">
        <f t="shared" si="0"/>
        <v>33.300882128051803</v>
      </c>
      <c r="M10" s="10">
        <f t="shared" si="0"/>
        <v>35.185837720205683</v>
      </c>
      <c r="N10" s="10">
        <f t="shared" si="0"/>
        <v>37.070793312359562</v>
      </c>
      <c r="O10" s="10">
        <f t="shared" si="0"/>
        <v>38.955748904513435</v>
      </c>
      <c r="P10" s="10">
        <f t="shared" si="0"/>
        <v>40.840704496667314</v>
      </c>
      <c r="Q10" s="10">
        <f t="shared" si="0"/>
        <v>42.725660088821186</v>
      </c>
      <c r="R10" s="10">
        <f t="shared" si="0"/>
        <v>44.610615680975059</v>
      </c>
      <c r="S10" s="10">
        <f t="shared" si="0"/>
        <v>46.495571273128938</v>
      </c>
      <c r="T10" s="10">
        <f t="shared" si="0"/>
        <v>48.380526865282818</v>
      </c>
      <c r="U10" s="10">
        <f t="shared" si="0"/>
        <v>50.26548245743669</v>
      </c>
    </row>
    <row r="11" spans="1:21" ht="17.25" x14ac:dyDescent="0.25">
      <c r="A11" s="8" t="s">
        <v>26</v>
      </c>
      <c r="B11" s="10">
        <f>2*PI()*B9^2</f>
        <v>33.238050274980004</v>
      </c>
      <c r="C11" s="10">
        <f t="shared" ref="C11:U11" si="1">2*PI()*C9^2</f>
        <v>42.474332676534004</v>
      </c>
      <c r="D11" s="10">
        <f t="shared" si="1"/>
        <v>52.841588433380323</v>
      </c>
      <c r="E11" s="10">
        <f>2*PI()*E9^2</f>
        <v>64.339817545518969</v>
      </c>
      <c r="F11" s="10">
        <f t="shared" si="1"/>
        <v>76.969020012949926</v>
      </c>
      <c r="G11" s="10">
        <f t="shared" si="1"/>
        <v>90.729195835673224</v>
      </c>
      <c r="H11" s="10">
        <f t="shared" si="1"/>
        <v>105.62034501368883</v>
      </c>
      <c r="I11" s="10">
        <f t="shared" si="1"/>
        <v>121.64246754699681</v>
      </c>
      <c r="J11" s="10">
        <f t="shared" si="1"/>
        <v>138.79556343559707</v>
      </c>
      <c r="K11" s="10">
        <f t="shared" si="1"/>
        <v>157.07963267948966</v>
      </c>
      <c r="L11" s="10">
        <f t="shared" si="1"/>
        <v>176.49467527867458</v>
      </c>
      <c r="M11" s="10">
        <f t="shared" si="1"/>
        <v>197.04069123315179</v>
      </c>
      <c r="N11" s="10">
        <f t="shared" si="1"/>
        <v>218.71768054292141</v>
      </c>
      <c r="O11" s="10">
        <f t="shared" si="1"/>
        <v>241.52564320798334</v>
      </c>
      <c r="P11" s="10">
        <f t="shared" si="1"/>
        <v>265.46457922833753</v>
      </c>
      <c r="Q11" s="10">
        <f t="shared" si="1"/>
        <v>290.53448860398402</v>
      </c>
      <c r="R11" s="10">
        <f t="shared" si="1"/>
        <v>316.73537133492295</v>
      </c>
      <c r="S11" s="10">
        <f t="shared" si="1"/>
        <v>344.0672274211542</v>
      </c>
      <c r="T11" s="10">
        <f t="shared" si="1"/>
        <v>372.53005686267772</v>
      </c>
      <c r="U11" s="10">
        <f t="shared" si="1"/>
        <v>402.12385965949352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EED-8616-46C5-9C85-7D2E7CBF3D98}">
  <dimension ref="A1:B11"/>
  <sheetViews>
    <sheetView zoomScale="130" zoomScaleNormal="130" workbookViewId="0">
      <selection activeCell="E20" sqref="E20"/>
    </sheetView>
  </sheetViews>
  <sheetFormatPr defaultRowHeight="15" x14ac:dyDescent="0.25"/>
  <cols>
    <col min="1" max="1" width="15" customWidth="1"/>
  </cols>
  <sheetData>
    <row r="1" spans="1:2" ht="23.25" x14ac:dyDescent="0.35">
      <c r="A1" s="2" t="s">
        <v>5</v>
      </c>
    </row>
    <row r="3" spans="1:2" x14ac:dyDescent="0.25">
      <c r="A3" s="1" t="s">
        <v>6</v>
      </c>
      <c r="B3" s="1">
        <v>6</v>
      </c>
    </row>
    <row r="4" spans="1:2" x14ac:dyDescent="0.25">
      <c r="A4" s="1"/>
      <c r="B4" s="1"/>
    </row>
    <row r="5" spans="1:2" x14ac:dyDescent="0.25">
      <c r="A5" s="1" t="s">
        <v>7</v>
      </c>
      <c r="B5" s="1" t="s">
        <v>8</v>
      </c>
    </row>
    <row r="6" spans="1:2" x14ac:dyDescent="0.25">
      <c r="A6" s="1"/>
      <c r="B6" s="6">
        <f>B3^2</f>
        <v>36</v>
      </c>
    </row>
    <row r="7" spans="1:2" x14ac:dyDescent="0.25">
      <c r="A7" s="1"/>
      <c r="B7" s="6">
        <f>B3^5</f>
        <v>7776</v>
      </c>
    </row>
    <row r="8" spans="1:2" x14ac:dyDescent="0.25">
      <c r="A8" s="1"/>
      <c r="B8" s="6">
        <f>2*B3</f>
        <v>12</v>
      </c>
    </row>
    <row r="9" spans="1:2" x14ac:dyDescent="0.25">
      <c r="A9" s="1"/>
      <c r="B9" s="6">
        <f>1/B3</f>
        <v>0.16666666666666666</v>
      </c>
    </row>
    <row r="10" spans="1:2" x14ac:dyDescent="0.25">
      <c r="A10" s="1"/>
      <c r="B10" s="6">
        <f>-B3</f>
        <v>-6</v>
      </c>
    </row>
    <row r="11" spans="1:2" x14ac:dyDescent="0.25">
      <c r="A11" s="1"/>
      <c r="B11" s="6">
        <f>(3*B3+2)*B3</f>
        <v>120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AB8C-F8B9-461D-9A83-43D59871B636}">
  <dimension ref="A1:D20"/>
  <sheetViews>
    <sheetView workbookViewId="0">
      <selection activeCell="F12" sqref="F12"/>
    </sheetView>
  </sheetViews>
  <sheetFormatPr defaultRowHeight="15" x14ac:dyDescent="0.25"/>
  <cols>
    <col min="2" max="2" width="12.140625" customWidth="1"/>
  </cols>
  <sheetData>
    <row r="1" spans="1:4" ht="23.25" x14ac:dyDescent="0.35">
      <c r="A1" s="3" t="s">
        <v>9</v>
      </c>
      <c r="B1" s="4" t="s">
        <v>10</v>
      </c>
    </row>
    <row r="3" spans="1:4" x14ac:dyDescent="0.25">
      <c r="A3" s="1" t="s">
        <v>11</v>
      </c>
      <c r="B3" s="1"/>
      <c r="C3" s="5">
        <v>1.72</v>
      </c>
    </row>
    <row r="4" spans="1:4" x14ac:dyDescent="0.25">
      <c r="A4" s="1" t="s">
        <v>12</v>
      </c>
      <c r="B4" s="1"/>
      <c r="C4" s="5">
        <v>67</v>
      </c>
    </row>
    <row r="5" spans="1:4" x14ac:dyDescent="0.25">
      <c r="A5" s="1"/>
      <c r="B5" s="1"/>
    </row>
    <row r="6" spans="1:4" x14ac:dyDescent="0.25">
      <c r="A6" s="1" t="s">
        <v>13</v>
      </c>
      <c r="B6" s="1"/>
      <c r="C6" s="5">
        <f>C4/C3^2</f>
        <v>22.647376960519203</v>
      </c>
    </row>
    <row r="7" spans="1:4" x14ac:dyDescent="0.25">
      <c r="A7" s="1"/>
      <c r="B7" s="1"/>
    </row>
    <row r="9" spans="1:4" x14ac:dyDescent="0.25">
      <c r="A9" s="1" t="s">
        <v>44</v>
      </c>
    </row>
    <row r="11" spans="1:4" x14ac:dyDescent="0.25">
      <c r="A11" s="8" t="s">
        <v>27</v>
      </c>
      <c r="B11" s="8" t="s">
        <v>37</v>
      </c>
      <c r="C11" s="8" t="s">
        <v>38</v>
      </c>
      <c r="D11" s="8" t="s">
        <v>9</v>
      </c>
    </row>
    <row r="12" spans="1:4" x14ac:dyDescent="0.25">
      <c r="A12" s="8" t="s">
        <v>28</v>
      </c>
      <c r="B12" s="5">
        <v>189</v>
      </c>
      <c r="C12" s="5">
        <v>78</v>
      </c>
      <c r="D12" s="5">
        <f>C12/(B12/100)^2</f>
        <v>21.835894851767868</v>
      </c>
    </row>
    <row r="13" spans="1:4" x14ac:dyDescent="0.25">
      <c r="A13" s="8" t="s">
        <v>29</v>
      </c>
      <c r="B13" s="5">
        <v>178</v>
      </c>
      <c r="C13" s="5">
        <v>56</v>
      </c>
      <c r="D13" s="5">
        <f t="shared" ref="D13:D20" si="0">C13/(B13/100)^2</f>
        <v>17.674536043428859</v>
      </c>
    </row>
    <row r="14" spans="1:4" x14ac:dyDescent="0.25">
      <c r="A14" s="8" t="s">
        <v>30</v>
      </c>
      <c r="B14" s="5">
        <v>178</v>
      </c>
      <c r="C14" s="5">
        <v>110</v>
      </c>
      <c r="D14" s="5">
        <f t="shared" si="0"/>
        <v>34.71783865673526</v>
      </c>
    </row>
    <row r="15" spans="1:4" x14ac:dyDescent="0.25">
      <c r="A15" s="8" t="s">
        <v>31</v>
      </c>
      <c r="B15" s="5">
        <v>167</v>
      </c>
      <c r="C15" s="5">
        <v>65</v>
      </c>
      <c r="D15" s="5">
        <f t="shared" si="0"/>
        <v>23.306680053067517</v>
      </c>
    </row>
    <row r="16" spans="1:4" x14ac:dyDescent="0.25">
      <c r="A16" s="8" t="s">
        <v>32</v>
      </c>
      <c r="B16" s="5">
        <v>164</v>
      </c>
      <c r="C16" s="5">
        <v>49</v>
      </c>
      <c r="D16" s="5">
        <f t="shared" si="0"/>
        <v>18.218322427126715</v>
      </c>
    </row>
    <row r="17" spans="1:4" x14ac:dyDescent="0.25">
      <c r="A17" s="8" t="s">
        <v>33</v>
      </c>
      <c r="B17" s="5">
        <v>120</v>
      </c>
      <c r="C17" s="5">
        <v>39</v>
      </c>
      <c r="D17" s="5">
        <f t="shared" si="0"/>
        <v>27.083333333333336</v>
      </c>
    </row>
    <row r="18" spans="1:4" x14ac:dyDescent="0.25">
      <c r="A18" s="8" t="s">
        <v>34</v>
      </c>
      <c r="B18" s="5">
        <v>134</v>
      </c>
      <c r="C18" s="5">
        <v>27</v>
      </c>
      <c r="D18" s="5">
        <f t="shared" si="0"/>
        <v>15.036756515927822</v>
      </c>
    </row>
    <row r="19" spans="1:4" x14ac:dyDescent="0.25">
      <c r="A19" s="8" t="s">
        <v>35</v>
      </c>
      <c r="B19" s="5">
        <v>157</v>
      </c>
      <c r="C19" s="5">
        <v>53</v>
      </c>
      <c r="D19" s="5">
        <f t="shared" si="0"/>
        <v>21.501886486267189</v>
      </c>
    </row>
    <row r="20" spans="1:4" x14ac:dyDescent="0.25">
      <c r="A20" s="8" t="s">
        <v>36</v>
      </c>
      <c r="B20" s="5">
        <v>176</v>
      </c>
      <c r="C20" s="5">
        <v>58</v>
      </c>
      <c r="D20" s="5">
        <f t="shared" si="0"/>
        <v>18.724173553719009</v>
      </c>
    </row>
  </sheetData>
  <hyperlinks>
    <hyperlink ref="B1" r:id="rId1" xr:uid="{679AD5C4-8FA5-4535-989B-974C977367A3}"/>
  </hyperlinks>
  <pageMargins left="0.7" right="0.7" top="0.78740157499999996" bottom="0.78740157499999996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5244-2E38-4967-94AC-FD2C7D9BCC30}">
  <dimension ref="A1:B6"/>
  <sheetViews>
    <sheetView workbookViewId="0">
      <selection activeCell="B7" sqref="B7"/>
    </sheetView>
  </sheetViews>
  <sheetFormatPr defaultRowHeight="15" x14ac:dyDescent="0.25"/>
  <cols>
    <col min="1" max="1" width="29.7109375" customWidth="1"/>
    <col min="2" max="2" width="18.85546875" customWidth="1"/>
  </cols>
  <sheetData>
    <row r="1" spans="1:2" ht="23.25" x14ac:dyDescent="0.35">
      <c r="A1" s="2" t="s">
        <v>14</v>
      </c>
    </row>
    <row r="3" spans="1:2" x14ac:dyDescent="0.25">
      <c r="A3" s="1" t="s">
        <v>15</v>
      </c>
      <c r="B3" s="11">
        <v>38587</v>
      </c>
    </row>
    <row r="4" spans="1:2" x14ac:dyDescent="0.25">
      <c r="A4" s="1" t="s">
        <v>16</v>
      </c>
      <c r="B4" s="11">
        <v>43801</v>
      </c>
    </row>
    <row r="5" spans="1:2" x14ac:dyDescent="0.25">
      <c r="A5" s="1"/>
    </row>
    <row r="6" spans="1:2" x14ac:dyDescent="0.25">
      <c r="A6" s="1" t="s">
        <v>17</v>
      </c>
      <c r="B6" s="5">
        <f>B4-B3</f>
        <v>5214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048E-A651-4D22-9353-649B0F8A4E9F}">
  <dimension ref="A1:E11"/>
  <sheetViews>
    <sheetView tabSelected="1" workbookViewId="0">
      <selection activeCell="C11" sqref="C11"/>
    </sheetView>
  </sheetViews>
  <sheetFormatPr defaultRowHeight="15" x14ac:dyDescent="0.25"/>
  <cols>
    <col min="1" max="1" width="4.28515625" customWidth="1"/>
  </cols>
  <sheetData>
    <row r="1" spans="1:5" ht="23.25" x14ac:dyDescent="0.35">
      <c r="A1" s="2" t="s">
        <v>39</v>
      </c>
    </row>
    <row r="3" spans="1:5" ht="20.25" customHeight="1" x14ac:dyDescent="0.25">
      <c r="A3" s="12"/>
      <c r="B3" s="12"/>
      <c r="C3" s="12"/>
      <c r="D3" s="12"/>
      <c r="E3" t="s">
        <v>51</v>
      </c>
    </row>
    <row r="5" spans="1:5" x14ac:dyDescent="0.25">
      <c r="A5" t="s">
        <v>40</v>
      </c>
      <c r="B5" s="5">
        <v>1</v>
      </c>
    </row>
    <row r="6" spans="1:5" x14ac:dyDescent="0.25">
      <c r="A6" t="s">
        <v>41</v>
      </c>
      <c r="B6" s="5">
        <v>2</v>
      </c>
    </row>
    <row r="7" spans="1:5" x14ac:dyDescent="0.25">
      <c r="A7" t="s">
        <v>42</v>
      </c>
      <c r="B7" s="5">
        <v>-63</v>
      </c>
    </row>
    <row r="9" spans="1:5" x14ac:dyDescent="0.25">
      <c r="A9" t="s">
        <v>43</v>
      </c>
      <c r="C9" s="5">
        <f>B6^2-4*B5*B7</f>
        <v>256</v>
      </c>
    </row>
    <row r="10" spans="1:5" ht="18" x14ac:dyDescent="0.35">
      <c r="A10" s="12" t="s">
        <v>45</v>
      </c>
      <c r="B10" s="12"/>
      <c r="C10" s="5">
        <f>(-B6+(C9)^(1/2))/2*B5</f>
        <v>7</v>
      </c>
    </row>
    <row r="11" spans="1:5" ht="18" x14ac:dyDescent="0.35">
      <c r="A11" s="12" t="s">
        <v>46</v>
      </c>
      <c r="B11" s="12"/>
      <c r="C11" s="5">
        <f>(-B6-(C9)^(1/2))/2*B5</f>
        <v>-9</v>
      </c>
    </row>
  </sheetData>
  <mergeCells count="3">
    <mergeCell ref="A3:D3"/>
    <mergeCell ref="A10:B10"/>
    <mergeCell ref="A11:B1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Rychlost</vt:lpstr>
      <vt:lpstr>Kružnice</vt:lpstr>
      <vt:lpstr>Výpočty</vt:lpstr>
      <vt:lpstr>BMI</vt:lpstr>
      <vt:lpstr>Stáří</vt:lpstr>
      <vt:lpstr>Kvadratická rovnice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2019-12-02T16:37:23Z</dcterms:modified>
</cp:coreProperties>
</file>