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06" documentId="11_AD4D80C4656A4B0A437B18BF7A5C4E5A5BDEDD9E" xr6:coauthVersionLast="41" xr6:coauthVersionMax="41" xr10:uidLastSave="{DE95F0AD-30EF-46BF-A9B2-4179D1B1F118}"/>
  <bookViews>
    <workbookView xWindow="-120" yWindow="-120" windowWidth="29040" windowHeight="15990" activeTab="1" xr2:uid="{00000000-000D-0000-FFFF-FFFF00000000}"/>
  </bookViews>
  <sheets>
    <sheet name="Tabulka mezd" sheetId="1" r:id="rId1"/>
    <sheet name="Prodej produkt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2" l="1"/>
  <c r="D14" i="2"/>
  <c r="D4" i="2"/>
  <c r="D5" i="2"/>
  <c r="D6" i="2"/>
  <c r="D7" i="2"/>
  <c r="D8" i="2"/>
  <c r="D9" i="2"/>
  <c r="D10" i="2"/>
  <c r="C10" i="2"/>
  <c r="G6" i="1"/>
  <c r="G5" i="1"/>
  <c r="G4" i="1"/>
  <c r="G3" i="1"/>
</calcChain>
</file>

<file path=xl/sharedStrings.xml><?xml version="1.0" encoding="utf-8"?>
<sst xmlns="http://schemas.openxmlformats.org/spreadsheetml/2006/main" count="220" uniqueCount="209">
  <si>
    <t>Příjmení</t>
  </si>
  <si>
    <t>Jméno</t>
  </si>
  <si>
    <t>Novák</t>
  </si>
  <si>
    <t>Jiří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</si>
  <si>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</si>
  <si>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</si>
  <si>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</si>
  <si>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</si>
  <si>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</si>
  <si>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</si>
  <si>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</si>
  <si>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</si>
  <si>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</si>
  <si>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</si>
  <si>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</si>
  <si>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</si>
  <si>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</si>
  <si>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</si>
  <si>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</si>
  <si>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</si>
  <si>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</si>
  <si>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</si>
  <si>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</si>
  <si>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</si>
  <si>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</si>
  <si>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</si>
  <si>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</si>
  <si>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</si>
  <si>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</si>
  <si>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</si>
  <si>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</si>
  <si>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</si>
  <si>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</si>
  <si>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</si>
  <si>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</si>
  <si>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</si>
  <si>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</si>
  <si>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</si>
  <si>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</si>
  <si>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</si>
  <si>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</si>
  <si>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</si>
  <si>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</si>
  <si>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</si>
  <si>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</si>
  <si>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</si>
  <si>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</si>
  <si>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</si>
  <si>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</si>
  <si>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</si>
  <si>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</si>
  <si>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</si>
  <si>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</si>
  <si>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</si>
  <si>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</si>
  <si>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</si>
  <si>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</si>
  <si>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</si>
  <si>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</si>
  <si>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</si>
  <si>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</si>
  <si>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</si>
  <si>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</si>
  <si>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</si>
  <si>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</si>
  <si>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</si>
  <si>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</si>
  <si>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</si>
  <si>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</si>
  <si>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</si>
  <si>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</si>
  <si>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</si>
  <si>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</si>
  <si>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</si>
  <si>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</si>
  <si>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</si>
  <si>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</si>
  <si>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</si>
  <si>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</si>
  <si>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</si>
  <si>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</si>
  <si>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</si>
  <si>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</si>
  <si>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</si>
  <si>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</si>
  <si>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</si>
  <si>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</si>
  <si>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</si>
  <si>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</si>
  <si>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</si>
  <si>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</si>
  <si>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</si>
  <si>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</si>
  <si>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</si>
  <si>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</si>
  <si>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</si>
  <si>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</si>
  <si>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</si>
  <si>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</si>
  <si>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</si>
  <si>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</si>
  <si>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</si>
  <si>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</si>
  <si>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</si>
  <si>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</si>
  <si>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</si>
  <si>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</si>
  <si>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</si>
  <si>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</si>
  <si>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</si>
  <si>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</si>
  <si>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</si>
  <si>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</si>
  <si>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</si>
  <si>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</si>
  <si>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</si>
  <si>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</si>
  <si>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</si>
  <si>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</si>
  <si>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</si>
  <si>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</si>
  <si>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</si>
  <si>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</si>
  <si>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</si>
  <si>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</si>
  <si>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</si>
  <si>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</si>
  <si>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</si>
  <si>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</si>
  <si>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</si>
  <si>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</si>
  <si>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</si>
  <si>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</si>
  <si>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</si>
  <si>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</si>
  <si>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</si>
  <si>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</si>
  <si>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</si>
  <si>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</si>
  <si>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</si>
  <si>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</si>
  <si>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</si>
  <si>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</si>
  <si>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</si>
  <si>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</si>
  <si>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</si>
  <si>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</si>
  <si>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</si>
  <si>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</si>
  <si>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</si>
  <si>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</si>
  <si>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</si>
  <si>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</si>
  <si>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</si>
  <si>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</si>
  <si>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</si>
  <si>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</si>
  <si>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</si>
  <si>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</si>
  <si>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</si>
  <si>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</si>
  <si>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</si>
  <si>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</si>
  <si>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</si>
  <si>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</si>
  <si>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</si>
  <si>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</si>
  <si>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</si>
  <si>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</si>
  <si>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</si>
  <si>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</si>
  <si>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</si>
  <si>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</si>
  <si>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</si>
  <si>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</si>
  <si>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</si>
  <si>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</si>
  <si>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</si>
  <si>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</si>
  <si>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</si>
  <si>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</si>
  <si>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</si>
  <si>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</si>
  <si>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</si>
  <si>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</si>
  <si>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</si>
  <si>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</si>
  <si>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</si>
  <si>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</si>
  <si>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Průměrná mzda:</t>
  </si>
  <si>
    <t>Medián mezd:</t>
  </si>
  <si>
    <t>Nejvyší mzda:</t>
  </si>
  <si>
    <t>Mzda</t>
  </si>
  <si>
    <t>Nejnižší mzda:</t>
  </si>
  <si>
    <t>Tabulka mezd zaměstnanců</t>
  </si>
  <si>
    <t>Prodej produktů</t>
  </si>
  <si>
    <t>Produkt</t>
  </si>
  <si>
    <t xml:space="preserve">Cena </t>
  </si>
  <si>
    <t>Počet prodaných kusů</t>
  </si>
  <si>
    <t>Podíl jednotlivých produktů na prodeji</t>
  </si>
  <si>
    <t>Chléb</t>
  </si>
  <si>
    <t>Máslo</t>
  </si>
  <si>
    <t>Okurka</t>
  </si>
  <si>
    <t>Salám</t>
  </si>
  <si>
    <t>Paprika</t>
  </si>
  <si>
    <t>Rajče</t>
  </si>
  <si>
    <t>Celkem</t>
  </si>
  <si>
    <t>Celková tržba</t>
  </si>
  <si>
    <t>Průměrná cena produktu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</si>
</sst>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[$Kč-405]_-;\-* #,##0\ [$Kč-405]_-;_-* &quot;-&quot;??\ [$Kč-405]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44" fontId="0" fillId="0" borderId="0" xfId="1" applyFont="1"/>
    <xf numFmtId="9" fontId="0" fillId="0" borderId="0" xfId="2" applyFont="1"/>
    <xf numFmtId="9" fontId="0" fillId="0" borderId="0" xfId="0" applyNumberFormat="1"/>
    <xf numFmtId="9" fontId="1" fillId="2" borderId="0" xfId="0" applyNumberFormat="1" applyFont="1" applyFill="1"/>
    <xf numFmtId="44" fontId="2" fillId="0" borderId="0" xfId="1" applyFont="1"/>
  </cellXfs>
  <cellStyles count="3">
    <cellStyle name="Měna" xfId="1" builtinId="4"/>
    <cellStyle name="Normální" xfId="0" builtinId="0"/>
    <cellStyle name="Procenta" xfId="2" builtinId="5"/>
  </cellStyles>
  <dxfs count="6"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numFmt numFmtId="13" formatCode="0%"/>
    </dxf>
    <dxf>
      <numFmt numFmtId="164" formatCode="_-* #,##0\ [$Kč-405]_-;\-* #,##0\ [$Kč-405]_-;_-* &quot;-&quot;??\ [$Kč-405]_-;_-@_-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E3A9F-33F1-48F4-916F-775C7C91ABED}" name="Tabulka1" displayName="Tabulka1" ref="A3:C102" totalsRowShown="0">
  <tableColumns count="3">
    <tableColumn id="1" xr3:uid="{6ABAB9A0-5D8C-4130-A8C6-1D52341ADB89}" name="Příjmení"/>
    <tableColumn id="2" xr3:uid="{2087A8CE-AC51-4982-8A50-92F104F6D582}" name="Jméno"/>
    <tableColumn id="3" xr3:uid="{8FCFA710-BC66-47D8-8958-74C42F53013B}" name="Mzd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0ECC5-0B29-47C1-8EAD-ACD114C741CD}" name="Tabulka2" displayName="Tabulka2" ref="A3:D10" totalsRowShown="0" headerRowDxfId="5">
  <tableColumns count="4">
    <tableColumn id="1" xr3:uid="{3B3BB50F-447F-4BE4-8B97-86C30997DAAC}" name="Produkt"/>
    <tableColumn id="2" xr3:uid="{DC0C77E2-AA14-4E3E-BDAE-BB9840DC3B86}" name="Cena "/>
    <tableColumn id="3" xr3:uid="{CE913691-B731-4CE4-A1EA-2D2B0FE80BBA}" name="Počet prodaných kusů"/>
    <tableColumn id="4" xr3:uid="{D2DFDBAC-A1C3-43AE-8474-7307B3984548}" name="Podíl jednotlivých produktů na prodeji" dataDxfId="3">
      <calculatedColumnFormula>Tabulka2[[#This Row],[Počet prodaných kusů]]/$C$10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639C21-642E-49F2-92DE-8BADFB814DAA}" name="Tabulka4" displayName="Tabulka4" ref="C13:D14" totalsRowShown="0" dataDxfId="0">
  <tableColumns count="2">
    <tableColumn id="1" xr3:uid="{CBCB4DA0-6024-4F7D-AA8A-AD00B124F665}" name="Celková tržba" dataDxfId="2" dataCellStyle="Měna">
      <calculatedColumnFormula>SUMPRODUCT(C4:C9,B4:B9)</calculatedColumnFormula>
    </tableColumn>
    <tableColumn id="2" xr3:uid="{2EE1B80C-763C-4B47-9A30-40488F71575A}" name="Průměrná cena produktu" dataDxfId="1" dataCellStyle="Měna">
      <calculatedColumnFormula>SUMPRODUCT(D4:D9,B4:B9)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>
      <selection activeCell="G6" sqref="G6"/>
    </sheetView>
  </sheetViews>
  <sheetFormatPr defaultRowHeight="15" x14ac:dyDescent="0.25"/>
  <cols>
    <col min="1" max="1" width="14.5703125" customWidth="1"/>
    <col min="2" max="2" width="13" customWidth="1"/>
    <col min="3" max="3" width="15.5703125" customWidth="1"/>
    <col min="7" max="7" width="14" bestFit="1" customWidth="1"/>
  </cols>
  <sheetData>
    <row r="1" spans="1:7" ht="23.25" x14ac:dyDescent="0.35">
      <c r="A1" s="2" t="s">
        <v>194</v>
      </c>
    </row>
    <row r="3" spans="1:7" x14ac:dyDescent="0.25">
      <c r="A3" t="s">
        <v>0</v>
      </c>
      <c r="B3" t="s">
        <v>1</v>
      </c>
      <c r="C3" t="s">
        <v>192</v>
      </c>
      <c r="E3" s="1" t="s">
        <v>189</v>
      </c>
      <c r="G3" s="6">
        <f>AVERAGE(Tabulka1[Mzda])</f>
        <v>26572.004290677982</v>
      </c>
    </row>
    <row r="4" spans="1:7" x14ac:dyDescent="0.25">
      <c r="A4" t="s">
        <v>2</v>
      </c>
      <c r="B4" t="s">
        <v>3</v>
      </c>
      <c r="C4" s="3">
        <v>21870.255732750698</v>
      </c>
      <c r="E4" s="1" t="s">
        <v>190</v>
      </c>
      <c r="G4" s="6">
        <f>MEDIAN(Tabulka1[Mzda])</f>
        <v>22200.948431297202</v>
      </c>
    </row>
    <row r="5" spans="1:7" x14ac:dyDescent="0.25">
      <c r="A5" t="s">
        <v>4</v>
      </c>
      <c r="B5" t="s">
        <v>5</v>
      </c>
      <c r="C5" s="3">
        <v>48892.750442838267</v>
      </c>
      <c r="E5" s="1" t="s">
        <v>191</v>
      </c>
      <c r="G5" s="6">
        <f>MAX(Tabulka1[Mzda])</f>
        <v>254522.251533665</v>
      </c>
    </row>
    <row r="6" spans="1:7" x14ac:dyDescent="0.25">
      <c r="A6" t="s">
        <v>6</v>
      </c>
      <c r="B6" t="s">
        <v>7</v>
      </c>
      <c r="C6" s="3">
        <v>20022.176230686</v>
      </c>
      <c r="E6" s="1" t="s">
        <v>193</v>
      </c>
      <c r="G6" s="6">
        <f>MIN(Tabulka1[Mzda])</f>
        <v>8724.9228700451094</v>
      </c>
    </row>
    <row r="7" spans="1:7" x14ac:dyDescent="0.25">
      <c r="A7" t="s">
        <v>8</v>
      </c>
      <c r="B7" t="s">
        <v>7</v>
      </c>
      <c r="C7" s="3">
        <v>23105.288928214264</v>
      </c>
    </row>
    <row r="8" spans="1:7" x14ac:dyDescent="0.25">
      <c r="A8" t="s">
        <v>9</v>
      </c>
      <c r="B8" t="s">
        <v>10</v>
      </c>
      <c r="C8" s="3">
        <v>29089.320634907999</v>
      </c>
    </row>
    <row r="9" spans="1:7" x14ac:dyDescent="0.25">
      <c r="A9" t="s">
        <v>11</v>
      </c>
      <c r="B9" t="s">
        <v>12</v>
      </c>
      <c r="C9" s="3">
        <v>27316.9282256636</v>
      </c>
    </row>
    <row r="10" spans="1:7" x14ac:dyDescent="0.25">
      <c r="A10" t="s">
        <v>13</v>
      </c>
      <c r="B10" t="s">
        <v>14</v>
      </c>
      <c r="C10" s="3">
        <v>10957.429288503195</v>
      </c>
    </row>
    <row r="11" spans="1:7" x14ac:dyDescent="0.25">
      <c r="A11" t="s">
        <v>15</v>
      </c>
      <c r="B11" t="s">
        <v>16</v>
      </c>
      <c r="C11" s="3">
        <v>8724.9228700451094</v>
      </c>
    </row>
    <row r="12" spans="1:7" x14ac:dyDescent="0.25">
      <c r="A12" t="s">
        <v>17</v>
      </c>
      <c r="B12" t="s">
        <v>18</v>
      </c>
      <c r="C12" s="3">
        <v>21802.5081660371</v>
      </c>
    </row>
    <row r="13" spans="1:7" x14ac:dyDescent="0.25">
      <c r="A13" t="s">
        <v>19</v>
      </c>
      <c r="B13" t="s">
        <v>20</v>
      </c>
      <c r="C13" s="3">
        <v>24894.2806603389</v>
      </c>
    </row>
    <row r="14" spans="1:7" x14ac:dyDescent="0.25">
      <c r="A14" t="s">
        <v>21</v>
      </c>
      <c r="B14" t="s">
        <v>22</v>
      </c>
      <c r="C14" s="3">
        <v>73327.714670810397</v>
      </c>
    </row>
    <row r="15" spans="1:7" x14ac:dyDescent="0.25">
      <c r="A15" t="s">
        <v>23</v>
      </c>
      <c r="B15" t="s">
        <v>24</v>
      </c>
      <c r="C15" s="3">
        <v>24973.905559998999</v>
      </c>
    </row>
    <row r="16" spans="1:7" x14ac:dyDescent="0.25">
      <c r="A16" t="s">
        <v>25</v>
      </c>
      <c r="B16" t="s">
        <v>26</v>
      </c>
      <c r="C16" s="3">
        <v>23159.4782726216</v>
      </c>
    </row>
    <row r="17" spans="1:3" x14ac:dyDescent="0.25">
      <c r="A17" t="s">
        <v>27</v>
      </c>
      <c r="B17" t="s">
        <v>28</v>
      </c>
      <c r="C17" s="3">
        <v>27752.935244274999</v>
      </c>
    </row>
    <row r="18" spans="1:3" x14ac:dyDescent="0.25">
      <c r="A18" t="s">
        <v>29</v>
      </c>
      <c r="B18" t="s">
        <v>30</v>
      </c>
      <c r="C18" s="3">
        <v>22601.539473888301</v>
      </c>
    </row>
    <row r="19" spans="1:3" x14ac:dyDescent="0.25">
      <c r="A19" t="s">
        <v>31</v>
      </c>
      <c r="B19" t="s">
        <v>32</v>
      </c>
      <c r="C19" s="3">
        <v>23005.341392764301</v>
      </c>
    </row>
    <row r="20" spans="1:3" x14ac:dyDescent="0.25">
      <c r="A20" t="s">
        <v>33</v>
      </c>
      <c r="B20" t="s">
        <v>34</v>
      </c>
      <c r="C20" s="3">
        <v>28658.3364933189</v>
      </c>
    </row>
    <row r="21" spans="1:3" x14ac:dyDescent="0.25">
      <c r="A21" t="s">
        <v>35</v>
      </c>
      <c r="B21" t="s">
        <v>36</v>
      </c>
      <c r="C21" s="3">
        <v>29845.044399255301</v>
      </c>
    </row>
    <row r="22" spans="1:3" x14ac:dyDescent="0.25">
      <c r="A22" t="s">
        <v>37</v>
      </c>
      <c r="B22" t="s">
        <v>38</v>
      </c>
      <c r="C22" s="3">
        <v>23604.6733088728</v>
      </c>
    </row>
    <row r="23" spans="1:3" x14ac:dyDescent="0.25">
      <c r="A23" t="s">
        <v>39</v>
      </c>
      <c r="B23" t="s">
        <v>40</v>
      </c>
      <c r="C23" s="3">
        <v>27171.3473502833</v>
      </c>
    </row>
    <row r="24" spans="1:3" x14ac:dyDescent="0.25">
      <c r="A24" t="s">
        <v>41</v>
      </c>
      <c r="B24" t="s">
        <v>42</v>
      </c>
      <c r="C24" s="3">
        <v>23778.778352376601</v>
      </c>
    </row>
    <row r="25" spans="1:3" x14ac:dyDescent="0.25">
      <c r="A25" t="s">
        <v>43</v>
      </c>
      <c r="B25" t="s">
        <v>44</v>
      </c>
      <c r="C25" s="3">
        <v>29657.745207571501</v>
      </c>
    </row>
    <row r="26" spans="1:3" x14ac:dyDescent="0.25">
      <c r="A26" t="s">
        <v>45</v>
      </c>
      <c r="B26" t="s">
        <v>46</v>
      </c>
      <c r="C26" s="3">
        <v>20947.8219626891</v>
      </c>
    </row>
    <row r="27" spans="1:3" x14ac:dyDescent="0.25">
      <c r="A27" t="s">
        <v>15</v>
      </c>
      <c r="B27" t="s">
        <v>47</v>
      </c>
      <c r="C27" s="3">
        <v>25822.034421422199</v>
      </c>
    </row>
    <row r="28" spans="1:3" x14ac:dyDescent="0.25">
      <c r="A28" t="s">
        <v>17</v>
      </c>
      <c r="B28" t="s">
        <v>48</v>
      </c>
      <c r="C28" s="3">
        <v>23564.642523921098</v>
      </c>
    </row>
    <row r="29" spans="1:3" x14ac:dyDescent="0.25">
      <c r="A29" t="s">
        <v>49</v>
      </c>
      <c r="B29" t="s">
        <v>50</v>
      </c>
      <c r="C29" s="3">
        <v>74181.131668983799</v>
      </c>
    </row>
    <row r="30" spans="1:3" x14ac:dyDescent="0.25">
      <c r="A30" t="s">
        <v>51</v>
      </c>
      <c r="B30" t="s">
        <v>23</v>
      </c>
      <c r="C30" s="3">
        <v>21336.835219905301</v>
      </c>
    </row>
    <row r="31" spans="1:3" x14ac:dyDescent="0.25">
      <c r="A31" t="s">
        <v>8</v>
      </c>
      <c r="B31" t="s">
        <v>52</v>
      </c>
      <c r="C31" s="3">
        <v>16637.513117568746</v>
      </c>
    </row>
    <row r="32" spans="1:3" x14ac:dyDescent="0.25">
      <c r="A32" t="s">
        <v>53</v>
      </c>
      <c r="B32" t="s">
        <v>54</v>
      </c>
      <c r="C32" s="3">
        <v>26358.8797701648</v>
      </c>
    </row>
    <row r="33" spans="1:3" x14ac:dyDescent="0.25">
      <c r="A33" t="s">
        <v>55</v>
      </c>
      <c r="B33" t="s">
        <v>54</v>
      </c>
      <c r="C33" s="3">
        <v>23118.140272950201</v>
      </c>
    </row>
    <row r="34" spans="1:3" x14ac:dyDescent="0.25">
      <c r="A34" t="s">
        <v>56</v>
      </c>
      <c r="B34" t="s">
        <v>57</v>
      </c>
      <c r="C34" s="3">
        <v>72458.883455592586</v>
      </c>
    </row>
    <row r="35" spans="1:3" x14ac:dyDescent="0.25">
      <c r="A35" t="s">
        <v>58</v>
      </c>
      <c r="B35" t="s">
        <v>59</v>
      </c>
      <c r="C35" s="3">
        <v>29904.996518007702</v>
      </c>
    </row>
    <row r="36" spans="1:3" x14ac:dyDescent="0.25">
      <c r="A36" t="s">
        <v>60</v>
      </c>
      <c r="B36" t="s">
        <v>61</v>
      </c>
      <c r="C36" s="3">
        <v>21044.049193602699</v>
      </c>
    </row>
    <row r="37" spans="1:3" x14ac:dyDescent="0.25">
      <c r="A37" t="s">
        <v>62</v>
      </c>
      <c r="B37" t="s">
        <v>63</v>
      </c>
      <c r="C37" s="3">
        <v>14443.970309610459</v>
      </c>
    </row>
    <row r="38" spans="1:3" x14ac:dyDescent="0.25">
      <c r="A38" t="s">
        <v>64</v>
      </c>
      <c r="B38" t="s">
        <v>65</v>
      </c>
      <c r="C38" s="3">
        <v>22450.664834601001</v>
      </c>
    </row>
    <row r="39" spans="1:3" x14ac:dyDescent="0.25">
      <c r="A39" t="s">
        <v>66</v>
      </c>
      <c r="B39" t="s">
        <v>67</v>
      </c>
      <c r="C39" s="3">
        <v>14049.522814550901</v>
      </c>
    </row>
    <row r="40" spans="1:3" x14ac:dyDescent="0.25">
      <c r="A40" t="s">
        <v>68</v>
      </c>
      <c r="B40" t="s">
        <v>69</v>
      </c>
      <c r="C40" s="3">
        <v>16382.7843517724</v>
      </c>
    </row>
    <row r="41" spans="1:3" x14ac:dyDescent="0.25">
      <c r="A41" t="s">
        <v>70</v>
      </c>
      <c r="B41" t="s">
        <v>71</v>
      </c>
      <c r="C41" s="3">
        <v>155966.43783366101</v>
      </c>
    </row>
    <row r="42" spans="1:3" x14ac:dyDescent="0.25">
      <c r="A42" t="s">
        <v>72</v>
      </c>
      <c r="B42" t="s">
        <v>73</v>
      </c>
      <c r="C42" s="3">
        <v>10517.551319390701</v>
      </c>
    </row>
    <row r="43" spans="1:3" x14ac:dyDescent="0.25">
      <c r="A43" t="s">
        <v>74</v>
      </c>
      <c r="B43" t="s">
        <v>75</v>
      </c>
      <c r="C43" s="3">
        <v>18398.958208977401</v>
      </c>
    </row>
    <row r="44" spans="1:3" x14ac:dyDescent="0.25">
      <c r="A44" t="s">
        <v>76</v>
      </c>
      <c r="B44" t="s">
        <v>77</v>
      </c>
      <c r="C44" s="3">
        <v>25347.570627071102</v>
      </c>
    </row>
    <row r="45" spans="1:3" x14ac:dyDescent="0.25">
      <c r="A45" t="s">
        <v>78</v>
      </c>
      <c r="B45" t="s">
        <v>79</v>
      </c>
      <c r="C45" s="3">
        <v>18900.048883883199</v>
      </c>
    </row>
    <row r="46" spans="1:3" x14ac:dyDescent="0.25">
      <c r="A46" t="s">
        <v>80</v>
      </c>
      <c r="B46" t="s">
        <v>81</v>
      </c>
      <c r="C46" s="3">
        <v>254522.251533665</v>
      </c>
    </row>
    <row r="47" spans="1:3" x14ac:dyDescent="0.25">
      <c r="A47" t="s">
        <v>82</v>
      </c>
      <c r="B47" t="s">
        <v>83</v>
      </c>
      <c r="C47" s="3">
        <v>15120.8765185143</v>
      </c>
    </row>
    <row r="48" spans="1:3" x14ac:dyDescent="0.25">
      <c r="A48" t="s">
        <v>84</v>
      </c>
      <c r="B48" t="s">
        <v>85</v>
      </c>
      <c r="C48" s="3">
        <v>21684.284573983601</v>
      </c>
    </row>
    <row r="49" spans="1:3" x14ac:dyDescent="0.25">
      <c r="A49" t="s">
        <v>86</v>
      </c>
      <c r="B49" t="s">
        <v>87</v>
      </c>
      <c r="C49" s="3">
        <v>11553.3353118963</v>
      </c>
    </row>
    <row r="50" spans="1:3" x14ac:dyDescent="0.25">
      <c r="A50" t="s">
        <v>88</v>
      </c>
      <c r="B50" t="s">
        <v>89</v>
      </c>
      <c r="C50" s="3">
        <v>22905.275386460598</v>
      </c>
    </row>
    <row r="51" spans="1:3" x14ac:dyDescent="0.25">
      <c r="A51" t="s">
        <v>90</v>
      </c>
      <c r="B51" t="s">
        <v>91</v>
      </c>
      <c r="C51" s="3">
        <v>16871.808935794201</v>
      </c>
    </row>
    <row r="52" spans="1:3" x14ac:dyDescent="0.25">
      <c r="A52" t="s">
        <v>92</v>
      </c>
      <c r="B52" t="s">
        <v>93</v>
      </c>
      <c r="C52" s="3">
        <v>26627.082830401268</v>
      </c>
    </row>
    <row r="53" spans="1:3" x14ac:dyDescent="0.25">
      <c r="A53" t="s">
        <v>94</v>
      </c>
      <c r="B53" t="s">
        <v>95</v>
      </c>
      <c r="C53" s="3">
        <v>10992.761072089699</v>
      </c>
    </row>
    <row r="54" spans="1:3" x14ac:dyDescent="0.25">
      <c r="A54" t="s">
        <v>96</v>
      </c>
      <c r="B54" t="s">
        <v>97</v>
      </c>
      <c r="C54" s="3">
        <v>21483.065817489402</v>
      </c>
    </row>
    <row r="55" spans="1:3" x14ac:dyDescent="0.25">
      <c r="A55" t="s">
        <v>98</v>
      </c>
      <c r="B55" t="s">
        <v>99</v>
      </c>
      <c r="C55" s="3">
        <v>23529.779714761298</v>
      </c>
    </row>
    <row r="56" spans="1:3" x14ac:dyDescent="0.25">
      <c r="A56" t="s">
        <v>100</v>
      </c>
      <c r="B56" t="s">
        <v>101</v>
      </c>
      <c r="C56" s="3">
        <v>17638.361310998</v>
      </c>
    </row>
    <row r="57" spans="1:3" x14ac:dyDescent="0.25">
      <c r="A57" t="s">
        <v>102</v>
      </c>
      <c r="B57" t="s">
        <v>103</v>
      </c>
      <c r="C57" s="3">
        <v>18824.245799656801</v>
      </c>
    </row>
    <row r="58" spans="1:3" x14ac:dyDescent="0.25">
      <c r="A58" t="s">
        <v>104</v>
      </c>
      <c r="B58" t="s">
        <v>105</v>
      </c>
      <c r="C58" s="3">
        <v>28308.550945459599</v>
      </c>
    </row>
    <row r="59" spans="1:3" x14ac:dyDescent="0.25">
      <c r="A59" t="s">
        <v>106</v>
      </c>
      <c r="B59" t="s">
        <v>107</v>
      </c>
      <c r="C59" s="3">
        <v>24220.149036418963</v>
      </c>
    </row>
    <row r="60" spans="1:3" x14ac:dyDescent="0.25">
      <c r="A60" t="s">
        <v>108</v>
      </c>
      <c r="B60" t="s">
        <v>109</v>
      </c>
      <c r="C60" s="3">
        <v>29366.4044995654</v>
      </c>
    </row>
    <row r="61" spans="1:3" x14ac:dyDescent="0.25">
      <c r="A61" t="s">
        <v>110</v>
      </c>
      <c r="B61" t="s">
        <v>111</v>
      </c>
      <c r="C61" s="3">
        <v>22200.948431297202</v>
      </c>
    </row>
    <row r="62" spans="1:3" x14ac:dyDescent="0.25">
      <c r="A62" t="s">
        <v>112</v>
      </c>
      <c r="B62" t="s">
        <v>113</v>
      </c>
      <c r="C62" s="3">
        <v>19276.598533607699</v>
      </c>
    </row>
    <row r="63" spans="1:3" x14ac:dyDescent="0.25">
      <c r="A63" t="s">
        <v>114</v>
      </c>
      <c r="B63" t="s">
        <v>115</v>
      </c>
      <c r="C63" s="3">
        <v>13374.644743032801</v>
      </c>
    </row>
    <row r="64" spans="1:3" x14ac:dyDescent="0.25">
      <c r="A64" t="s">
        <v>116</v>
      </c>
      <c r="B64" t="s">
        <v>117</v>
      </c>
      <c r="C64" s="3">
        <v>25945.467778934999</v>
      </c>
    </row>
    <row r="65" spans="1:3" x14ac:dyDescent="0.25">
      <c r="A65" t="s">
        <v>118</v>
      </c>
      <c r="B65" t="s">
        <v>119</v>
      </c>
      <c r="C65" s="3">
        <v>13522.3610349927</v>
      </c>
    </row>
    <row r="66" spans="1:3" x14ac:dyDescent="0.25">
      <c r="A66" t="s">
        <v>120</v>
      </c>
      <c r="B66" t="s">
        <v>121</v>
      </c>
      <c r="C66" s="3">
        <v>20574.886031012</v>
      </c>
    </row>
    <row r="67" spans="1:3" x14ac:dyDescent="0.25">
      <c r="A67" t="s">
        <v>122</v>
      </c>
      <c r="B67" t="s">
        <v>123</v>
      </c>
      <c r="C67" s="3">
        <v>28635.016859756899</v>
      </c>
    </row>
    <row r="68" spans="1:3" x14ac:dyDescent="0.25">
      <c r="A68" t="s">
        <v>124</v>
      </c>
      <c r="B68" t="s">
        <v>125</v>
      </c>
      <c r="C68" s="3">
        <v>18768.421969732601</v>
      </c>
    </row>
    <row r="69" spans="1:3" x14ac:dyDescent="0.25">
      <c r="A69" t="s">
        <v>126</v>
      </c>
      <c r="B69" t="s">
        <v>127</v>
      </c>
      <c r="C69" s="3">
        <v>14007.4087022043</v>
      </c>
    </row>
    <row r="70" spans="1:3" x14ac:dyDescent="0.25">
      <c r="A70" t="s">
        <v>128</v>
      </c>
      <c r="B70" t="s">
        <v>129</v>
      </c>
      <c r="C70" s="3">
        <v>19564.151548236099</v>
      </c>
    </row>
    <row r="71" spans="1:3" x14ac:dyDescent="0.25">
      <c r="A71" t="s">
        <v>130</v>
      </c>
      <c r="B71" t="s">
        <v>131</v>
      </c>
      <c r="C71" s="3">
        <v>16042.382020830501</v>
      </c>
    </row>
    <row r="72" spans="1:3" x14ac:dyDescent="0.25">
      <c r="A72" t="s">
        <v>132</v>
      </c>
      <c r="B72" t="s">
        <v>133</v>
      </c>
      <c r="C72" s="3">
        <v>21719.291440350698</v>
      </c>
    </row>
    <row r="73" spans="1:3" x14ac:dyDescent="0.25">
      <c r="A73" t="s">
        <v>134</v>
      </c>
      <c r="B73" t="s">
        <v>135</v>
      </c>
      <c r="C73" s="3">
        <v>18832.9046649476</v>
      </c>
    </row>
    <row r="74" spans="1:3" x14ac:dyDescent="0.25">
      <c r="A74" t="s">
        <v>136</v>
      </c>
      <c r="B74" t="s">
        <v>137</v>
      </c>
      <c r="C74" s="3">
        <v>23748.855057839799</v>
      </c>
    </row>
    <row r="75" spans="1:3" x14ac:dyDescent="0.25">
      <c r="A75" t="s">
        <v>138</v>
      </c>
      <c r="B75" t="s">
        <v>139</v>
      </c>
      <c r="C75" s="3">
        <v>11797.0064497639</v>
      </c>
    </row>
    <row r="76" spans="1:3" x14ac:dyDescent="0.25">
      <c r="A76" t="s">
        <v>45</v>
      </c>
      <c r="B76" t="s">
        <v>140</v>
      </c>
      <c r="C76" s="3">
        <v>27735.797438725702</v>
      </c>
    </row>
    <row r="77" spans="1:3" x14ac:dyDescent="0.25">
      <c r="A77" t="s">
        <v>141</v>
      </c>
      <c r="B77" t="s">
        <v>142</v>
      </c>
      <c r="C77" s="3">
        <v>17063.864775874299</v>
      </c>
    </row>
    <row r="78" spans="1:3" x14ac:dyDescent="0.25">
      <c r="A78" t="s">
        <v>143</v>
      </c>
      <c r="B78" t="s">
        <v>144</v>
      </c>
      <c r="C78" s="3">
        <v>15227.7753785477</v>
      </c>
    </row>
    <row r="79" spans="1:3" x14ac:dyDescent="0.25">
      <c r="A79" t="s">
        <v>145</v>
      </c>
      <c r="B79" t="s">
        <v>146</v>
      </c>
      <c r="C79" s="3">
        <v>23507.801566028302</v>
      </c>
    </row>
    <row r="80" spans="1:3" x14ac:dyDescent="0.25">
      <c r="A80" t="s">
        <v>147</v>
      </c>
      <c r="B80" t="s">
        <v>148</v>
      </c>
      <c r="C80" s="3">
        <v>12663.555739212899</v>
      </c>
    </row>
    <row r="81" spans="1:3" x14ac:dyDescent="0.25">
      <c r="A81" t="s">
        <v>51</v>
      </c>
      <c r="B81" t="s">
        <v>149</v>
      </c>
      <c r="C81" s="3">
        <v>18967.353806958101</v>
      </c>
    </row>
    <row r="82" spans="1:3" x14ac:dyDescent="0.25">
      <c r="A82" t="s">
        <v>150</v>
      </c>
      <c r="B82" t="s">
        <v>151</v>
      </c>
      <c r="C82" s="3">
        <v>29706.656834737001</v>
      </c>
    </row>
    <row r="83" spans="1:3" x14ac:dyDescent="0.25">
      <c r="A83" t="s">
        <v>152</v>
      </c>
      <c r="B83" t="s">
        <v>153</v>
      </c>
      <c r="C83" s="3">
        <v>25755.139629829198</v>
      </c>
    </row>
    <row r="84" spans="1:3" x14ac:dyDescent="0.25">
      <c r="A84" t="s">
        <v>154</v>
      </c>
      <c r="B84" t="s">
        <v>155</v>
      </c>
      <c r="C84" s="3">
        <v>19483.811472080601</v>
      </c>
    </row>
    <row r="85" spans="1:3" x14ac:dyDescent="0.25">
      <c r="A85" t="s">
        <v>156</v>
      </c>
      <c r="B85" t="s">
        <v>157</v>
      </c>
      <c r="C85" s="3">
        <v>29819.848994534201</v>
      </c>
    </row>
    <row r="86" spans="1:3" x14ac:dyDescent="0.25">
      <c r="A86" t="s">
        <v>158</v>
      </c>
      <c r="B86" t="s">
        <v>159</v>
      </c>
      <c r="C86" s="3">
        <v>12302.760888864999</v>
      </c>
    </row>
    <row r="87" spans="1:3" x14ac:dyDescent="0.25">
      <c r="A87" t="s">
        <v>160</v>
      </c>
      <c r="B87" t="s">
        <v>161</v>
      </c>
      <c r="C87" s="3">
        <v>23731.005893836798</v>
      </c>
    </row>
    <row r="88" spans="1:3" x14ac:dyDescent="0.25">
      <c r="A88" t="s">
        <v>162</v>
      </c>
      <c r="B88" t="s">
        <v>163</v>
      </c>
      <c r="C88" s="3">
        <v>10443.381558757899</v>
      </c>
    </row>
    <row r="89" spans="1:3" x14ac:dyDescent="0.25">
      <c r="A89" t="s">
        <v>164</v>
      </c>
      <c r="B89" t="s">
        <v>165</v>
      </c>
      <c r="C89" s="3">
        <v>28520.977949727599</v>
      </c>
    </row>
    <row r="90" spans="1:3" x14ac:dyDescent="0.25">
      <c r="A90" t="s">
        <v>166</v>
      </c>
      <c r="B90" t="s">
        <v>167</v>
      </c>
      <c r="C90" s="3">
        <v>13447.7180100899</v>
      </c>
    </row>
    <row r="91" spans="1:3" x14ac:dyDescent="0.25">
      <c r="A91" t="s">
        <v>168</v>
      </c>
      <c r="B91" t="s">
        <v>169</v>
      </c>
      <c r="C91" s="3">
        <v>12895.385533979101</v>
      </c>
    </row>
    <row r="92" spans="1:3" x14ac:dyDescent="0.25">
      <c r="A92" t="s">
        <v>170</v>
      </c>
      <c r="B92" t="s">
        <v>171</v>
      </c>
      <c r="C92" s="3">
        <v>24610.815631344201</v>
      </c>
    </row>
    <row r="93" spans="1:3" x14ac:dyDescent="0.25">
      <c r="A93" t="s">
        <v>172</v>
      </c>
      <c r="B93" t="s">
        <v>173</v>
      </c>
      <c r="C93" s="3">
        <v>33096.100036216798</v>
      </c>
    </row>
    <row r="94" spans="1:3" x14ac:dyDescent="0.25">
      <c r="A94" t="s">
        <v>174</v>
      </c>
      <c r="B94" t="s">
        <v>175</v>
      </c>
      <c r="C94" s="3">
        <v>11897.399420665201</v>
      </c>
    </row>
    <row r="95" spans="1:3" x14ac:dyDescent="0.25">
      <c r="A95" t="s">
        <v>96</v>
      </c>
      <c r="B95" t="s">
        <v>176</v>
      </c>
      <c r="C95" s="3">
        <v>10183.698128365901</v>
      </c>
    </row>
    <row r="96" spans="1:3" x14ac:dyDescent="0.25">
      <c r="A96" t="s">
        <v>98</v>
      </c>
      <c r="B96" t="s">
        <v>177</v>
      </c>
      <c r="C96" s="3">
        <v>20237.569980526201</v>
      </c>
    </row>
    <row r="97" spans="1:3" x14ac:dyDescent="0.25">
      <c r="A97" t="s">
        <v>100</v>
      </c>
      <c r="B97" t="s">
        <v>178</v>
      </c>
      <c r="C97" s="3">
        <v>23451.946859239401</v>
      </c>
    </row>
    <row r="98" spans="1:3" x14ac:dyDescent="0.25">
      <c r="A98" t="s">
        <v>179</v>
      </c>
      <c r="B98" t="s">
        <v>180</v>
      </c>
      <c r="C98" s="3">
        <v>17897.567899985901</v>
      </c>
    </row>
    <row r="99" spans="1:3" x14ac:dyDescent="0.25">
      <c r="A99" t="s">
        <v>181</v>
      </c>
      <c r="B99" t="s">
        <v>182</v>
      </c>
      <c r="C99" s="3">
        <v>19996.970956368801</v>
      </c>
    </row>
    <row r="100" spans="1:3" x14ac:dyDescent="0.25">
      <c r="A100" t="s">
        <v>183</v>
      </c>
      <c r="B100" t="s">
        <v>184</v>
      </c>
      <c r="C100" s="3">
        <v>15239.605343026</v>
      </c>
    </row>
    <row r="101" spans="1:3" x14ac:dyDescent="0.25">
      <c r="A101" t="s">
        <v>185</v>
      </c>
      <c r="B101" t="s">
        <v>186</v>
      </c>
      <c r="C101" s="3">
        <v>22414.604123698999</v>
      </c>
    </row>
    <row r="102" spans="1:3" x14ac:dyDescent="0.25">
      <c r="A102" t="s">
        <v>187</v>
      </c>
      <c r="B102" t="s">
        <v>188</v>
      </c>
      <c r="C102" s="3">
        <v>32625.594157855499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5074-5A49-49E9-B8CB-8172D84F548E}">
  <dimension ref="A1:D14"/>
  <sheetViews>
    <sheetView tabSelected="1" workbookViewId="0">
      <selection activeCell="C4" sqref="C4"/>
    </sheetView>
  </sheetViews>
  <sheetFormatPr defaultRowHeight="15" x14ac:dyDescent="0.25"/>
  <cols>
    <col min="1" max="1" width="10.140625" customWidth="1"/>
    <col min="2" max="2" width="9.42578125" bestFit="1" customWidth="1"/>
    <col min="3" max="3" width="22.42578125" customWidth="1"/>
    <col min="4" max="4" width="37" customWidth="1"/>
  </cols>
  <sheetData>
    <row r="1" spans="1:4" ht="23.25" x14ac:dyDescent="0.35">
      <c r="A1" s="2" t="s">
        <v>195</v>
      </c>
    </row>
    <row r="3" spans="1:4" x14ac:dyDescent="0.25">
      <c r="A3" s="4" t="s">
        <v>196</v>
      </c>
      <c r="B3" s="4" t="s">
        <v>197</v>
      </c>
      <c r="C3" s="4" t="s">
        <v>198</v>
      </c>
      <c r="D3" s="4" t="s">
        <v>199</v>
      </c>
    </row>
    <row r="4" spans="1:4" x14ac:dyDescent="0.25">
      <c r="A4" t="s">
        <v>200</v>
      </c>
      <c r="B4" s="6">
        <v>26</v>
      </c>
      <c r="C4">
        <v>120</v>
      </c>
      <c r="D4" s="7">
        <f>Tabulka2[[#This Row],[Počet prodaných kusů]]/$C$10</f>
        <v>0.38338658146964855</v>
      </c>
    </row>
    <row r="5" spans="1:4" x14ac:dyDescent="0.25">
      <c r="A5" t="s">
        <v>201</v>
      </c>
      <c r="B5" s="6">
        <v>48</v>
      </c>
      <c r="C5">
        <v>67</v>
      </c>
      <c r="D5" s="8">
        <f>Tabulka2[[#This Row],[Počet prodaných kusů]]/$C$10</f>
        <v>0.21405750798722045</v>
      </c>
    </row>
    <row r="6" spans="1:4" x14ac:dyDescent="0.25">
      <c r="A6" t="s">
        <v>202</v>
      </c>
      <c r="B6" s="6">
        <v>16</v>
      </c>
      <c r="C6">
        <v>16</v>
      </c>
      <c r="D6" s="8">
        <f>Tabulka2[[#This Row],[Počet prodaných kusů]]/$C$10</f>
        <v>5.1118210862619806E-2</v>
      </c>
    </row>
    <row r="7" spans="1:4" x14ac:dyDescent="0.25">
      <c r="A7" t="s">
        <v>203</v>
      </c>
      <c r="B7" s="6">
        <v>34</v>
      </c>
      <c r="C7">
        <v>39</v>
      </c>
      <c r="D7" s="8">
        <f>Tabulka2[[#This Row],[Počet prodaných kusů]]/$C$10</f>
        <v>0.12460063897763578</v>
      </c>
    </row>
    <row r="8" spans="1:4" x14ac:dyDescent="0.25">
      <c r="A8" t="s">
        <v>204</v>
      </c>
      <c r="B8" s="6">
        <v>19</v>
      </c>
      <c r="C8">
        <v>28</v>
      </c>
      <c r="D8" s="8">
        <f>Tabulka2[[#This Row],[Počet prodaných kusů]]/$C$10</f>
        <v>8.9456869009584661E-2</v>
      </c>
    </row>
    <row r="9" spans="1:4" x14ac:dyDescent="0.25">
      <c r="A9" t="s">
        <v>205</v>
      </c>
      <c r="B9" s="6">
        <v>26</v>
      </c>
      <c r="C9">
        <v>43</v>
      </c>
      <c r="D9" s="8">
        <f>Tabulka2[[#This Row],[Počet prodaných kusů]]/$C$10</f>
        <v>0.13738019169329074</v>
      </c>
    </row>
    <row r="10" spans="1:4" x14ac:dyDescent="0.25">
      <c r="A10" s="5" t="s">
        <v>206</v>
      </c>
      <c r="B10" s="5"/>
      <c r="C10" s="5">
        <f>SUM(C4:C9)</f>
        <v>313</v>
      </c>
      <c r="D10" s="9">
        <f>Tabulka2[[#This Row],[Počet prodaných kusů]]/$C$10</f>
        <v>1</v>
      </c>
    </row>
    <row r="13" spans="1:4" x14ac:dyDescent="0.25">
      <c r="C13" t="s">
        <v>207</v>
      </c>
      <c r="D13" t="s">
        <v>208</v>
      </c>
    </row>
    <row r="14" spans="1:4" x14ac:dyDescent="0.25">
      <c r="C14" s="10">
        <f>SUMPRODUCT(C4:C9,B4:B9)</f>
        <v>9568</v>
      </c>
      <c r="D14" s="10">
        <f>SUMPRODUCT(D4:D9,B4:B9)</f>
        <v>30.568690095846645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Tabulka mezd</vt:lpstr>
      <vt:lpstr>Prodej produktů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2019-12-03T20:27:20Z</dcterms:modified>
</cp:coreProperties>
</file>