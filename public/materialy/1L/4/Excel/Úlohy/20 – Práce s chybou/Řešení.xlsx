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146" documentId="11_AD4D80C4656A4B0A437B18BF7A5C4E5A5BDEDD9E" xr6:coauthVersionLast="45" xr6:coauthVersionMax="45" xr10:uidLastSave="{DD0A41C5-B460-4874-BD9D-025254AECD5E}"/>
  <bookViews>
    <workbookView xWindow="-103" yWindow="-103" windowWidth="19543" windowHeight="11880" activeTab="2" xr2:uid="{00000000-000D-0000-FFFF-FFFF00000000}"/>
  </bookViews>
  <sheets>
    <sheet name="Chyby" sheetId="1" r:id="rId1"/>
    <sheet name="ČÍSLA2" sheetId="2" r:id="rId2"/>
    <sheet name="Zaměstnanc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M5" i="1"/>
  <c r="I9" i="1"/>
  <c r="I5" i="1"/>
  <c r="E9" i="1"/>
  <c r="E5" i="1"/>
  <c r="F101" i="3" l="1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<sst xmlns="http://schemas.openxmlformats.org/spreadsheetml/2006/main" count="429" uniqueCount="222">
  <si>
    <t>Chyby</t>
  </si>
  <si>
    <t>Čísla</t>
  </si>
  <si>
    <t>Součet čísel:</t>
  </si>
  <si>
    <t>Chyba #NÁZEV?</t>
  </si>
  <si>
    <t>Chyba #HODNOTA!</t>
  </si>
  <si>
    <t>Dělení čísel:</t>
  </si>
  <si>
    <t>Chyba #DĚLENÍ_NULOU!</t>
  </si>
  <si>
    <t>(tento + list "ČÍSLA2")</t>
  </si>
  <si>
    <t>Chyba #ODKAZ!</t>
  </si>
  <si>
    <t>(např. SVYHLEDAT)</t>
  </si>
  <si>
    <t>Vyhledávání:</t>
  </si>
  <si>
    <t>a</t>
  </si>
  <si>
    <t>b</t>
  </si>
  <si>
    <t>c</t>
  </si>
  <si>
    <t>d</t>
  </si>
  <si>
    <t>e</t>
  </si>
  <si>
    <t>Písmena</t>
  </si>
  <si>
    <t>Chyba #NENÍ_K_DISPOZICI</t>
  </si>
  <si>
    <t>Kontrola chyby:</t>
  </si>
  <si>
    <t>Seznam zaměstnanců</t>
  </si>
  <si>
    <t>ID</t>
  </si>
  <si>
    <t>Příjmení</t>
  </si>
  <si>
    <t>Jméno</t>
  </si>
  <si>
    <t>Pohlaví</t>
  </si>
  <si>
    <t>Datum narození</t>
  </si>
  <si>
    <t>Věk</t>
  </si>
  <si>
    <t>Oddělení</t>
  </si>
  <si>
    <t>Bartoš</t>
  </si>
  <si>
    <t>Rudolf</t>
  </si>
  <si>
    <t>muž</t>
  </si>
  <si>
    <t>výroba</t>
  </si>
  <si>
    <t>Číslo zaměstnance:</t>
  </si>
  <si>
    <t>Bartošová</t>
  </si>
  <si>
    <t>Pavla</t>
  </si>
  <si>
    <t>žena</t>
  </si>
  <si>
    <t>kancelář</t>
  </si>
  <si>
    <t>Příjmení:</t>
  </si>
  <si>
    <t>Beneš</t>
  </si>
  <si>
    <t>Vladimír</t>
  </si>
  <si>
    <t>sklad</t>
  </si>
  <si>
    <t>Benešová</t>
  </si>
  <si>
    <t>Martina</t>
  </si>
  <si>
    <t>Blažek</t>
  </si>
  <si>
    <t>Jaromír</t>
  </si>
  <si>
    <t>Blažková</t>
  </si>
  <si>
    <t>Barbora</t>
  </si>
  <si>
    <t>Čech</t>
  </si>
  <si>
    <t>Bohumil</t>
  </si>
  <si>
    <t>prodej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</si>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</sst>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0" xfId="0" applyNumberFormat="1"/>
    <xf numFmtId="0" fontId="3" fillId="3" borderId="1" xfId="0" applyFont="1" applyFill="1" applyBorder="1" applyAlignment="1"/>
    <xf numFmtId="0" fontId="3" fillId="3" borderId="0" xfId="0" applyFont="1" applyFill="1" applyBorder="1" applyAlignme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ální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05EA6-E9D1-4C8B-AB5F-4A3635B9E909}" name="Tabulka1" displayName="Tabulka1" ref="A2:G102" totalsRowShown="0" headerRowDxfId="0">
  <tableColumns count="7">
    <tableColumn id="1" xr3:uid="{A33BFCB7-565D-4BBF-8135-7C3EC9E20940}" name="ID"/>
    <tableColumn id="2" xr3:uid="{CB417B68-6663-4854-ADB6-7997CF676816}" name="Příjmení"/>
    <tableColumn id="3" xr3:uid="{67342870-F78C-4F31-B53C-BAECCBA884EB}" name="Jméno"/>
    <tableColumn id="4" xr3:uid="{09AB60CD-19FE-40F7-96A3-8EDFECA365E7}" name="Pohlaví"/>
    <tableColumn id="5" xr3:uid="{2D782740-3425-46CB-8783-CB30B656EFF8}" name="Datum narození"/>
    <tableColumn id="6" xr3:uid="{55653EB5-D2D8-47AE-B77C-46357D319016}" name="Věk"/>
    <tableColumn id="7" xr3:uid="{32589208-2F96-4203-B78A-E5B4C486870F}" name="Odděl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>
      <selection activeCell="M7" sqref="M7"/>
    </sheetView>
  </sheetViews>
  <sheetFormatPr defaultRowHeight="14.6" x14ac:dyDescent="0.4"/>
  <cols>
    <col min="4" max="4" width="16.69140625" customWidth="1"/>
    <col min="5" max="5" width="13" customWidth="1"/>
    <col min="6" max="6" width="10.84375" bestFit="1" customWidth="1"/>
    <col min="8" max="8" width="12" customWidth="1"/>
    <col min="9" max="9" width="16.3046875" bestFit="1" customWidth="1"/>
    <col min="12" max="12" width="12.69140625" customWidth="1"/>
    <col min="13" max="13" width="18.53515625" bestFit="1" customWidth="1"/>
  </cols>
  <sheetData>
    <row r="1" spans="1:13" ht="23.15" x14ac:dyDescent="0.6">
      <c r="A1" s="1" t="s">
        <v>0</v>
      </c>
      <c r="B1" s="1"/>
    </row>
    <row r="4" spans="1:13" x14ac:dyDescent="0.4">
      <c r="A4" s="2" t="s">
        <v>1</v>
      </c>
      <c r="B4" s="2" t="s">
        <v>16</v>
      </c>
      <c r="D4" s="2" t="s">
        <v>3</v>
      </c>
      <c r="H4" s="2" t="s">
        <v>6</v>
      </c>
      <c r="L4" s="2" t="s">
        <v>17</v>
      </c>
    </row>
    <row r="5" spans="1:13" x14ac:dyDescent="0.4">
      <c r="A5" s="3">
        <v>67</v>
      </c>
      <c r="B5" s="11" t="s">
        <v>11</v>
      </c>
      <c r="D5" t="s">
        <v>2</v>
      </c>
      <c r="E5" s="3">
        <f>A5+A6+A7+A8+A9</f>
        <v>319</v>
      </c>
      <c r="H5" t="s">
        <v>5</v>
      </c>
      <c r="I5" t="str">
        <f>IFERROR(A6/A7,IF(A7=0,"Dělení nulou"))</f>
        <v>Dělení nulou</v>
      </c>
      <c r="L5" t="s">
        <v>10</v>
      </c>
      <c r="M5" t="str">
        <f>VLOOKUP("a",B5:B9,1)</f>
        <v>a</v>
      </c>
    </row>
    <row r="6" spans="1:13" x14ac:dyDescent="0.4">
      <c r="A6" s="3">
        <v>98</v>
      </c>
      <c r="B6" s="11" t="s">
        <v>12</v>
      </c>
      <c r="L6" t="s">
        <v>9</v>
      </c>
    </row>
    <row r="7" spans="1:13" x14ac:dyDescent="0.4">
      <c r="A7" s="3">
        <v>0</v>
      </c>
      <c r="B7" s="11" t="s">
        <v>13</v>
      </c>
    </row>
    <row r="8" spans="1:13" x14ac:dyDescent="0.4">
      <c r="A8" s="3">
        <v>56</v>
      </c>
      <c r="B8" s="11" t="s">
        <v>14</v>
      </c>
      <c r="D8" s="2" t="s">
        <v>4</v>
      </c>
      <c r="H8" s="2" t="s">
        <v>8</v>
      </c>
    </row>
    <row r="9" spans="1:13" x14ac:dyDescent="0.4">
      <c r="A9" s="3">
        <v>98</v>
      </c>
      <c r="B9" s="11" t="s">
        <v>15</v>
      </c>
      <c r="D9" t="s">
        <v>2</v>
      </c>
      <c r="E9" s="3">
        <f>A5+A6+A7+A8+A9</f>
        <v>319</v>
      </c>
      <c r="H9" t="s">
        <v>2</v>
      </c>
      <c r="I9" s="3">
        <f>SUM(A5:A9,ČÍSLA2!A5:A9)</f>
        <v>1964</v>
      </c>
    </row>
    <row r="10" spans="1:13" x14ac:dyDescent="0.4">
      <c r="D10" t="s">
        <v>18</v>
      </c>
      <c r="H10" t="s">
        <v>7</v>
      </c>
    </row>
    <row r="13" spans="1:13" x14ac:dyDescent="0.4">
      <c r="A1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B227-C2C6-46A6-84EA-6AF38A1D83E5}">
  <dimension ref="A1:A9"/>
  <sheetViews>
    <sheetView workbookViewId="0">
      <selection activeCell="A9" sqref="A9"/>
    </sheetView>
  </sheetViews>
  <sheetFormatPr defaultRowHeight="14.6" x14ac:dyDescent="0.4"/>
  <sheetData>
    <row r="1" spans="1:1" ht="23.15" x14ac:dyDescent="0.6">
      <c r="A1" s="1" t="s">
        <v>0</v>
      </c>
    </row>
    <row r="4" spans="1:1" x14ac:dyDescent="0.4">
      <c r="A4" s="2" t="s">
        <v>1</v>
      </c>
    </row>
    <row r="5" spans="1:1" x14ac:dyDescent="0.4">
      <c r="A5">
        <v>98</v>
      </c>
    </row>
    <row r="6" spans="1:1" x14ac:dyDescent="0.4">
      <c r="A6">
        <v>533</v>
      </c>
    </row>
    <row r="7" spans="1:1" x14ac:dyDescent="0.4">
      <c r="A7">
        <v>875</v>
      </c>
    </row>
    <row r="8" spans="1:1" x14ac:dyDescent="0.4">
      <c r="A8">
        <v>65</v>
      </c>
    </row>
    <row r="9" spans="1:1" x14ac:dyDescent="0.4">
      <c r="A9">
        <v>74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2C38-6177-4463-B38B-5E1184491602}">
  <dimension ref="A1:K101"/>
  <sheetViews>
    <sheetView tabSelected="1" workbookViewId="0">
      <selection activeCell="K3" sqref="K3"/>
    </sheetView>
  </sheetViews>
  <sheetFormatPr defaultRowHeight="14.6" x14ac:dyDescent="0.4"/>
  <cols>
    <col min="5" max="5" width="13" customWidth="1"/>
    <col min="10" max="10" width="9.69140625" customWidth="1"/>
  </cols>
  <sheetData>
    <row r="1" spans="1:11" ht="23.15" x14ac:dyDescent="0.6">
      <c r="A1" s="1" t="s">
        <v>19</v>
      </c>
    </row>
    <row r="2" spans="1:11" ht="29.15" x14ac:dyDescent="0.4">
      <c r="A2" s="4" t="s">
        <v>20</v>
      </c>
      <c r="B2" s="4" t="s">
        <v>21</v>
      </c>
      <c r="C2" s="4" t="s">
        <v>22</v>
      </c>
      <c r="D2" s="5" t="s">
        <v>23</v>
      </c>
      <c r="E2" s="5" t="s">
        <v>24</v>
      </c>
      <c r="F2" s="4" t="s">
        <v>25</v>
      </c>
      <c r="G2" s="4" t="s">
        <v>26</v>
      </c>
    </row>
    <row r="3" spans="1:11" x14ac:dyDescent="0.4">
      <c r="A3" s="12">
        <v>1</v>
      </c>
      <c r="B3" t="s">
        <v>27</v>
      </c>
      <c r="C3" t="s">
        <v>28</v>
      </c>
      <c r="D3" t="s">
        <v>29</v>
      </c>
      <c r="E3" s="6">
        <v>21719</v>
      </c>
      <c r="F3">
        <f t="shared" ref="F3:F66" ca="1" si="0">INT((TODAY()-E3)/365)</f>
        <v>61</v>
      </c>
      <c r="G3" t="s">
        <v>30</v>
      </c>
      <c r="I3" s="7" t="s">
        <v>31</v>
      </c>
      <c r="J3" s="8"/>
      <c r="K3">
        <v>897</v>
      </c>
    </row>
    <row r="4" spans="1:11" x14ac:dyDescent="0.4">
      <c r="A4" s="12">
        <v>2</v>
      </c>
      <c r="B4" t="s">
        <v>32</v>
      </c>
      <c r="C4" t="s">
        <v>33</v>
      </c>
      <c r="D4" t="s">
        <v>34</v>
      </c>
      <c r="E4" s="6">
        <v>26316</v>
      </c>
      <c r="F4">
        <f t="shared" ca="1" si="0"/>
        <v>48</v>
      </c>
      <c r="G4" t="s">
        <v>35</v>
      </c>
      <c r="I4" s="2" t="s">
        <v>36</v>
      </c>
      <c r="J4" s="13" t="str">
        <f>IF(ISNUMBER(K3),_xlfn.IFNA(VLOOKUP(K3,A3:G101,2,0),"Nenalezeno"),"Zadejte číslo")</f>
        <v>Nenalezeno</v>
      </c>
      <c r="K4" s="13"/>
    </row>
    <row r="5" spans="1:11" x14ac:dyDescent="0.4">
      <c r="A5" s="12">
        <v>3</v>
      </c>
      <c r="B5" t="s">
        <v>37</v>
      </c>
      <c r="C5" t="s">
        <v>38</v>
      </c>
      <c r="D5" t="s">
        <v>29</v>
      </c>
      <c r="E5" s="6">
        <v>20129</v>
      </c>
      <c r="F5">
        <f t="shared" ca="1" si="0"/>
        <v>65</v>
      </c>
      <c r="G5" t="s">
        <v>39</v>
      </c>
      <c r="I5" s="2"/>
      <c r="J5" s="9"/>
    </row>
    <row r="6" spans="1:11" x14ac:dyDescent="0.4">
      <c r="A6" s="12">
        <v>4</v>
      </c>
      <c r="B6" t="s">
        <v>40</v>
      </c>
      <c r="C6" t="s">
        <v>41</v>
      </c>
      <c r="D6" t="s">
        <v>29</v>
      </c>
      <c r="E6" s="6">
        <v>25534</v>
      </c>
      <c r="F6">
        <f t="shared" ca="1" si="0"/>
        <v>51</v>
      </c>
      <c r="G6" t="s">
        <v>30</v>
      </c>
      <c r="I6" s="2"/>
      <c r="J6" s="10"/>
    </row>
    <row r="7" spans="1:11" x14ac:dyDescent="0.4">
      <c r="A7" s="12">
        <v>5</v>
      </c>
      <c r="B7" t="s">
        <v>42</v>
      </c>
      <c r="C7" t="s">
        <v>43</v>
      </c>
      <c r="D7" t="s">
        <v>29</v>
      </c>
      <c r="E7" s="6">
        <v>16288</v>
      </c>
      <c r="F7">
        <f t="shared" ca="1" si="0"/>
        <v>76</v>
      </c>
      <c r="G7" t="s">
        <v>30</v>
      </c>
      <c r="I7" s="2"/>
    </row>
    <row r="8" spans="1:11" x14ac:dyDescent="0.4">
      <c r="A8" s="12">
        <v>6</v>
      </c>
      <c r="B8" t="s">
        <v>44</v>
      </c>
      <c r="C8" t="s">
        <v>45</v>
      </c>
      <c r="D8" t="s">
        <v>34</v>
      </c>
      <c r="E8" s="6">
        <v>22866</v>
      </c>
      <c r="F8">
        <f t="shared" ca="1" si="0"/>
        <v>58</v>
      </c>
      <c r="G8" t="s">
        <v>35</v>
      </c>
      <c r="I8" s="2"/>
    </row>
    <row r="9" spans="1:11" x14ac:dyDescent="0.4">
      <c r="A9" s="12">
        <v>7</v>
      </c>
      <c r="B9" t="s">
        <v>46</v>
      </c>
      <c r="C9" t="s">
        <v>47</v>
      </c>
      <c r="D9" t="s">
        <v>29</v>
      </c>
      <c r="E9" s="6">
        <v>23102</v>
      </c>
      <c r="F9">
        <f t="shared" ca="1" si="0"/>
        <v>57</v>
      </c>
      <c r="G9" t="s">
        <v>48</v>
      </c>
    </row>
    <row r="10" spans="1:11" x14ac:dyDescent="0.4">
      <c r="A10" s="12">
        <v>8</v>
      </c>
      <c r="B10" t="s">
        <v>49</v>
      </c>
      <c r="C10" t="s">
        <v>50</v>
      </c>
      <c r="D10" t="s">
        <v>34</v>
      </c>
      <c r="E10" s="6">
        <v>21058</v>
      </c>
      <c r="F10">
        <f t="shared" ca="1" si="0"/>
        <v>63</v>
      </c>
      <c r="G10" t="s">
        <v>30</v>
      </c>
    </row>
    <row r="11" spans="1:11" x14ac:dyDescent="0.4">
      <c r="A11" s="12">
        <v>9</v>
      </c>
      <c r="B11" t="s">
        <v>51</v>
      </c>
      <c r="C11" t="s">
        <v>52</v>
      </c>
      <c r="D11" t="s">
        <v>29</v>
      </c>
      <c r="E11" s="6">
        <v>22593</v>
      </c>
      <c r="F11">
        <f t="shared" ca="1" si="0"/>
        <v>59</v>
      </c>
      <c r="G11" t="s">
        <v>39</v>
      </c>
    </row>
    <row r="12" spans="1:11" x14ac:dyDescent="0.4">
      <c r="A12" s="12">
        <v>10</v>
      </c>
      <c r="B12" t="s">
        <v>53</v>
      </c>
      <c r="C12" t="s">
        <v>54</v>
      </c>
      <c r="D12" t="s">
        <v>34</v>
      </c>
      <c r="E12" s="6">
        <v>21899</v>
      </c>
      <c r="F12">
        <f t="shared" ca="1" si="0"/>
        <v>60</v>
      </c>
      <c r="G12" t="s">
        <v>30</v>
      </c>
    </row>
    <row r="13" spans="1:11" x14ac:dyDescent="0.4">
      <c r="A13" s="12">
        <v>11</v>
      </c>
      <c r="B13" t="s">
        <v>55</v>
      </c>
      <c r="C13" t="s">
        <v>56</v>
      </c>
      <c r="D13" t="s">
        <v>29</v>
      </c>
      <c r="E13" s="6">
        <v>17126</v>
      </c>
      <c r="F13">
        <f t="shared" ca="1" si="0"/>
        <v>74</v>
      </c>
      <c r="G13" t="s">
        <v>30</v>
      </c>
    </row>
    <row r="14" spans="1:11" x14ac:dyDescent="0.4">
      <c r="A14" s="12">
        <v>12</v>
      </c>
      <c r="B14" t="s">
        <v>57</v>
      </c>
      <c r="C14" t="s">
        <v>58</v>
      </c>
      <c r="D14" t="s">
        <v>29</v>
      </c>
      <c r="E14" s="6">
        <v>20447</v>
      </c>
      <c r="F14">
        <f t="shared" ca="1" si="0"/>
        <v>64</v>
      </c>
      <c r="G14" t="s">
        <v>30</v>
      </c>
    </row>
    <row r="15" spans="1:11" x14ac:dyDescent="0.4">
      <c r="A15" s="12">
        <v>13</v>
      </c>
      <c r="B15" t="s">
        <v>59</v>
      </c>
      <c r="C15" t="s">
        <v>60</v>
      </c>
      <c r="D15" t="s">
        <v>29</v>
      </c>
      <c r="E15" s="6">
        <v>26258</v>
      </c>
      <c r="F15">
        <f t="shared" ca="1" si="0"/>
        <v>49</v>
      </c>
      <c r="G15" t="s">
        <v>35</v>
      </c>
    </row>
    <row r="16" spans="1:11" x14ac:dyDescent="0.4">
      <c r="A16" s="12">
        <v>14</v>
      </c>
      <c r="B16" t="s">
        <v>61</v>
      </c>
      <c r="C16" t="s">
        <v>62</v>
      </c>
      <c r="D16" t="s">
        <v>34</v>
      </c>
      <c r="E16" s="6">
        <v>15027</v>
      </c>
      <c r="F16">
        <f t="shared" ca="1" si="0"/>
        <v>79</v>
      </c>
      <c r="G16" t="s">
        <v>30</v>
      </c>
    </row>
    <row r="17" spans="1:7" x14ac:dyDescent="0.4">
      <c r="A17" s="12">
        <v>15</v>
      </c>
      <c r="B17" t="s">
        <v>63</v>
      </c>
      <c r="C17" t="s">
        <v>64</v>
      </c>
      <c r="D17" t="s">
        <v>29</v>
      </c>
      <c r="E17" s="6">
        <v>23611</v>
      </c>
      <c r="F17">
        <f t="shared" ca="1" si="0"/>
        <v>56</v>
      </c>
      <c r="G17" t="s">
        <v>30</v>
      </c>
    </row>
    <row r="18" spans="1:7" x14ac:dyDescent="0.4">
      <c r="A18" s="12">
        <v>16</v>
      </c>
      <c r="B18" t="s">
        <v>65</v>
      </c>
      <c r="C18" t="s">
        <v>66</v>
      </c>
      <c r="D18" t="s">
        <v>29</v>
      </c>
      <c r="E18" s="6">
        <v>22190</v>
      </c>
      <c r="F18">
        <f t="shared" ca="1" si="0"/>
        <v>60</v>
      </c>
      <c r="G18" t="s">
        <v>48</v>
      </c>
    </row>
    <row r="19" spans="1:7" x14ac:dyDescent="0.4">
      <c r="A19" s="12">
        <v>17</v>
      </c>
      <c r="B19" t="s">
        <v>65</v>
      </c>
      <c r="C19" t="s">
        <v>67</v>
      </c>
      <c r="D19" t="s">
        <v>29</v>
      </c>
      <c r="E19" s="6">
        <v>20558</v>
      </c>
      <c r="F19">
        <f t="shared" ca="1" si="0"/>
        <v>64</v>
      </c>
      <c r="G19" t="s">
        <v>30</v>
      </c>
    </row>
    <row r="20" spans="1:7" x14ac:dyDescent="0.4">
      <c r="A20" s="12">
        <v>18</v>
      </c>
      <c r="B20" t="s">
        <v>68</v>
      </c>
      <c r="C20" t="s">
        <v>69</v>
      </c>
      <c r="D20" t="s">
        <v>29</v>
      </c>
      <c r="E20" s="6">
        <v>27891</v>
      </c>
      <c r="F20">
        <f t="shared" ca="1" si="0"/>
        <v>44</v>
      </c>
      <c r="G20" t="s">
        <v>35</v>
      </c>
    </row>
    <row r="21" spans="1:7" x14ac:dyDescent="0.4">
      <c r="A21" s="12">
        <v>19</v>
      </c>
      <c r="B21" t="s">
        <v>70</v>
      </c>
      <c r="C21" t="s">
        <v>71</v>
      </c>
      <c r="D21" t="s">
        <v>29</v>
      </c>
      <c r="E21" s="6">
        <v>22492</v>
      </c>
      <c r="F21">
        <f t="shared" ca="1" si="0"/>
        <v>59</v>
      </c>
      <c r="G21" t="s">
        <v>30</v>
      </c>
    </row>
    <row r="22" spans="1:7" x14ac:dyDescent="0.4">
      <c r="A22" s="12">
        <v>20</v>
      </c>
      <c r="B22" t="s">
        <v>72</v>
      </c>
      <c r="C22" t="s">
        <v>73</v>
      </c>
      <c r="D22" t="s">
        <v>29</v>
      </c>
      <c r="E22" s="6">
        <v>26922</v>
      </c>
      <c r="F22">
        <f t="shared" ca="1" si="0"/>
        <v>47</v>
      </c>
      <c r="G22" t="s">
        <v>30</v>
      </c>
    </row>
    <row r="23" spans="1:7" x14ac:dyDescent="0.4">
      <c r="A23" s="12">
        <v>21</v>
      </c>
      <c r="B23" t="s">
        <v>74</v>
      </c>
      <c r="C23" t="s">
        <v>75</v>
      </c>
      <c r="D23" t="s">
        <v>29</v>
      </c>
      <c r="E23" s="6">
        <v>17506</v>
      </c>
      <c r="F23">
        <f t="shared" ca="1" si="0"/>
        <v>73</v>
      </c>
      <c r="G23" t="s">
        <v>39</v>
      </c>
    </row>
    <row r="24" spans="1:7" x14ac:dyDescent="0.4">
      <c r="A24" s="12">
        <v>22</v>
      </c>
      <c r="B24" t="s">
        <v>76</v>
      </c>
      <c r="C24" t="s">
        <v>77</v>
      </c>
      <c r="D24" t="s">
        <v>29</v>
      </c>
      <c r="E24" s="6">
        <v>24327</v>
      </c>
      <c r="F24">
        <f t="shared" ca="1" si="0"/>
        <v>54</v>
      </c>
      <c r="G24" t="s">
        <v>30</v>
      </c>
    </row>
    <row r="25" spans="1:7" x14ac:dyDescent="0.4">
      <c r="A25" s="12">
        <v>23</v>
      </c>
      <c r="B25" t="s">
        <v>78</v>
      </c>
      <c r="C25" t="s">
        <v>79</v>
      </c>
      <c r="D25" t="s">
        <v>29</v>
      </c>
      <c r="E25" s="6">
        <v>22857</v>
      </c>
      <c r="F25">
        <f t="shared" ca="1" si="0"/>
        <v>58</v>
      </c>
      <c r="G25" t="s">
        <v>30</v>
      </c>
    </row>
    <row r="26" spans="1:7" x14ac:dyDescent="0.4">
      <c r="A26" s="12">
        <v>24</v>
      </c>
      <c r="B26" t="s">
        <v>80</v>
      </c>
      <c r="C26" t="s">
        <v>81</v>
      </c>
      <c r="D26" t="s">
        <v>34</v>
      </c>
      <c r="E26" s="6">
        <v>26456</v>
      </c>
      <c r="F26">
        <f t="shared" ca="1" si="0"/>
        <v>48</v>
      </c>
      <c r="G26" t="s">
        <v>30</v>
      </c>
    </row>
    <row r="27" spans="1:7" x14ac:dyDescent="0.4">
      <c r="A27" s="12">
        <v>25</v>
      </c>
      <c r="B27" t="s">
        <v>82</v>
      </c>
      <c r="C27" t="s">
        <v>83</v>
      </c>
      <c r="D27" t="s">
        <v>29</v>
      </c>
      <c r="E27" s="6">
        <v>26767</v>
      </c>
      <c r="F27">
        <f t="shared" ca="1" si="0"/>
        <v>47</v>
      </c>
      <c r="G27" t="s">
        <v>48</v>
      </c>
    </row>
    <row r="28" spans="1:7" x14ac:dyDescent="0.4">
      <c r="A28" s="12">
        <v>26</v>
      </c>
      <c r="B28" t="s">
        <v>82</v>
      </c>
      <c r="C28" t="s">
        <v>84</v>
      </c>
      <c r="D28" t="s">
        <v>29</v>
      </c>
      <c r="E28" s="6">
        <v>18942</v>
      </c>
      <c r="F28">
        <f t="shared" ca="1" si="0"/>
        <v>69</v>
      </c>
      <c r="G28" t="s">
        <v>39</v>
      </c>
    </row>
    <row r="29" spans="1:7" x14ac:dyDescent="0.4">
      <c r="A29" s="12">
        <v>27</v>
      </c>
      <c r="B29" t="s">
        <v>85</v>
      </c>
      <c r="C29" t="s">
        <v>86</v>
      </c>
      <c r="D29" t="s">
        <v>29</v>
      </c>
      <c r="E29" s="6">
        <v>16604</v>
      </c>
      <c r="F29">
        <f t="shared" ca="1" si="0"/>
        <v>75</v>
      </c>
      <c r="G29" t="s">
        <v>30</v>
      </c>
    </row>
    <row r="30" spans="1:7" x14ac:dyDescent="0.4">
      <c r="A30" s="12">
        <v>28</v>
      </c>
      <c r="B30" t="s">
        <v>87</v>
      </c>
      <c r="C30" t="s">
        <v>88</v>
      </c>
      <c r="D30" t="s">
        <v>29</v>
      </c>
      <c r="E30" s="6">
        <v>22951</v>
      </c>
      <c r="F30">
        <f t="shared" ca="1" si="0"/>
        <v>58</v>
      </c>
      <c r="G30" t="s">
        <v>30</v>
      </c>
    </row>
    <row r="31" spans="1:7" x14ac:dyDescent="0.4">
      <c r="A31" s="12">
        <v>29</v>
      </c>
      <c r="B31" t="s">
        <v>89</v>
      </c>
      <c r="C31" t="s">
        <v>90</v>
      </c>
      <c r="D31" t="s">
        <v>29</v>
      </c>
      <c r="E31" s="6">
        <v>27771</v>
      </c>
      <c r="F31">
        <f t="shared" ca="1" si="0"/>
        <v>44</v>
      </c>
      <c r="G31" t="s">
        <v>30</v>
      </c>
    </row>
    <row r="32" spans="1:7" x14ac:dyDescent="0.4">
      <c r="A32" s="12">
        <v>30</v>
      </c>
      <c r="B32" t="s">
        <v>91</v>
      </c>
      <c r="C32" t="s">
        <v>92</v>
      </c>
      <c r="D32" t="s">
        <v>29</v>
      </c>
      <c r="E32" s="6">
        <v>23356</v>
      </c>
      <c r="F32">
        <f t="shared" ca="1" si="0"/>
        <v>57</v>
      </c>
      <c r="G32" t="s">
        <v>30</v>
      </c>
    </row>
    <row r="33" spans="1:7" x14ac:dyDescent="0.4">
      <c r="A33" s="12">
        <v>31</v>
      </c>
      <c r="B33" t="s">
        <v>93</v>
      </c>
      <c r="C33" t="s">
        <v>94</v>
      </c>
      <c r="D33" t="s">
        <v>34</v>
      </c>
      <c r="E33" s="6">
        <v>23917</v>
      </c>
      <c r="F33">
        <f t="shared" ca="1" si="0"/>
        <v>55</v>
      </c>
      <c r="G33" t="s">
        <v>39</v>
      </c>
    </row>
    <row r="34" spans="1:7" x14ac:dyDescent="0.4">
      <c r="A34" s="12">
        <v>32</v>
      </c>
      <c r="B34" t="s">
        <v>95</v>
      </c>
      <c r="C34" t="s">
        <v>96</v>
      </c>
      <c r="D34" t="s">
        <v>29</v>
      </c>
      <c r="E34" s="6">
        <v>14759</v>
      </c>
      <c r="F34">
        <f t="shared" ca="1" si="0"/>
        <v>80</v>
      </c>
      <c r="G34" t="s">
        <v>30</v>
      </c>
    </row>
    <row r="35" spans="1:7" x14ac:dyDescent="0.4">
      <c r="A35" s="12">
        <v>33</v>
      </c>
      <c r="B35" t="s">
        <v>97</v>
      </c>
      <c r="C35" t="s">
        <v>98</v>
      </c>
      <c r="D35" t="s">
        <v>34</v>
      </c>
      <c r="E35" s="6">
        <v>22329</v>
      </c>
      <c r="F35">
        <f t="shared" ca="1" si="0"/>
        <v>59</v>
      </c>
      <c r="G35" t="s">
        <v>30</v>
      </c>
    </row>
    <row r="36" spans="1:7" x14ac:dyDescent="0.4">
      <c r="A36" s="12">
        <v>34</v>
      </c>
      <c r="B36" t="s">
        <v>99</v>
      </c>
      <c r="C36" t="s">
        <v>100</v>
      </c>
      <c r="D36" t="s">
        <v>29</v>
      </c>
      <c r="E36" s="6">
        <v>26047</v>
      </c>
      <c r="F36">
        <f t="shared" ca="1" si="0"/>
        <v>49</v>
      </c>
      <c r="G36" t="s">
        <v>30</v>
      </c>
    </row>
    <row r="37" spans="1:7" x14ac:dyDescent="0.4">
      <c r="A37" s="12">
        <v>35</v>
      </c>
      <c r="B37" t="s">
        <v>99</v>
      </c>
      <c r="C37" t="s">
        <v>101</v>
      </c>
      <c r="D37" t="s">
        <v>34</v>
      </c>
      <c r="E37" s="6">
        <v>27167</v>
      </c>
      <c r="F37">
        <f t="shared" ca="1" si="0"/>
        <v>46</v>
      </c>
      <c r="G37" t="s">
        <v>30</v>
      </c>
    </row>
    <row r="38" spans="1:7" x14ac:dyDescent="0.4">
      <c r="A38" s="12">
        <v>36</v>
      </c>
      <c r="B38" t="s">
        <v>102</v>
      </c>
      <c r="C38" t="s">
        <v>103</v>
      </c>
      <c r="D38" t="s">
        <v>29</v>
      </c>
      <c r="E38" s="6">
        <v>22219</v>
      </c>
      <c r="F38">
        <f t="shared" ca="1" si="0"/>
        <v>60</v>
      </c>
      <c r="G38" t="s">
        <v>39</v>
      </c>
    </row>
    <row r="39" spans="1:7" x14ac:dyDescent="0.4">
      <c r="A39" s="12">
        <v>37</v>
      </c>
      <c r="B39" t="s">
        <v>104</v>
      </c>
      <c r="C39" t="s">
        <v>105</v>
      </c>
      <c r="D39" t="s">
        <v>34</v>
      </c>
      <c r="E39" s="6">
        <v>22379</v>
      </c>
      <c r="F39">
        <f t="shared" ca="1" si="0"/>
        <v>59</v>
      </c>
      <c r="G39" t="s">
        <v>30</v>
      </c>
    </row>
    <row r="40" spans="1:7" x14ac:dyDescent="0.4">
      <c r="A40" s="12">
        <v>38</v>
      </c>
      <c r="B40" t="s">
        <v>106</v>
      </c>
      <c r="C40" t="s">
        <v>107</v>
      </c>
      <c r="D40" t="s">
        <v>29</v>
      </c>
      <c r="E40" s="6">
        <v>28501</v>
      </c>
      <c r="F40">
        <f t="shared" ca="1" si="0"/>
        <v>42</v>
      </c>
      <c r="G40" t="s">
        <v>30</v>
      </c>
    </row>
    <row r="41" spans="1:7" x14ac:dyDescent="0.4">
      <c r="A41" s="12">
        <v>39</v>
      </c>
      <c r="B41" t="s">
        <v>108</v>
      </c>
      <c r="C41" t="s">
        <v>109</v>
      </c>
      <c r="D41" t="s">
        <v>29</v>
      </c>
      <c r="E41" s="6">
        <v>22307</v>
      </c>
      <c r="F41">
        <f t="shared" ca="1" si="0"/>
        <v>59</v>
      </c>
      <c r="G41" t="s">
        <v>30</v>
      </c>
    </row>
    <row r="42" spans="1:7" x14ac:dyDescent="0.4">
      <c r="A42" s="12">
        <v>40</v>
      </c>
      <c r="B42" t="s">
        <v>110</v>
      </c>
      <c r="C42" t="s">
        <v>111</v>
      </c>
      <c r="D42" t="s">
        <v>34</v>
      </c>
      <c r="E42" s="6">
        <v>24204</v>
      </c>
      <c r="F42">
        <f t="shared" ca="1" si="0"/>
        <v>54</v>
      </c>
      <c r="G42" t="s">
        <v>35</v>
      </c>
    </row>
    <row r="43" spans="1:7" x14ac:dyDescent="0.4">
      <c r="A43" s="12">
        <v>41</v>
      </c>
      <c r="B43" t="s">
        <v>112</v>
      </c>
      <c r="C43" t="s">
        <v>113</v>
      </c>
      <c r="D43" t="s">
        <v>29</v>
      </c>
      <c r="E43" s="6">
        <v>22943</v>
      </c>
      <c r="F43">
        <f t="shared" ca="1" si="0"/>
        <v>58</v>
      </c>
      <c r="G43" t="s">
        <v>30</v>
      </c>
    </row>
    <row r="44" spans="1:7" x14ac:dyDescent="0.4">
      <c r="A44" s="12">
        <v>42</v>
      </c>
      <c r="B44" t="s">
        <v>114</v>
      </c>
      <c r="C44" t="s">
        <v>115</v>
      </c>
      <c r="D44" t="s">
        <v>29</v>
      </c>
      <c r="E44" s="6">
        <v>22297</v>
      </c>
      <c r="F44">
        <f t="shared" ca="1" si="0"/>
        <v>59</v>
      </c>
      <c r="G44" t="s">
        <v>30</v>
      </c>
    </row>
    <row r="45" spans="1:7" x14ac:dyDescent="0.4">
      <c r="A45" s="12">
        <v>43</v>
      </c>
      <c r="B45" t="s">
        <v>116</v>
      </c>
      <c r="C45" t="s">
        <v>117</v>
      </c>
      <c r="D45" t="s">
        <v>29</v>
      </c>
      <c r="E45" s="6">
        <v>19253</v>
      </c>
      <c r="F45">
        <f t="shared" ca="1" si="0"/>
        <v>68</v>
      </c>
      <c r="G45" t="s">
        <v>30</v>
      </c>
    </row>
    <row r="46" spans="1:7" x14ac:dyDescent="0.4">
      <c r="A46" s="12">
        <v>44</v>
      </c>
      <c r="B46" t="s">
        <v>118</v>
      </c>
      <c r="C46" t="s">
        <v>119</v>
      </c>
      <c r="D46" t="s">
        <v>34</v>
      </c>
      <c r="E46" s="6">
        <v>23599</v>
      </c>
      <c r="F46">
        <f t="shared" ca="1" si="0"/>
        <v>56</v>
      </c>
      <c r="G46" t="s">
        <v>30</v>
      </c>
    </row>
    <row r="47" spans="1:7" x14ac:dyDescent="0.4">
      <c r="A47" s="12">
        <v>45</v>
      </c>
      <c r="B47" t="s">
        <v>120</v>
      </c>
      <c r="C47" t="s">
        <v>121</v>
      </c>
      <c r="D47" t="s">
        <v>29</v>
      </c>
      <c r="E47" s="6">
        <v>19633</v>
      </c>
      <c r="F47">
        <f t="shared" ca="1" si="0"/>
        <v>67</v>
      </c>
      <c r="G47" t="s">
        <v>39</v>
      </c>
    </row>
    <row r="48" spans="1:7" x14ac:dyDescent="0.4">
      <c r="A48" s="12">
        <v>46</v>
      </c>
      <c r="B48" t="s">
        <v>120</v>
      </c>
      <c r="C48" t="s">
        <v>122</v>
      </c>
      <c r="D48" t="s">
        <v>34</v>
      </c>
      <c r="E48" s="6">
        <v>27901</v>
      </c>
      <c r="F48">
        <f t="shared" ca="1" si="0"/>
        <v>44</v>
      </c>
      <c r="G48" t="s">
        <v>35</v>
      </c>
    </row>
    <row r="49" spans="1:7" x14ac:dyDescent="0.4">
      <c r="A49" s="12">
        <v>47</v>
      </c>
      <c r="B49" t="s">
        <v>123</v>
      </c>
      <c r="C49" t="s">
        <v>124</v>
      </c>
      <c r="D49" t="s">
        <v>34</v>
      </c>
      <c r="E49" s="6">
        <v>26439</v>
      </c>
      <c r="F49">
        <f t="shared" ca="1" si="0"/>
        <v>48</v>
      </c>
      <c r="G49" t="s">
        <v>35</v>
      </c>
    </row>
    <row r="50" spans="1:7" x14ac:dyDescent="0.4">
      <c r="A50" s="12">
        <v>48</v>
      </c>
      <c r="B50" t="s">
        <v>125</v>
      </c>
      <c r="C50" t="s">
        <v>126</v>
      </c>
      <c r="D50" t="s">
        <v>29</v>
      </c>
      <c r="E50" s="6">
        <v>26288</v>
      </c>
      <c r="F50">
        <f t="shared" ca="1" si="0"/>
        <v>48</v>
      </c>
      <c r="G50" t="s">
        <v>30</v>
      </c>
    </row>
    <row r="51" spans="1:7" x14ac:dyDescent="0.4">
      <c r="A51" s="12">
        <v>49</v>
      </c>
      <c r="B51" t="s">
        <v>127</v>
      </c>
      <c r="C51" t="s">
        <v>128</v>
      </c>
      <c r="D51" t="s">
        <v>34</v>
      </c>
      <c r="E51" s="6">
        <v>26092</v>
      </c>
      <c r="F51">
        <f t="shared" ca="1" si="0"/>
        <v>49</v>
      </c>
      <c r="G51" t="s">
        <v>30</v>
      </c>
    </row>
    <row r="52" spans="1:7" x14ac:dyDescent="0.4">
      <c r="A52" s="12">
        <v>50</v>
      </c>
      <c r="B52" t="s">
        <v>129</v>
      </c>
      <c r="C52" t="s">
        <v>130</v>
      </c>
      <c r="D52" t="s">
        <v>29</v>
      </c>
      <c r="E52" s="6">
        <v>19545</v>
      </c>
      <c r="F52">
        <f t="shared" ca="1" si="0"/>
        <v>67</v>
      </c>
      <c r="G52" t="s">
        <v>30</v>
      </c>
    </row>
    <row r="53" spans="1:7" x14ac:dyDescent="0.4">
      <c r="A53" s="12">
        <v>51</v>
      </c>
      <c r="B53" t="s">
        <v>131</v>
      </c>
      <c r="C53" t="s">
        <v>132</v>
      </c>
      <c r="D53" t="s">
        <v>29</v>
      </c>
      <c r="E53" s="6">
        <v>16774</v>
      </c>
      <c r="F53">
        <f t="shared" ca="1" si="0"/>
        <v>75</v>
      </c>
      <c r="G53" t="s">
        <v>30</v>
      </c>
    </row>
    <row r="54" spans="1:7" x14ac:dyDescent="0.4">
      <c r="A54" s="12">
        <v>52</v>
      </c>
      <c r="B54" t="s">
        <v>133</v>
      </c>
      <c r="C54" t="s">
        <v>134</v>
      </c>
      <c r="D54" t="s">
        <v>29</v>
      </c>
      <c r="E54" s="6">
        <v>15558</v>
      </c>
      <c r="F54">
        <f t="shared" ca="1" si="0"/>
        <v>78</v>
      </c>
      <c r="G54" t="s">
        <v>30</v>
      </c>
    </row>
    <row r="55" spans="1:7" x14ac:dyDescent="0.4">
      <c r="A55" s="12">
        <v>53</v>
      </c>
      <c r="B55" t="s">
        <v>133</v>
      </c>
      <c r="C55" t="s">
        <v>135</v>
      </c>
      <c r="D55" t="s">
        <v>34</v>
      </c>
      <c r="E55" s="6">
        <v>26151</v>
      </c>
      <c r="F55">
        <f t="shared" ca="1" si="0"/>
        <v>49</v>
      </c>
      <c r="G55" t="s">
        <v>35</v>
      </c>
    </row>
    <row r="56" spans="1:7" x14ac:dyDescent="0.4">
      <c r="A56" s="12">
        <v>54</v>
      </c>
      <c r="B56" t="s">
        <v>136</v>
      </c>
      <c r="C56" t="s">
        <v>137</v>
      </c>
      <c r="D56" t="s">
        <v>29</v>
      </c>
      <c r="E56" s="6">
        <v>25526</v>
      </c>
      <c r="F56">
        <f t="shared" ca="1" si="0"/>
        <v>51</v>
      </c>
      <c r="G56" t="s">
        <v>35</v>
      </c>
    </row>
    <row r="57" spans="1:7" x14ac:dyDescent="0.4">
      <c r="A57" s="12">
        <v>55</v>
      </c>
      <c r="B57" t="s">
        <v>121</v>
      </c>
      <c r="C57" t="s">
        <v>138</v>
      </c>
      <c r="D57" t="s">
        <v>29</v>
      </c>
      <c r="E57" s="6">
        <v>25892</v>
      </c>
      <c r="F57">
        <f t="shared" ca="1" si="0"/>
        <v>50</v>
      </c>
      <c r="G57" t="s">
        <v>30</v>
      </c>
    </row>
    <row r="58" spans="1:7" x14ac:dyDescent="0.4">
      <c r="A58" s="12">
        <v>56</v>
      </c>
      <c r="B58" t="s">
        <v>139</v>
      </c>
      <c r="C58" t="s">
        <v>140</v>
      </c>
      <c r="D58" t="s">
        <v>29</v>
      </c>
      <c r="E58" s="6">
        <v>15263</v>
      </c>
      <c r="F58">
        <f t="shared" ca="1" si="0"/>
        <v>79</v>
      </c>
      <c r="G58" t="s">
        <v>30</v>
      </c>
    </row>
    <row r="59" spans="1:7" x14ac:dyDescent="0.4">
      <c r="A59" s="12">
        <v>57</v>
      </c>
      <c r="B59" t="s">
        <v>141</v>
      </c>
      <c r="C59" t="s">
        <v>142</v>
      </c>
      <c r="D59" t="s">
        <v>29</v>
      </c>
      <c r="E59" s="6">
        <v>17056</v>
      </c>
      <c r="F59">
        <f t="shared" ca="1" si="0"/>
        <v>74</v>
      </c>
      <c r="G59" t="s">
        <v>48</v>
      </c>
    </row>
    <row r="60" spans="1:7" x14ac:dyDescent="0.4">
      <c r="A60" s="12">
        <v>58</v>
      </c>
      <c r="B60" t="s">
        <v>143</v>
      </c>
      <c r="C60" t="s">
        <v>144</v>
      </c>
      <c r="D60" t="s">
        <v>34</v>
      </c>
      <c r="E60" s="6">
        <v>15239</v>
      </c>
      <c r="F60">
        <f t="shared" ca="1" si="0"/>
        <v>79</v>
      </c>
      <c r="G60" t="s">
        <v>30</v>
      </c>
    </row>
    <row r="61" spans="1:7" x14ac:dyDescent="0.4">
      <c r="A61" s="12">
        <v>59</v>
      </c>
      <c r="B61" t="s">
        <v>145</v>
      </c>
      <c r="C61" t="s">
        <v>52</v>
      </c>
      <c r="D61" t="s">
        <v>29</v>
      </c>
      <c r="E61" s="6">
        <v>17718</v>
      </c>
      <c r="F61">
        <f t="shared" ca="1" si="0"/>
        <v>72</v>
      </c>
      <c r="G61" t="s">
        <v>39</v>
      </c>
    </row>
    <row r="62" spans="1:7" x14ac:dyDescent="0.4">
      <c r="A62" s="12">
        <v>60</v>
      </c>
      <c r="B62" t="s">
        <v>146</v>
      </c>
      <c r="C62" t="s">
        <v>147</v>
      </c>
      <c r="D62" t="s">
        <v>34</v>
      </c>
      <c r="E62" s="6">
        <v>16649</v>
      </c>
      <c r="F62">
        <f t="shared" ca="1" si="0"/>
        <v>75</v>
      </c>
      <c r="G62" t="s">
        <v>35</v>
      </c>
    </row>
    <row r="63" spans="1:7" x14ac:dyDescent="0.4">
      <c r="A63" s="12">
        <v>61</v>
      </c>
      <c r="B63" t="s">
        <v>148</v>
      </c>
      <c r="C63" t="s">
        <v>149</v>
      </c>
      <c r="D63" t="s">
        <v>29</v>
      </c>
      <c r="E63" s="6">
        <v>22326</v>
      </c>
      <c r="F63">
        <f t="shared" ca="1" si="0"/>
        <v>59</v>
      </c>
      <c r="G63" t="s">
        <v>30</v>
      </c>
    </row>
    <row r="64" spans="1:7" x14ac:dyDescent="0.4">
      <c r="A64" s="12">
        <v>62</v>
      </c>
      <c r="B64" t="s">
        <v>150</v>
      </c>
      <c r="C64" t="s">
        <v>151</v>
      </c>
      <c r="D64" t="s">
        <v>29</v>
      </c>
      <c r="E64" s="6">
        <v>22192</v>
      </c>
      <c r="F64">
        <f t="shared" ca="1" si="0"/>
        <v>60</v>
      </c>
      <c r="G64" t="s">
        <v>30</v>
      </c>
    </row>
    <row r="65" spans="1:7" x14ac:dyDescent="0.4">
      <c r="A65" s="12">
        <v>63</v>
      </c>
      <c r="B65" t="s">
        <v>152</v>
      </c>
      <c r="C65" t="s">
        <v>153</v>
      </c>
      <c r="D65" t="s">
        <v>29</v>
      </c>
      <c r="E65" s="6">
        <v>23707</v>
      </c>
      <c r="F65">
        <f t="shared" ca="1" si="0"/>
        <v>56</v>
      </c>
      <c r="G65" t="s">
        <v>39</v>
      </c>
    </row>
    <row r="66" spans="1:7" x14ac:dyDescent="0.4">
      <c r="A66" s="12">
        <v>64</v>
      </c>
      <c r="B66" t="s">
        <v>152</v>
      </c>
      <c r="C66" t="s">
        <v>154</v>
      </c>
      <c r="D66" t="s">
        <v>34</v>
      </c>
      <c r="E66" s="6">
        <v>24569</v>
      </c>
      <c r="F66">
        <f t="shared" ca="1" si="0"/>
        <v>53</v>
      </c>
      <c r="G66" t="s">
        <v>30</v>
      </c>
    </row>
    <row r="67" spans="1:7" x14ac:dyDescent="0.4">
      <c r="A67" s="12">
        <v>65</v>
      </c>
      <c r="B67" t="s">
        <v>155</v>
      </c>
      <c r="C67" t="s">
        <v>156</v>
      </c>
      <c r="D67" t="s">
        <v>34</v>
      </c>
      <c r="E67" s="6">
        <v>21102</v>
      </c>
      <c r="F67">
        <f t="shared" ref="F67:F101" ca="1" si="1">INT((TODAY()-E67)/365)</f>
        <v>63</v>
      </c>
      <c r="G67" t="s">
        <v>39</v>
      </c>
    </row>
    <row r="68" spans="1:7" x14ac:dyDescent="0.4">
      <c r="A68" s="12">
        <v>66</v>
      </c>
      <c r="B68" t="s">
        <v>157</v>
      </c>
      <c r="C68" t="s">
        <v>158</v>
      </c>
      <c r="D68" t="s">
        <v>34</v>
      </c>
      <c r="E68" s="6">
        <v>21699</v>
      </c>
      <c r="F68">
        <f t="shared" ca="1" si="1"/>
        <v>61</v>
      </c>
      <c r="G68" t="s">
        <v>35</v>
      </c>
    </row>
    <row r="69" spans="1:7" x14ac:dyDescent="0.4">
      <c r="A69" s="12">
        <v>67</v>
      </c>
      <c r="B69" t="s">
        <v>159</v>
      </c>
      <c r="C69" t="s">
        <v>160</v>
      </c>
      <c r="D69" t="s">
        <v>29</v>
      </c>
      <c r="E69" s="6">
        <v>23020</v>
      </c>
      <c r="F69">
        <f t="shared" ca="1" si="1"/>
        <v>57</v>
      </c>
      <c r="G69" t="s">
        <v>30</v>
      </c>
    </row>
    <row r="70" spans="1:7" x14ac:dyDescent="0.4">
      <c r="A70" s="12">
        <v>68</v>
      </c>
      <c r="B70" t="s">
        <v>161</v>
      </c>
      <c r="C70" t="s">
        <v>66</v>
      </c>
      <c r="D70" t="s">
        <v>29</v>
      </c>
      <c r="E70" s="6">
        <v>20354</v>
      </c>
      <c r="F70">
        <f t="shared" ca="1" si="1"/>
        <v>65</v>
      </c>
      <c r="G70" t="s">
        <v>39</v>
      </c>
    </row>
    <row r="71" spans="1:7" x14ac:dyDescent="0.4">
      <c r="A71" s="12">
        <v>69</v>
      </c>
      <c r="B71" t="s">
        <v>162</v>
      </c>
      <c r="C71" t="s">
        <v>163</v>
      </c>
      <c r="D71" t="s">
        <v>29</v>
      </c>
      <c r="E71" s="6">
        <v>21905</v>
      </c>
      <c r="F71">
        <f t="shared" ca="1" si="1"/>
        <v>60</v>
      </c>
      <c r="G71" t="s">
        <v>35</v>
      </c>
    </row>
    <row r="72" spans="1:7" x14ac:dyDescent="0.4">
      <c r="A72" s="12">
        <v>70</v>
      </c>
      <c r="B72" t="s">
        <v>164</v>
      </c>
      <c r="C72" t="s">
        <v>165</v>
      </c>
      <c r="D72" t="s">
        <v>29</v>
      </c>
      <c r="E72" s="6">
        <v>15089</v>
      </c>
      <c r="F72">
        <f t="shared" ca="1" si="1"/>
        <v>79</v>
      </c>
      <c r="G72" t="s">
        <v>30</v>
      </c>
    </row>
    <row r="73" spans="1:7" x14ac:dyDescent="0.4">
      <c r="A73" s="12">
        <v>71</v>
      </c>
      <c r="B73" t="s">
        <v>166</v>
      </c>
      <c r="C73" t="s">
        <v>167</v>
      </c>
      <c r="D73" t="s">
        <v>29</v>
      </c>
      <c r="E73" s="6">
        <v>20598</v>
      </c>
      <c r="F73">
        <f t="shared" ca="1" si="1"/>
        <v>64</v>
      </c>
      <c r="G73" t="s">
        <v>30</v>
      </c>
    </row>
    <row r="74" spans="1:7" x14ac:dyDescent="0.4">
      <c r="A74" s="12">
        <v>72</v>
      </c>
      <c r="B74" t="s">
        <v>168</v>
      </c>
      <c r="C74" t="s">
        <v>169</v>
      </c>
      <c r="D74" t="s">
        <v>29</v>
      </c>
      <c r="E74" s="6">
        <v>27014</v>
      </c>
      <c r="F74">
        <f t="shared" ca="1" si="1"/>
        <v>46</v>
      </c>
      <c r="G74" t="s">
        <v>30</v>
      </c>
    </row>
    <row r="75" spans="1:7" x14ac:dyDescent="0.4">
      <c r="A75" s="12">
        <v>73</v>
      </c>
      <c r="B75" t="s">
        <v>168</v>
      </c>
      <c r="C75" t="s">
        <v>170</v>
      </c>
      <c r="D75" t="s">
        <v>34</v>
      </c>
      <c r="E75" s="6">
        <v>16163</v>
      </c>
      <c r="F75">
        <f t="shared" ca="1" si="1"/>
        <v>76</v>
      </c>
      <c r="G75" t="s">
        <v>35</v>
      </c>
    </row>
    <row r="76" spans="1:7" x14ac:dyDescent="0.4">
      <c r="A76" s="12">
        <v>74</v>
      </c>
      <c r="B76" t="s">
        <v>171</v>
      </c>
      <c r="C76" t="s">
        <v>172</v>
      </c>
      <c r="D76" t="s">
        <v>29</v>
      </c>
      <c r="E76" s="6">
        <v>26239</v>
      </c>
      <c r="F76">
        <f t="shared" ca="1" si="1"/>
        <v>49</v>
      </c>
      <c r="G76" t="s">
        <v>30</v>
      </c>
    </row>
    <row r="77" spans="1:7" x14ac:dyDescent="0.4">
      <c r="A77" s="12">
        <v>75</v>
      </c>
      <c r="B77" t="s">
        <v>173</v>
      </c>
      <c r="C77" t="s">
        <v>174</v>
      </c>
      <c r="D77" t="s">
        <v>29</v>
      </c>
      <c r="E77" s="6">
        <v>27178</v>
      </c>
      <c r="F77">
        <f t="shared" ca="1" si="1"/>
        <v>46</v>
      </c>
      <c r="G77" t="s">
        <v>30</v>
      </c>
    </row>
    <row r="78" spans="1:7" x14ac:dyDescent="0.4">
      <c r="A78" s="12">
        <v>76</v>
      </c>
      <c r="B78" t="s">
        <v>175</v>
      </c>
      <c r="C78" t="s">
        <v>176</v>
      </c>
      <c r="D78" t="s">
        <v>29</v>
      </c>
      <c r="E78" s="6">
        <v>24510</v>
      </c>
      <c r="F78">
        <f t="shared" ca="1" si="1"/>
        <v>53</v>
      </c>
      <c r="G78" t="s">
        <v>30</v>
      </c>
    </row>
    <row r="79" spans="1:7" x14ac:dyDescent="0.4">
      <c r="A79" s="12">
        <v>77</v>
      </c>
      <c r="B79" t="s">
        <v>177</v>
      </c>
      <c r="C79" t="s">
        <v>178</v>
      </c>
      <c r="D79" t="s">
        <v>29</v>
      </c>
      <c r="E79" s="6">
        <v>20353</v>
      </c>
      <c r="F79">
        <f t="shared" ca="1" si="1"/>
        <v>65</v>
      </c>
      <c r="G79" t="s">
        <v>30</v>
      </c>
    </row>
    <row r="80" spans="1:7" x14ac:dyDescent="0.4">
      <c r="A80" s="12">
        <v>78</v>
      </c>
      <c r="B80" t="s">
        <v>179</v>
      </c>
      <c r="C80" t="s">
        <v>180</v>
      </c>
      <c r="D80" t="s">
        <v>29</v>
      </c>
      <c r="E80" s="6">
        <v>24340</v>
      </c>
      <c r="F80">
        <f t="shared" ca="1" si="1"/>
        <v>54</v>
      </c>
      <c r="G80" t="s">
        <v>35</v>
      </c>
    </row>
    <row r="81" spans="1:7" x14ac:dyDescent="0.4">
      <c r="A81" s="12">
        <v>79</v>
      </c>
      <c r="B81" t="s">
        <v>181</v>
      </c>
      <c r="C81" t="s">
        <v>182</v>
      </c>
      <c r="D81" t="s">
        <v>29</v>
      </c>
      <c r="E81" s="6">
        <v>16593</v>
      </c>
      <c r="F81">
        <f t="shared" ca="1" si="1"/>
        <v>75</v>
      </c>
      <c r="G81" t="s">
        <v>35</v>
      </c>
    </row>
    <row r="82" spans="1:7" x14ac:dyDescent="0.4">
      <c r="A82" s="12">
        <v>80</v>
      </c>
      <c r="B82" t="s">
        <v>183</v>
      </c>
      <c r="C82" t="s">
        <v>184</v>
      </c>
      <c r="D82" t="s">
        <v>29</v>
      </c>
      <c r="E82" s="6">
        <v>24780</v>
      </c>
      <c r="F82">
        <f t="shared" ca="1" si="1"/>
        <v>53</v>
      </c>
      <c r="G82" t="s">
        <v>30</v>
      </c>
    </row>
    <row r="83" spans="1:7" x14ac:dyDescent="0.4">
      <c r="A83" s="12">
        <v>81</v>
      </c>
      <c r="B83" t="s">
        <v>185</v>
      </c>
      <c r="C83" t="s">
        <v>186</v>
      </c>
      <c r="D83" t="s">
        <v>34</v>
      </c>
      <c r="E83" s="6">
        <v>24116</v>
      </c>
      <c r="F83">
        <f t="shared" ca="1" si="1"/>
        <v>54</v>
      </c>
      <c r="G83" t="s">
        <v>35</v>
      </c>
    </row>
    <row r="84" spans="1:7" x14ac:dyDescent="0.4">
      <c r="A84" s="12">
        <v>82</v>
      </c>
      <c r="B84" t="s">
        <v>187</v>
      </c>
      <c r="C84" t="s">
        <v>188</v>
      </c>
      <c r="D84" t="s">
        <v>29</v>
      </c>
      <c r="E84" s="6">
        <v>21362</v>
      </c>
      <c r="F84">
        <f t="shared" ca="1" si="1"/>
        <v>62</v>
      </c>
      <c r="G84" t="s">
        <v>39</v>
      </c>
    </row>
    <row r="85" spans="1:7" x14ac:dyDescent="0.4">
      <c r="A85" s="12">
        <v>83</v>
      </c>
      <c r="B85" t="s">
        <v>189</v>
      </c>
      <c r="C85" t="s">
        <v>190</v>
      </c>
      <c r="D85" t="s">
        <v>34</v>
      </c>
      <c r="E85" s="6">
        <v>26497</v>
      </c>
      <c r="F85">
        <f t="shared" ca="1" si="1"/>
        <v>48</v>
      </c>
      <c r="G85" t="s">
        <v>35</v>
      </c>
    </row>
    <row r="86" spans="1:7" x14ac:dyDescent="0.4">
      <c r="A86" s="12">
        <v>84</v>
      </c>
      <c r="B86" t="s">
        <v>191</v>
      </c>
      <c r="C86" t="s">
        <v>192</v>
      </c>
      <c r="D86" t="s">
        <v>29</v>
      </c>
      <c r="E86" s="6">
        <v>24269</v>
      </c>
      <c r="F86">
        <f t="shared" ca="1" si="1"/>
        <v>54</v>
      </c>
      <c r="G86" t="s">
        <v>48</v>
      </c>
    </row>
    <row r="87" spans="1:7" x14ac:dyDescent="0.4">
      <c r="A87" s="12">
        <v>85</v>
      </c>
      <c r="B87" t="s">
        <v>193</v>
      </c>
      <c r="C87" t="s">
        <v>194</v>
      </c>
      <c r="D87" t="s">
        <v>29</v>
      </c>
      <c r="E87" s="6">
        <v>25329</v>
      </c>
      <c r="F87">
        <f t="shared" ca="1" si="1"/>
        <v>51</v>
      </c>
      <c r="G87" t="s">
        <v>30</v>
      </c>
    </row>
    <row r="88" spans="1:7" x14ac:dyDescent="0.4">
      <c r="A88" s="12">
        <v>86</v>
      </c>
      <c r="B88" t="s">
        <v>195</v>
      </c>
      <c r="C88" t="s">
        <v>196</v>
      </c>
      <c r="D88" t="s">
        <v>34</v>
      </c>
      <c r="E88" s="6">
        <v>23234</v>
      </c>
      <c r="F88">
        <f t="shared" ca="1" si="1"/>
        <v>57</v>
      </c>
      <c r="G88" t="s">
        <v>35</v>
      </c>
    </row>
    <row r="89" spans="1:7" x14ac:dyDescent="0.4">
      <c r="A89" s="12">
        <v>87</v>
      </c>
      <c r="B89" t="s">
        <v>197</v>
      </c>
      <c r="C89" t="s">
        <v>198</v>
      </c>
      <c r="D89" t="s">
        <v>29</v>
      </c>
      <c r="E89" s="6">
        <v>15350</v>
      </c>
      <c r="F89">
        <f t="shared" ca="1" si="1"/>
        <v>78</v>
      </c>
      <c r="G89" t="s">
        <v>39</v>
      </c>
    </row>
    <row r="90" spans="1:7" x14ac:dyDescent="0.4">
      <c r="A90" s="12">
        <v>88</v>
      </c>
      <c r="B90" t="s">
        <v>199</v>
      </c>
      <c r="C90" t="s">
        <v>200</v>
      </c>
      <c r="D90" t="s">
        <v>34</v>
      </c>
      <c r="E90" s="6">
        <v>21801</v>
      </c>
      <c r="F90">
        <f t="shared" ca="1" si="1"/>
        <v>61</v>
      </c>
      <c r="G90" t="s">
        <v>39</v>
      </c>
    </row>
    <row r="91" spans="1:7" x14ac:dyDescent="0.4">
      <c r="A91" s="12">
        <v>89</v>
      </c>
      <c r="B91" t="s">
        <v>201</v>
      </c>
      <c r="C91" t="s">
        <v>202</v>
      </c>
      <c r="D91" t="s">
        <v>29</v>
      </c>
      <c r="E91" s="6">
        <v>15681</v>
      </c>
      <c r="F91">
        <f t="shared" ca="1" si="1"/>
        <v>78</v>
      </c>
      <c r="G91" t="s">
        <v>30</v>
      </c>
    </row>
    <row r="92" spans="1:7" x14ac:dyDescent="0.4">
      <c r="A92" s="12">
        <v>90</v>
      </c>
      <c r="B92" t="s">
        <v>203</v>
      </c>
      <c r="C92" t="s">
        <v>204</v>
      </c>
      <c r="D92" t="s">
        <v>34</v>
      </c>
      <c r="E92" s="6">
        <v>16443</v>
      </c>
      <c r="F92">
        <f t="shared" ca="1" si="1"/>
        <v>75</v>
      </c>
      <c r="G92" t="s">
        <v>30</v>
      </c>
    </row>
    <row r="93" spans="1:7" x14ac:dyDescent="0.4">
      <c r="A93" s="12">
        <v>91</v>
      </c>
      <c r="B93" t="s">
        <v>205</v>
      </c>
      <c r="C93" t="s">
        <v>206</v>
      </c>
      <c r="D93" t="s">
        <v>29</v>
      </c>
      <c r="E93" s="6">
        <v>16571</v>
      </c>
      <c r="F93">
        <f t="shared" ca="1" si="1"/>
        <v>75</v>
      </c>
      <c r="G93" t="s">
        <v>48</v>
      </c>
    </row>
    <row r="94" spans="1:7" x14ac:dyDescent="0.4">
      <c r="A94" s="12">
        <v>92</v>
      </c>
      <c r="B94" t="s">
        <v>207</v>
      </c>
      <c r="C94" t="s">
        <v>208</v>
      </c>
      <c r="D94" t="s">
        <v>34</v>
      </c>
      <c r="E94" s="6">
        <v>16799</v>
      </c>
      <c r="F94">
        <f t="shared" ca="1" si="1"/>
        <v>74</v>
      </c>
      <c r="G94" t="s">
        <v>30</v>
      </c>
    </row>
    <row r="95" spans="1:7" x14ac:dyDescent="0.4">
      <c r="A95" s="12">
        <v>93</v>
      </c>
      <c r="B95" t="s">
        <v>209</v>
      </c>
      <c r="C95" t="s">
        <v>210</v>
      </c>
      <c r="D95" t="s">
        <v>29</v>
      </c>
      <c r="E95" s="6">
        <v>26314</v>
      </c>
      <c r="F95">
        <f t="shared" ca="1" si="1"/>
        <v>48</v>
      </c>
      <c r="G95" t="s">
        <v>35</v>
      </c>
    </row>
    <row r="96" spans="1:7" x14ac:dyDescent="0.4">
      <c r="A96" s="12">
        <v>94</v>
      </c>
      <c r="B96" t="s">
        <v>211</v>
      </c>
      <c r="C96" t="s">
        <v>212</v>
      </c>
      <c r="D96" t="s">
        <v>29</v>
      </c>
      <c r="E96" s="6">
        <v>17089</v>
      </c>
      <c r="F96">
        <f t="shared" ca="1" si="1"/>
        <v>74</v>
      </c>
      <c r="G96" t="s">
        <v>30</v>
      </c>
    </row>
    <row r="97" spans="1:7" x14ac:dyDescent="0.4">
      <c r="A97" s="12">
        <v>95</v>
      </c>
      <c r="B97" t="s">
        <v>211</v>
      </c>
      <c r="C97" t="s">
        <v>213</v>
      </c>
      <c r="D97" t="s">
        <v>29</v>
      </c>
      <c r="E97" s="6">
        <v>21711</v>
      </c>
      <c r="F97">
        <f t="shared" ca="1" si="1"/>
        <v>61</v>
      </c>
      <c r="G97" t="s">
        <v>30</v>
      </c>
    </row>
    <row r="98" spans="1:7" x14ac:dyDescent="0.4">
      <c r="A98" s="12">
        <v>96</v>
      </c>
      <c r="B98" t="s">
        <v>214</v>
      </c>
      <c r="C98" t="s">
        <v>215</v>
      </c>
      <c r="D98" t="s">
        <v>29</v>
      </c>
      <c r="E98" s="6">
        <v>16225</v>
      </c>
      <c r="F98">
        <f t="shared" ca="1" si="1"/>
        <v>76</v>
      </c>
      <c r="G98" t="s">
        <v>30</v>
      </c>
    </row>
    <row r="99" spans="1:7" x14ac:dyDescent="0.4">
      <c r="A99" s="12">
        <v>97</v>
      </c>
      <c r="B99" t="s">
        <v>216</v>
      </c>
      <c r="C99" t="s">
        <v>217</v>
      </c>
      <c r="D99" t="s">
        <v>34</v>
      </c>
      <c r="E99" s="6">
        <v>18276</v>
      </c>
      <c r="F99">
        <f t="shared" ca="1" si="1"/>
        <v>70</v>
      </c>
      <c r="G99" t="s">
        <v>35</v>
      </c>
    </row>
    <row r="100" spans="1:7" x14ac:dyDescent="0.4">
      <c r="A100" s="12">
        <v>98</v>
      </c>
      <c r="B100" t="s">
        <v>218</v>
      </c>
      <c r="C100" t="s">
        <v>219</v>
      </c>
      <c r="D100" t="s">
        <v>29</v>
      </c>
      <c r="E100" s="6">
        <v>27390</v>
      </c>
      <c r="F100">
        <f t="shared" ca="1" si="1"/>
        <v>45</v>
      </c>
      <c r="G100" t="s">
        <v>35</v>
      </c>
    </row>
    <row r="101" spans="1:7" x14ac:dyDescent="0.4">
      <c r="A101" s="12">
        <v>99</v>
      </c>
      <c r="B101" t="s">
        <v>220</v>
      </c>
      <c r="C101" t="s">
        <v>221</v>
      </c>
      <c r="D101" t="s">
        <v>34</v>
      </c>
      <c r="E101" s="6">
        <v>15751</v>
      </c>
      <c r="F101">
        <f t="shared" ca="1" si="1"/>
        <v>77</v>
      </c>
      <c r="G101" t="s">
        <v>39</v>
      </c>
    </row>
  </sheetData>
  <mergeCells count="1">
    <mergeCell ref="J4:K4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Chyby</vt:lpstr>
      <vt:lpstr>ČÍSLA2</vt:lpstr>
      <vt:lpstr>Zaměstnanci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2020-11-26T20:01:03Z</dcterms:modified>
</cp:coreProperties>
</file>