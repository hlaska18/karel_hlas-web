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359" documentId="11_AD4D80C4656A4B0A437B18BF7A5C4E5A5BDEDD9E" xr6:coauthVersionLast="41" xr6:coauthVersionMax="41" xr10:uidLastSave="{F115B401-7AEB-40D5-A136-6608542252DB}"/>
  <bookViews>
    <workbookView xWindow="-20040" yWindow="4155" windowWidth="28770" windowHeight="15750" activeTab="2" xr2:uid="{00000000-000D-0000-FFFF-FFFF00000000}"/>
  </bookViews>
  <sheets>
    <sheet name="Spořící účet" sheetId="1" r:id="rId1"/>
    <sheet name="Spořící účet - cílová částka" sheetId="2" r:id="rId2"/>
    <sheet name="Splátk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1" i="3" l="1"/>
  <c r="B21" i="3"/>
  <c r="C20" i="3"/>
  <c r="B20" i="3"/>
  <c r="C19" i="3"/>
  <c r="B7" i="3"/>
  <c r="B9" i="3" s="1"/>
  <c r="B10" i="3" s="1"/>
  <c r="B13" i="3" s="1"/>
  <c r="B14" i="3" s="1"/>
  <c r="F7" i="3"/>
  <c r="F9" i="3" s="1"/>
  <c r="F10" i="3" s="1"/>
  <c r="F13" i="3"/>
  <c r="B11" i="3"/>
  <c r="B8" i="2"/>
  <c r="B9" i="2" s="1"/>
  <c r="B7" i="1"/>
  <c r="B5" i="2"/>
  <c r="B5" i="1"/>
  <c r="B19" i="3" l="1"/>
  <c r="F12" i="3"/>
  <c r="B8" i="1"/>
  <c r="B9" i="1" s="1"/>
</calcChain>
</file>

<file path=xl/sharedStrings.xml><?xml version="1.0" encoding="utf-8"?>
<sst xmlns="http://schemas.openxmlformats.org/spreadsheetml/2006/main" count="43" uniqueCount="28">
  <si>
    <t>Spořící účet</t>
  </si>
  <si>
    <t>Celkem naspořeno:</t>
  </si>
  <si>
    <t>Počet měsíců:</t>
  </si>
  <si>
    <t>Pravidelný vklad:</t>
  </si>
  <si>
    <t>Měsíční úrok:</t>
  </si>
  <si>
    <t>Roční úroková sazba:</t>
  </si>
  <si>
    <t>Počáteční kapitál:</t>
  </si>
  <si>
    <t>Cílová částka:</t>
  </si>
  <si>
    <t>Splátky</t>
  </si>
  <si>
    <t>Cena:</t>
  </si>
  <si>
    <t>Úroky:</t>
  </si>
  <si>
    <t>Celkem zaplatím:</t>
  </si>
  <si>
    <t>Porovnání variant</t>
  </si>
  <si>
    <t>Doba splácení (měsíce):</t>
  </si>
  <si>
    <t>Akontace v %:</t>
  </si>
  <si>
    <t>Akontace v Kč:</t>
  </si>
  <si>
    <t>Akontacev Kč:</t>
  </si>
  <si>
    <t>Splátka:</t>
  </si>
  <si>
    <t>Naspořená částka:</t>
  </si>
  <si>
    <t>Zbývající částka:</t>
  </si>
  <si>
    <t>Měsíční úroková sazba:</t>
  </si>
  <si>
    <t>Cena automobilu:</t>
  </si>
  <si>
    <t>Sleva od prodejce:</t>
  </si>
  <si>
    <t>Zaplacená částka půjčky:</t>
  </si>
  <si>
    <t>Varianta u prodejce aut</t>
  </si>
  <si>
    <t>Varianta v Bance</t>
  </si>
  <si>
    <t>varianta u prodejce aut</t>
  </si>
  <si>
    <t>varianta v 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</si>
</sst>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Kč&quot;;[Red]\-#,##0.00\ &quot;Kč&quot;"/>
    <numFmt numFmtId="44" formatCode="_-* #,##0.00\ &quot;Kč&quot;_-;\-* #,##0.00\ &quot;Kč&quot;_-;_-* &quot;-&quot;??\ &quot;Kč&quot;_-;_-@_-"/>
    <numFmt numFmtId="164" formatCode="_-* #,##0.00\ [$Kč-405]_-;\-* #,##0.00\ [$Kč-405]_-;_-* &quot;-&quot;??\ [$Kč-405]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u/>
      <sz val="11"/>
      <color theme="1"/>
      <name val="Calibri"/>
      <family val="2"/>
      <charset val="238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1" xfId="0" applyFont="1" applyFill="1" applyBorder="1"/>
    <xf numFmtId="0" fontId="5" fillId="4" borderId="1" xfId="0" applyFont="1" applyFill="1" applyBorder="1"/>
    <xf numFmtId="0" fontId="7" fillId="2" borderId="1" xfId="0" applyFont="1" applyFill="1" applyBorder="1"/>
    <xf numFmtId="0" fontId="0" fillId="3" borderId="1" xfId="0" applyFont="1" applyFill="1" applyBorder="1"/>
    <xf numFmtId="0" fontId="8" fillId="4" borderId="1" xfId="0" applyFont="1" applyFill="1" applyBorder="1"/>
    <xf numFmtId="9" fontId="0" fillId="3" borderId="1" xfId="2" applyFont="1" applyFill="1" applyBorder="1"/>
    <xf numFmtId="164" fontId="0" fillId="3" borderId="1" xfId="1" applyNumberFormat="1" applyFont="1" applyFill="1" applyBorder="1"/>
    <xf numFmtId="0" fontId="9" fillId="2" borderId="1" xfId="0" applyFont="1" applyFill="1" applyBorder="1"/>
    <xf numFmtId="10" fontId="0" fillId="3" borderId="1" xfId="2" applyNumberFormat="1" applyFont="1" applyFill="1" applyBorder="1"/>
    <xf numFmtId="8" fontId="6" fillId="4" borderId="1" xfId="0" applyNumberFormat="1" applyFont="1" applyFill="1" applyBorder="1"/>
    <xf numFmtId="164" fontId="5" fillId="4" borderId="1" xfId="0" applyNumberFormat="1" applyFont="1" applyFill="1" applyBorder="1"/>
    <xf numFmtId="164" fontId="0" fillId="3" borderId="1" xfId="0" applyNumberFormat="1" applyFont="1" applyFill="1" applyBorder="1"/>
    <xf numFmtId="0" fontId="10" fillId="0" borderId="0" xfId="0" applyFont="1"/>
    <xf numFmtId="8" fontId="5" fillId="4" borderId="1" xfId="0" applyNumberFormat="1" applyFont="1" applyFill="1" applyBorder="1"/>
    <xf numFmtId="164" fontId="0" fillId="3" borderId="1" xfId="2" applyNumberFormat="1" applyFont="1" applyFill="1" applyBorder="1"/>
    <xf numFmtId="1" fontId="0" fillId="3" borderId="1" xfId="1" applyNumberFormat="1" applyFont="1" applyFill="1" applyBorder="1"/>
    <xf numFmtId="44" fontId="0" fillId="3" borderId="1" xfId="1" applyFont="1" applyFill="1" applyBorder="1"/>
    <xf numFmtId="0" fontId="11" fillId="0" borderId="0" xfId="0" applyFont="1"/>
    <xf numFmtId="8" fontId="2" fillId="3" borderId="1" xfId="0" applyNumberFormat="1" applyFont="1" applyFill="1" applyBorder="1"/>
    <xf numFmtId="8" fontId="0" fillId="3" borderId="1" xfId="0" applyNumberFormat="1" applyFill="1" applyBorder="1"/>
    <xf numFmtId="44" fontId="5" fillId="4" borderId="1" xfId="0" applyNumberFormat="1" applyFont="1" applyFill="1" applyBorder="1"/>
    <xf numFmtId="44" fontId="2" fillId="0" borderId="0" xfId="1" applyFont="1"/>
    <xf numFmtId="10" fontId="5" fillId="4" borderId="1" xfId="0" applyNumberFormat="1" applyFont="1" applyFill="1" applyBorder="1"/>
    <xf numFmtId="10" fontId="5" fillId="4" borderId="1" xfId="2" applyNumberFormat="1" applyFont="1" applyFill="1" applyBorder="1"/>
    <xf numFmtId="0" fontId="2" fillId="2" borderId="1" xfId="0" applyFont="1" applyFill="1" applyBorder="1" applyAlignment="1">
      <alignment horizontal="center" vertical="center" wrapText="1"/>
    </xf>
  </cellXfs>
  <cellStyles count="3">
    <cellStyle name="Měna" xfId="1" builtinId="4"/>
    <cellStyle name="Normální" xfId="0" builtinId="0"/>
    <cellStyle name="Procenta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8" sqref="B8"/>
    </sheetView>
  </sheetViews>
  <sheetFormatPr defaultRowHeight="15" x14ac:dyDescent="0.25"/>
  <cols>
    <col min="1" max="1" width="21.42578125" customWidth="1"/>
    <col min="2" max="2" width="12.7109375" customWidth="1"/>
  </cols>
  <sheetData>
    <row r="1" spans="1:2" ht="21" x14ac:dyDescent="0.35">
      <c r="A1" s="3" t="s">
        <v>0</v>
      </c>
    </row>
    <row r="2" spans="1:2" x14ac:dyDescent="0.25">
      <c r="A2" s="1"/>
    </row>
    <row r="3" spans="1:2" x14ac:dyDescent="0.25">
      <c r="A3" s="6" t="s">
        <v>6</v>
      </c>
      <c r="B3" s="10">
        <v>10000</v>
      </c>
    </row>
    <row r="4" spans="1:2" x14ac:dyDescent="0.25">
      <c r="A4" s="6" t="s">
        <v>5</v>
      </c>
      <c r="B4" s="12">
        <v>2.3E-2</v>
      </c>
    </row>
    <row r="5" spans="1:2" x14ac:dyDescent="0.25">
      <c r="A5" s="6" t="s">
        <v>4</v>
      </c>
      <c r="B5" s="12">
        <f>B4/12</f>
        <v>1.9166666666666666E-3</v>
      </c>
    </row>
    <row r="6" spans="1:2" x14ac:dyDescent="0.25">
      <c r="A6" s="6" t="s">
        <v>3</v>
      </c>
      <c r="B6" s="10">
        <v>2000</v>
      </c>
    </row>
    <row r="7" spans="1:2" x14ac:dyDescent="0.25">
      <c r="A7" s="6" t="s">
        <v>2</v>
      </c>
      <c r="B7" s="7">
        <f>5*12</f>
        <v>60</v>
      </c>
    </row>
    <row r="8" spans="1:2" x14ac:dyDescent="0.25">
      <c r="A8" s="8" t="s">
        <v>1</v>
      </c>
      <c r="B8" s="13">
        <f>FV(B5,B7,-B6,-B3)</f>
        <v>138260.93856901763</v>
      </c>
    </row>
    <row r="9" spans="1:2" x14ac:dyDescent="0.25">
      <c r="A9" s="5" t="s">
        <v>10</v>
      </c>
      <c r="B9" s="14">
        <f>B8-(B3+(B7*B6))</f>
        <v>8260.9385690176277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34617-BDB0-47BB-BC5D-D9DEADC9A51C}">
  <dimension ref="A1:E15"/>
  <sheetViews>
    <sheetView workbookViewId="0">
      <selection activeCell="B9" sqref="B9"/>
    </sheetView>
  </sheetViews>
  <sheetFormatPr defaultRowHeight="15" x14ac:dyDescent="0.25"/>
  <cols>
    <col min="1" max="1" width="22.7109375" customWidth="1"/>
    <col min="2" max="2" width="15.42578125" customWidth="1"/>
  </cols>
  <sheetData>
    <row r="1" spans="1:5" ht="21" x14ac:dyDescent="0.35">
      <c r="A1" s="3" t="s">
        <v>0</v>
      </c>
    </row>
    <row r="2" spans="1:5" x14ac:dyDescent="0.25">
      <c r="A2" s="1"/>
    </row>
    <row r="3" spans="1:5" x14ac:dyDescent="0.25">
      <c r="A3" s="6" t="s">
        <v>6</v>
      </c>
      <c r="B3" s="10">
        <v>10000</v>
      </c>
    </row>
    <row r="4" spans="1:5" x14ac:dyDescent="0.25">
      <c r="A4" s="6" t="s">
        <v>5</v>
      </c>
      <c r="B4" s="12">
        <v>2.3E-2</v>
      </c>
    </row>
    <row r="5" spans="1:5" x14ac:dyDescent="0.25">
      <c r="A5" s="6" t="s">
        <v>4</v>
      </c>
      <c r="B5" s="12">
        <f>B4/12</f>
        <v>1.9166666666666666E-3</v>
      </c>
    </row>
    <row r="6" spans="1:5" x14ac:dyDescent="0.25">
      <c r="A6" s="6" t="s">
        <v>3</v>
      </c>
      <c r="B6" s="10">
        <v>2000</v>
      </c>
    </row>
    <row r="7" spans="1:5" x14ac:dyDescent="0.25">
      <c r="A7" s="6" t="s">
        <v>7</v>
      </c>
      <c r="B7" s="15">
        <v>250000</v>
      </c>
    </row>
    <row r="8" spans="1:5" x14ac:dyDescent="0.25">
      <c r="A8" s="8" t="s">
        <v>2</v>
      </c>
      <c r="B8" s="5">
        <f>CEILING(NPER(B5,-B6,-B3,B7),1)</f>
        <v>108</v>
      </c>
    </row>
    <row r="9" spans="1:5" x14ac:dyDescent="0.25">
      <c r="A9" s="5" t="s">
        <v>18</v>
      </c>
      <c r="B9" s="17">
        <f>FV(B5,B8,-B6,-B3)</f>
        <v>252024.94678540225</v>
      </c>
    </row>
    <row r="15" spans="1:5" x14ac:dyDescent="0.25">
      <c r="E15" s="16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3E39-684F-4BB9-A181-217D45A21822}">
  <dimension ref="A1:F21"/>
  <sheetViews>
    <sheetView tabSelected="1" workbookViewId="0">
      <selection activeCell="H26" sqref="H26"/>
    </sheetView>
  </sheetViews>
  <sheetFormatPr defaultRowHeight="15" x14ac:dyDescent="0.25"/>
  <cols>
    <col min="1" max="1" width="24" customWidth="1"/>
    <col min="2" max="2" width="14.140625" customWidth="1"/>
    <col min="3" max="3" width="14" customWidth="1"/>
    <col min="5" max="5" width="25.28515625" customWidth="1"/>
    <col min="6" max="6" width="14" customWidth="1"/>
  </cols>
  <sheetData>
    <row r="1" spans="1:6" ht="21" x14ac:dyDescent="0.35">
      <c r="A1" s="3" t="s">
        <v>8</v>
      </c>
    </row>
    <row r="2" spans="1:6" ht="21" x14ac:dyDescent="0.35">
      <c r="A2" s="3"/>
    </row>
    <row r="3" spans="1:6" ht="15.75" x14ac:dyDescent="0.25">
      <c r="A3" s="21" t="s">
        <v>21</v>
      </c>
      <c r="B3" s="25">
        <v>320000</v>
      </c>
    </row>
    <row r="4" spans="1:6" ht="15.75" x14ac:dyDescent="0.25">
      <c r="A4" s="21" t="s">
        <v>22</v>
      </c>
      <c r="B4" s="25">
        <v>40000</v>
      </c>
    </row>
    <row r="5" spans="1:6" ht="21" x14ac:dyDescent="0.35">
      <c r="A5" s="3"/>
    </row>
    <row r="6" spans="1:6" x14ac:dyDescent="0.25">
      <c r="A6" s="1" t="s">
        <v>24</v>
      </c>
      <c r="E6" s="1" t="s">
        <v>25</v>
      </c>
    </row>
    <row r="7" spans="1:6" x14ac:dyDescent="0.25">
      <c r="A7" s="6" t="s">
        <v>9</v>
      </c>
      <c r="B7" s="10">
        <f>B3-B4</f>
        <v>280000</v>
      </c>
      <c r="E7" s="6" t="s">
        <v>9</v>
      </c>
      <c r="F7" s="10">
        <f>B3</f>
        <v>320000</v>
      </c>
    </row>
    <row r="8" spans="1:6" x14ac:dyDescent="0.25">
      <c r="A8" s="6" t="s">
        <v>14</v>
      </c>
      <c r="B8" s="9">
        <v>0.4</v>
      </c>
      <c r="E8" s="6" t="s">
        <v>14</v>
      </c>
      <c r="F8" s="9">
        <v>0.4</v>
      </c>
    </row>
    <row r="9" spans="1:6" x14ac:dyDescent="0.25">
      <c r="A9" s="6" t="s">
        <v>15</v>
      </c>
      <c r="B9" s="18">
        <f>B8*B7</f>
        <v>112000</v>
      </c>
      <c r="E9" s="6" t="s">
        <v>16</v>
      </c>
      <c r="F9" s="20">
        <f>F8*F7</f>
        <v>128000</v>
      </c>
    </row>
    <row r="10" spans="1:6" x14ac:dyDescent="0.25">
      <c r="A10" s="6" t="s">
        <v>19</v>
      </c>
      <c r="B10" s="18">
        <f>B7-B9</f>
        <v>168000</v>
      </c>
      <c r="E10" s="4" t="s">
        <v>19</v>
      </c>
      <c r="F10" s="18">
        <f>F7-F9</f>
        <v>192000</v>
      </c>
    </row>
    <row r="11" spans="1:6" x14ac:dyDescent="0.25">
      <c r="A11" s="6" t="s">
        <v>13</v>
      </c>
      <c r="B11" s="19">
        <f>5*12</f>
        <v>60</v>
      </c>
      <c r="E11" s="6" t="s">
        <v>13</v>
      </c>
      <c r="F11" s="19">
        <v>60</v>
      </c>
    </row>
    <row r="12" spans="1:6" x14ac:dyDescent="0.25">
      <c r="A12" s="6" t="s">
        <v>17</v>
      </c>
      <c r="B12" s="10">
        <v>4000</v>
      </c>
      <c r="E12" s="6" t="s">
        <v>17</v>
      </c>
      <c r="F12" s="10">
        <f>PMT(F13,F11,-F10)</f>
        <v>3874.7160585803204</v>
      </c>
    </row>
    <row r="13" spans="1:6" x14ac:dyDescent="0.25">
      <c r="A13" s="8" t="s">
        <v>20</v>
      </c>
      <c r="B13" s="26">
        <f>RATE(B11,-B12,B10)</f>
        <v>1.2531099217275207E-2</v>
      </c>
      <c r="E13" s="8" t="s">
        <v>20</v>
      </c>
      <c r="F13" s="27">
        <f>F14/12</f>
        <v>6.4999999999999997E-3</v>
      </c>
    </row>
    <row r="14" spans="1:6" x14ac:dyDescent="0.25">
      <c r="A14" s="8" t="s">
        <v>5</v>
      </c>
      <c r="B14" s="27">
        <f>B13*12</f>
        <v>0.15037319060730248</v>
      </c>
      <c r="E14" s="8" t="s">
        <v>5</v>
      </c>
      <c r="F14" s="27">
        <v>7.8E-2</v>
      </c>
    </row>
    <row r="17" spans="1:3" ht="18.75" x14ac:dyDescent="0.3">
      <c r="A17" s="2" t="s">
        <v>12</v>
      </c>
    </row>
    <row r="18" spans="1:3" ht="30" x14ac:dyDescent="0.25">
      <c r="A18" s="4"/>
      <c r="B18" s="28" t="s">
        <v>26</v>
      </c>
      <c r="C18" s="28" t="s">
        <v>27</v>
      </c>
    </row>
    <row r="19" spans="1:3" x14ac:dyDescent="0.25">
      <c r="A19" s="4" t="s">
        <v>23</v>
      </c>
      <c r="B19" s="22">
        <f>FV(B13,B11,-B12)</f>
        <v>354659.46216890455</v>
      </c>
      <c r="C19" s="22">
        <f>FV(F13,F11,-F12)</f>
        <v>283222.65012895735</v>
      </c>
    </row>
    <row r="20" spans="1:3" x14ac:dyDescent="0.25">
      <c r="A20" s="11" t="s">
        <v>10</v>
      </c>
      <c r="B20" s="23">
        <f>B19-B10</f>
        <v>186659.46216890455</v>
      </c>
      <c r="C20" s="23">
        <f>C19-F10</f>
        <v>91222.65012895735</v>
      </c>
    </row>
    <row r="21" spans="1:3" x14ac:dyDescent="0.25">
      <c r="A21" s="5" t="s">
        <v>11</v>
      </c>
      <c r="B21" s="14">
        <f>B9+B19</f>
        <v>466659.46216890455</v>
      </c>
      <c r="C21" s="24">
        <f>F9+C19</f>
        <v>411222.65012895735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Spořící účet</vt:lpstr>
      <vt:lpstr>Spořící účet - cílová částka</vt:lpstr>
      <vt:lpstr>Splátky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2019-12-14T21:01:26Z</dcterms:modified>
</cp:coreProperties>
</file>