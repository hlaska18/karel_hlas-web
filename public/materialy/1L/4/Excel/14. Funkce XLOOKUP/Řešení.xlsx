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71" documentId="11_AD4D80C4656A4B0A437B18BF7A5C4E5A5BDEDD9E" xr6:coauthVersionLast="41" xr6:coauthVersionMax="41" xr10:uidLastSave="{D778EA9D-DA56-4D22-9EC6-DC34F64994C6}"/>
  <bookViews>
    <workbookView xWindow="-120" yWindow="-120" windowWidth="29040" windowHeight="15990" activeTab="1" xr2:uid="{00000000-000D-0000-FFFF-FFFF00000000}"/>
  </bookViews>
  <sheets>
    <sheet name="Výpočet" sheetId="2" r:id="rId1"/>
    <sheet name="Izolace trubek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6" i="2" l="1"/>
  <c r="B7" i="2" s="1"/>
</calcChain>
</file>

<file path=xl/sharedStrings.xml><?xml version="1.0" encoding="utf-8"?>
<sst xmlns="http://schemas.openxmlformats.org/spreadsheetml/2006/main" count="115" uniqueCount="11">
  <si>
    <t>Tabulka cen izolací trubek</t>
  </si>
  <si>
    <t>Vnitřní průměr [mm]</t>
  </si>
  <si>
    <t>Vnější průměr [mm]</t>
  </si>
  <si>
    <t>-</t>
  </si>
  <si>
    <t>Výpočet ceny izolace</t>
  </si>
  <si>
    <t>Zadejte vnitřní průměr:</t>
  </si>
  <si>
    <t>Zadejte vnější průměr:</t>
  </si>
  <si>
    <t>Počet metrů:</t>
  </si>
  <si>
    <t>Cena za 1m:</t>
  </si>
  <si>
    <t>Celková cena:</t>
  </si>
  <si>
    <t>Cena za 1m délky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</si>
</sst>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Kč&quot;_-;\-* #,##0.00\ &quot;Kč&quot;_-;_-* &quot;-&quot;??\ &quot;Kč&quot;_-;_-@_-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b/>
      <i/>
      <sz val="11"/>
      <color theme="0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38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0" fillId="2" borderId="0" xfId="0" applyFill="1"/>
    <xf numFmtId="0" fontId="2" fillId="3" borderId="4" xfId="0" applyFont="1" applyFill="1" applyBorder="1"/>
    <xf numFmtId="0" fontId="2" fillId="0" borderId="4" xfId="0" applyFont="1" applyBorder="1"/>
    <xf numFmtId="0" fontId="2" fillId="4" borderId="4" xfId="0" applyFont="1" applyFill="1" applyBorder="1"/>
    <xf numFmtId="0" fontId="5" fillId="0" borderId="0" xfId="0" applyFont="1"/>
    <xf numFmtId="0" fontId="1" fillId="5" borderId="4" xfId="0" applyFont="1" applyFill="1" applyBorder="1"/>
    <xf numFmtId="0" fontId="8" fillId="6" borderId="4" xfId="0" applyFont="1" applyFill="1" applyBorder="1"/>
    <xf numFmtId="0" fontId="2" fillId="6" borderId="4" xfId="0" applyFont="1" applyFill="1" applyBorder="1"/>
    <xf numFmtId="0" fontId="6" fillId="3" borderId="4" xfId="0" applyFont="1" applyFill="1" applyBorder="1"/>
    <xf numFmtId="0" fontId="7" fillId="3" borderId="4" xfId="0" applyFont="1" applyFill="1" applyBorder="1"/>
    <xf numFmtId="44" fontId="2" fillId="6" borderId="4" xfId="1" applyFont="1" applyFill="1" applyBorder="1"/>
    <xf numFmtId="0" fontId="4" fillId="2" borderId="1" xfId="0" applyFont="1" applyFill="1" applyBorder="1" applyAlignment="1">
      <alignment horizontal="center" shrinkToFit="1"/>
    </xf>
    <xf numFmtId="0" fontId="4" fillId="2" borderId="2" xfId="0" applyFont="1" applyFill="1" applyBorder="1" applyAlignment="1">
      <alignment horizontal="center" shrinkToFit="1"/>
    </xf>
    <xf numFmtId="0" fontId="4" fillId="2" borderId="3" xfId="0" applyFont="1" applyFill="1" applyBorder="1" applyAlignment="1">
      <alignment horizontal="center" shrinkToFit="1"/>
    </xf>
    <xf numFmtId="0" fontId="4" fillId="2" borderId="4" xfId="0" applyFont="1" applyFill="1" applyBorder="1" applyAlignment="1">
      <alignment horizontal="center" vertical="center" textRotation="255"/>
    </xf>
  </cellXfs>
  <cellStyles count="2">
    <cellStyle name="Měna" xfId="1" builtinId="4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C6C42-47EB-406D-8D88-CBBBFF3EA673}">
  <dimension ref="A1:B7"/>
  <sheetViews>
    <sheetView workbookViewId="0">
      <selection sqref="A1:B7"/>
    </sheetView>
  </sheetViews>
  <sheetFormatPr defaultRowHeight="15" x14ac:dyDescent="0.25"/>
  <cols>
    <col min="1" max="1" width="25" customWidth="1"/>
    <col min="2" max="2" width="13.5703125" customWidth="1"/>
  </cols>
  <sheetData>
    <row r="1" spans="1:2" ht="18.75" x14ac:dyDescent="0.3">
      <c r="A1" s="6" t="s">
        <v>4</v>
      </c>
    </row>
    <row r="3" spans="1:2" x14ac:dyDescent="0.25">
      <c r="A3" s="7" t="s">
        <v>5</v>
      </c>
      <c r="B3" s="11"/>
    </row>
    <row r="4" spans="1:2" x14ac:dyDescent="0.25">
      <c r="A4" s="7" t="s">
        <v>6</v>
      </c>
      <c r="B4" s="10"/>
    </row>
    <row r="5" spans="1:2" x14ac:dyDescent="0.25">
      <c r="A5" s="7" t="s">
        <v>7</v>
      </c>
      <c r="B5" s="10"/>
    </row>
    <row r="6" spans="1:2" x14ac:dyDescent="0.25">
      <c r="A6" s="8" t="s">
        <v>8</v>
      </c>
      <c r="B6" s="9" t="e">
        <f ca="1">XLOOKUP(Výpočet!B3,'Izolace trubek'!C5:R5,XLOOKUP(Výpočet!B4,'Izolace trubek'!B6:B22,'Izolace trubek'!C6:R22))</f>
        <v>#NAME?</v>
      </c>
    </row>
    <row r="7" spans="1:2" x14ac:dyDescent="0.25">
      <c r="A7" s="8" t="s">
        <v>9</v>
      </c>
      <c r="B7" s="12" t="e">
        <f ca="1">B5*B6</f>
        <v>#NAME?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tabSelected="1" workbookViewId="0">
      <selection activeCell="G15" sqref="G15"/>
    </sheetView>
  </sheetViews>
  <sheetFormatPr defaultRowHeight="15" x14ac:dyDescent="0.25"/>
  <sheetData>
    <row r="1" spans="1:18" ht="23.25" x14ac:dyDescent="0.35">
      <c r="A1" s="1" t="s">
        <v>0</v>
      </c>
    </row>
    <row r="3" spans="1:18" ht="18.75" x14ac:dyDescent="0.3">
      <c r="A3" s="6" t="s">
        <v>10</v>
      </c>
    </row>
    <row r="4" spans="1:18" x14ac:dyDescent="0.25">
      <c r="A4" s="2"/>
      <c r="B4" s="13" t="s">
        <v>1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5"/>
    </row>
    <row r="5" spans="1:18" x14ac:dyDescent="0.25">
      <c r="A5" s="16" t="s">
        <v>2</v>
      </c>
      <c r="B5" s="3"/>
      <c r="C5" s="3">
        <v>10</v>
      </c>
      <c r="D5" s="3">
        <v>15</v>
      </c>
      <c r="E5" s="3">
        <v>20</v>
      </c>
      <c r="F5" s="3">
        <v>25</v>
      </c>
      <c r="G5" s="3">
        <v>30</v>
      </c>
      <c r="H5" s="3">
        <v>35</v>
      </c>
      <c r="I5" s="3">
        <v>40</v>
      </c>
      <c r="J5" s="3">
        <v>45</v>
      </c>
      <c r="K5" s="3">
        <v>50</v>
      </c>
      <c r="L5" s="3">
        <v>55</v>
      </c>
      <c r="M5" s="3">
        <v>60</v>
      </c>
      <c r="N5" s="3">
        <v>65</v>
      </c>
      <c r="O5" s="3">
        <v>70</v>
      </c>
      <c r="P5" s="3">
        <v>75</v>
      </c>
      <c r="Q5" s="3">
        <v>80</v>
      </c>
      <c r="R5" s="3">
        <v>85</v>
      </c>
    </row>
    <row r="6" spans="1:18" x14ac:dyDescent="0.25">
      <c r="A6" s="16"/>
      <c r="B6" s="3">
        <v>20</v>
      </c>
      <c r="C6" s="4">
        <v>127</v>
      </c>
      <c r="D6" s="4">
        <v>394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4" t="s">
        <v>3</v>
      </c>
      <c r="O6" s="4" t="s">
        <v>3</v>
      </c>
      <c r="P6" s="4" t="s">
        <v>3</v>
      </c>
      <c r="Q6" s="4" t="s">
        <v>3</v>
      </c>
      <c r="R6" s="4" t="s">
        <v>3</v>
      </c>
    </row>
    <row r="7" spans="1:18" x14ac:dyDescent="0.25">
      <c r="A7" s="16"/>
      <c r="B7" s="3">
        <v>25</v>
      </c>
      <c r="C7" s="5">
        <v>108</v>
      </c>
      <c r="D7" s="5">
        <v>392</v>
      </c>
      <c r="E7" s="5">
        <v>377</v>
      </c>
      <c r="F7" s="5" t="s">
        <v>3</v>
      </c>
      <c r="G7" s="5" t="s">
        <v>3</v>
      </c>
      <c r="H7" s="5" t="s">
        <v>3</v>
      </c>
      <c r="I7" s="5" t="s">
        <v>3</v>
      </c>
      <c r="J7" s="5" t="s">
        <v>3</v>
      </c>
      <c r="K7" s="5" t="s">
        <v>3</v>
      </c>
      <c r="L7" s="5" t="s">
        <v>3</v>
      </c>
      <c r="M7" s="5" t="s">
        <v>3</v>
      </c>
      <c r="N7" s="5" t="s">
        <v>3</v>
      </c>
      <c r="O7" s="5" t="s">
        <v>3</v>
      </c>
      <c r="P7" s="5" t="s">
        <v>3</v>
      </c>
      <c r="Q7" s="5" t="s">
        <v>3</v>
      </c>
      <c r="R7" s="5" t="s">
        <v>3</v>
      </c>
    </row>
    <row r="8" spans="1:18" x14ac:dyDescent="0.25">
      <c r="A8" s="16"/>
      <c r="B8" s="3">
        <v>30</v>
      </c>
      <c r="C8" s="4">
        <v>243</v>
      </c>
      <c r="D8" s="4">
        <v>172</v>
      </c>
      <c r="E8" s="4">
        <v>347</v>
      </c>
      <c r="F8" s="4">
        <v>98</v>
      </c>
      <c r="G8" s="4" t="s">
        <v>3</v>
      </c>
      <c r="H8" s="4" t="s">
        <v>3</v>
      </c>
      <c r="I8" s="4" t="s">
        <v>3</v>
      </c>
      <c r="J8" s="4" t="s">
        <v>3</v>
      </c>
      <c r="K8" s="4" t="s">
        <v>3</v>
      </c>
      <c r="L8" s="4" t="s">
        <v>3</v>
      </c>
      <c r="M8" s="4" t="s">
        <v>3</v>
      </c>
      <c r="N8" s="4" t="s">
        <v>3</v>
      </c>
      <c r="O8" s="4" t="s">
        <v>3</v>
      </c>
      <c r="P8" s="4" t="s">
        <v>3</v>
      </c>
      <c r="Q8" s="4" t="s">
        <v>3</v>
      </c>
      <c r="R8" s="4" t="s">
        <v>3</v>
      </c>
    </row>
    <row r="9" spans="1:18" x14ac:dyDescent="0.25">
      <c r="A9" s="16"/>
      <c r="B9" s="3">
        <v>35</v>
      </c>
      <c r="C9" s="5">
        <v>246</v>
      </c>
      <c r="D9" s="5">
        <v>269</v>
      </c>
      <c r="E9" s="5">
        <v>426</v>
      </c>
      <c r="F9" s="5">
        <v>372</v>
      </c>
      <c r="G9" s="5">
        <v>70</v>
      </c>
      <c r="H9" s="5" t="s">
        <v>3</v>
      </c>
      <c r="I9" s="5" t="s">
        <v>3</v>
      </c>
      <c r="J9" s="5" t="s">
        <v>3</v>
      </c>
      <c r="K9" s="5" t="s">
        <v>3</v>
      </c>
      <c r="L9" s="5" t="s">
        <v>3</v>
      </c>
      <c r="M9" s="5" t="s">
        <v>3</v>
      </c>
      <c r="N9" s="5" t="s">
        <v>3</v>
      </c>
      <c r="O9" s="5" t="s">
        <v>3</v>
      </c>
      <c r="P9" s="5" t="s">
        <v>3</v>
      </c>
      <c r="Q9" s="5" t="s">
        <v>3</v>
      </c>
      <c r="R9" s="5" t="s">
        <v>3</v>
      </c>
    </row>
    <row r="10" spans="1:18" x14ac:dyDescent="0.25">
      <c r="A10" s="16"/>
      <c r="B10" s="3">
        <v>40</v>
      </c>
      <c r="C10" s="4">
        <v>385</v>
      </c>
      <c r="D10" s="4">
        <v>200</v>
      </c>
      <c r="E10" s="4">
        <v>282</v>
      </c>
      <c r="F10" s="4">
        <v>80</v>
      </c>
      <c r="G10" s="4">
        <v>286</v>
      </c>
      <c r="H10" s="4">
        <v>204</v>
      </c>
      <c r="I10" s="4" t="s">
        <v>3</v>
      </c>
      <c r="J10" s="4" t="s">
        <v>3</v>
      </c>
      <c r="K10" s="4" t="s">
        <v>3</v>
      </c>
      <c r="L10" s="4" t="s">
        <v>3</v>
      </c>
      <c r="M10" s="4" t="s">
        <v>3</v>
      </c>
      <c r="N10" s="4" t="s">
        <v>3</v>
      </c>
      <c r="O10" s="4" t="s">
        <v>3</v>
      </c>
      <c r="P10" s="4" t="s">
        <v>3</v>
      </c>
      <c r="Q10" s="4" t="s">
        <v>3</v>
      </c>
      <c r="R10" s="4" t="s">
        <v>3</v>
      </c>
    </row>
    <row r="11" spans="1:18" x14ac:dyDescent="0.25">
      <c r="A11" s="16"/>
      <c r="B11" s="3">
        <v>45</v>
      </c>
      <c r="C11" s="5">
        <v>398</v>
      </c>
      <c r="D11" s="5">
        <v>352</v>
      </c>
      <c r="E11" s="5">
        <v>366</v>
      </c>
      <c r="F11" s="5">
        <v>132</v>
      </c>
      <c r="G11" s="5">
        <v>281</v>
      </c>
      <c r="H11" s="5">
        <v>129</v>
      </c>
      <c r="I11" s="5">
        <v>382</v>
      </c>
      <c r="J11" s="5" t="s">
        <v>3</v>
      </c>
      <c r="K11" s="5" t="s">
        <v>3</v>
      </c>
      <c r="L11" s="5" t="s">
        <v>3</v>
      </c>
      <c r="M11" s="5" t="s">
        <v>3</v>
      </c>
      <c r="N11" s="5" t="s">
        <v>3</v>
      </c>
      <c r="O11" s="5" t="s">
        <v>3</v>
      </c>
      <c r="P11" s="5" t="s">
        <v>3</v>
      </c>
      <c r="Q11" s="5" t="s">
        <v>3</v>
      </c>
      <c r="R11" s="5" t="s">
        <v>3</v>
      </c>
    </row>
    <row r="12" spans="1:18" x14ac:dyDescent="0.25">
      <c r="A12" s="16"/>
      <c r="B12" s="3">
        <v>50</v>
      </c>
      <c r="C12" s="4">
        <v>366</v>
      </c>
      <c r="D12" s="4">
        <v>197</v>
      </c>
      <c r="E12" s="4">
        <v>400</v>
      </c>
      <c r="F12" s="4">
        <v>407</v>
      </c>
      <c r="G12" s="4">
        <v>349</v>
      </c>
      <c r="H12" s="4">
        <v>138</v>
      </c>
      <c r="I12" s="4">
        <v>83</v>
      </c>
      <c r="J12" s="4">
        <v>286</v>
      </c>
      <c r="K12" s="4" t="s">
        <v>3</v>
      </c>
      <c r="L12" s="4" t="s">
        <v>3</v>
      </c>
      <c r="M12" s="4" t="s">
        <v>3</v>
      </c>
      <c r="N12" s="4" t="s">
        <v>3</v>
      </c>
      <c r="O12" s="4" t="s">
        <v>3</v>
      </c>
      <c r="P12" s="4" t="s">
        <v>3</v>
      </c>
      <c r="Q12" s="4" t="s">
        <v>3</v>
      </c>
      <c r="R12" s="4" t="s">
        <v>3</v>
      </c>
    </row>
    <row r="13" spans="1:18" x14ac:dyDescent="0.25">
      <c r="A13" s="16"/>
      <c r="B13" s="3">
        <v>55</v>
      </c>
      <c r="C13" s="5">
        <v>407</v>
      </c>
      <c r="D13" s="5">
        <v>366</v>
      </c>
      <c r="E13" s="5">
        <v>170</v>
      </c>
      <c r="F13" s="5">
        <v>165</v>
      </c>
      <c r="G13" s="5">
        <v>180</v>
      </c>
      <c r="H13" s="5">
        <v>104</v>
      </c>
      <c r="I13" s="5">
        <v>280</v>
      </c>
      <c r="J13" s="5">
        <v>197</v>
      </c>
      <c r="K13" s="5">
        <v>426</v>
      </c>
      <c r="L13" s="5" t="s">
        <v>3</v>
      </c>
      <c r="M13" s="5" t="s">
        <v>3</v>
      </c>
      <c r="N13" s="5" t="s">
        <v>3</v>
      </c>
      <c r="O13" s="5" t="s">
        <v>3</v>
      </c>
      <c r="P13" s="5" t="s">
        <v>3</v>
      </c>
      <c r="Q13" s="5" t="s">
        <v>3</v>
      </c>
      <c r="R13" s="5" t="s">
        <v>3</v>
      </c>
    </row>
    <row r="14" spans="1:18" x14ac:dyDescent="0.25">
      <c r="A14" s="16"/>
      <c r="B14" s="3">
        <v>60</v>
      </c>
      <c r="C14" s="4">
        <v>298</v>
      </c>
      <c r="D14" s="4">
        <v>324</v>
      </c>
      <c r="E14" s="4">
        <v>104</v>
      </c>
      <c r="F14" s="4">
        <v>203</v>
      </c>
      <c r="G14" s="4">
        <v>199</v>
      </c>
      <c r="H14" s="4">
        <v>165</v>
      </c>
      <c r="I14" s="4">
        <v>132</v>
      </c>
      <c r="J14" s="4">
        <v>345</v>
      </c>
      <c r="K14" s="4">
        <v>286</v>
      </c>
      <c r="L14" s="4">
        <v>176</v>
      </c>
      <c r="M14" s="4" t="s">
        <v>3</v>
      </c>
      <c r="N14" s="4" t="s">
        <v>3</v>
      </c>
      <c r="O14" s="4" t="s">
        <v>3</v>
      </c>
      <c r="P14" s="4" t="s">
        <v>3</v>
      </c>
      <c r="Q14" s="4" t="s">
        <v>3</v>
      </c>
      <c r="R14" s="4" t="s">
        <v>3</v>
      </c>
    </row>
    <row r="15" spans="1:18" x14ac:dyDescent="0.25">
      <c r="A15" s="16"/>
      <c r="B15" s="3">
        <v>65</v>
      </c>
      <c r="C15" s="5">
        <v>412</v>
      </c>
      <c r="D15" s="5">
        <v>106</v>
      </c>
      <c r="E15" s="5">
        <v>256</v>
      </c>
      <c r="F15" s="5">
        <v>173</v>
      </c>
      <c r="G15" s="5">
        <v>285</v>
      </c>
      <c r="H15" s="5">
        <v>99</v>
      </c>
      <c r="I15" s="5">
        <v>181</v>
      </c>
      <c r="J15" s="5">
        <v>80</v>
      </c>
      <c r="K15" s="5">
        <v>278</v>
      </c>
      <c r="L15" s="5">
        <v>114</v>
      </c>
      <c r="M15" s="5">
        <v>173</v>
      </c>
      <c r="N15" s="5" t="s">
        <v>3</v>
      </c>
      <c r="O15" s="5" t="s">
        <v>3</v>
      </c>
      <c r="P15" s="5" t="s">
        <v>3</v>
      </c>
      <c r="Q15" s="5" t="s">
        <v>3</v>
      </c>
      <c r="R15" s="5" t="s">
        <v>3</v>
      </c>
    </row>
    <row r="16" spans="1:18" x14ac:dyDescent="0.25">
      <c r="A16" s="16"/>
      <c r="B16" s="3">
        <v>70</v>
      </c>
      <c r="C16" s="4">
        <v>164</v>
      </c>
      <c r="D16" s="4">
        <v>173</v>
      </c>
      <c r="E16" s="4">
        <v>292</v>
      </c>
      <c r="F16" s="4">
        <v>158</v>
      </c>
      <c r="G16" s="4">
        <v>290</v>
      </c>
      <c r="H16" s="4">
        <v>420</v>
      </c>
      <c r="I16" s="4">
        <v>225</v>
      </c>
      <c r="J16" s="4">
        <v>225</v>
      </c>
      <c r="K16" s="4">
        <v>62</v>
      </c>
      <c r="L16" s="4">
        <v>414</v>
      </c>
      <c r="M16" s="4">
        <v>139</v>
      </c>
      <c r="N16" s="4">
        <v>312</v>
      </c>
      <c r="O16" s="4" t="s">
        <v>3</v>
      </c>
      <c r="P16" s="4" t="s">
        <v>3</v>
      </c>
      <c r="Q16" s="4" t="s">
        <v>3</v>
      </c>
      <c r="R16" s="4" t="s">
        <v>3</v>
      </c>
    </row>
    <row r="17" spans="1:18" x14ac:dyDescent="0.25">
      <c r="A17" s="16"/>
      <c r="B17" s="3">
        <v>75</v>
      </c>
      <c r="C17" s="5">
        <v>323</v>
      </c>
      <c r="D17" s="5">
        <v>131</v>
      </c>
      <c r="E17" s="5">
        <v>102</v>
      </c>
      <c r="F17" s="5">
        <v>208</v>
      </c>
      <c r="G17" s="5">
        <v>276</v>
      </c>
      <c r="H17" s="5">
        <v>316</v>
      </c>
      <c r="I17" s="5">
        <v>132</v>
      </c>
      <c r="J17" s="5">
        <v>254</v>
      </c>
      <c r="K17" s="5">
        <v>354</v>
      </c>
      <c r="L17" s="5">
        <v>278</v>
      </c>
      <c r="M17" s="5">
        <v>393</v>
      </c>
      <c r="N17" s="5">
        <v>284</v>
      </c>
      <c r="O17" s="5">
        <v>425</v>
      </c>
      <c r="P17" s="5" t="s">
        <v>3</v>
      </c>
      <c r="Q17" s="5" t="s">
        <v>3</v>
      </c>
      <c r="R17" s="5" t="s">
        <v>3</v>
      </c>
    </row>
    <row r="18" spans="1:18" x14ac:dyDescent="0.25">
      <c r="A18" s="16"/>
      <c r="B18" s="3">
        <v>80</v>
      </c>
      <c r="C18" s="4">
        <v>237</v>
      </c>
      <c r="D18" s="4">
        <v>266</v>
      </c>
      <c r="E18" s="4">
        <v>339</v>
      </c>
      <c r="F18" s="4">
        <v>143</v>
      </c>
      <c r="G18" s="4">
        <v>281</v>
      </c>
      <c r="H18" s="4">
        <v>193</v>
      </c>
      <c r="I18" s="4">
        <v>118</v>
      </c>
      <c r="J18" s="4">
        <v>232</v>
      </c>
      <c r="K18" s="4">
        <v>154</v>
      </c>
      <c r="L18" s="4">
        <v>394</v>
      </c>
      <c r="M18" s="4">
        <v>206</v>
      </c>
      <c r="N18" s="4">
        <v>193</v>
      </c>
      <c r="O18" s="4">
        <v>312</v>
      </c>
      <c r="P18" s="4">
        <v>419</v>
      </c>
      <c r="Q18" s="4" t="s">
        <v>3</v>
      </c>
      <c r="R18" s="4" t="s">
        <v>3</v>
      </c>
    </row>
    <row r="19" spans="1:18" x14ac:dyDescent="0.25">
      <c r="A19" s="16"/>
      <c r="B19" s="3">
        <v>85</v>
      </c>
      <c r="C19" s="5">
        <v>207</v>
      </c>
      <c r="D19" s="5">
        <v>204</v>
      </c>
      <c r="E19" s="5">
        <v>113</v>
      </c>
      <c r="F19" s="5">
        <v>135</v>
      </c>
      <c r="G19" s="5">
        <v>307</v>
      </c>
      <c r="H19" s="5">
        <v>356</v>
      </c>
      <c r="I19" s="5">
        <v>172</v>
      </c>
      <c r="J19" s="5">
        <v>392</v>
      </c>
      <c r="K19" s="5">
        <v>328</v>
      </c>
      <c r="L19" s="5">
        <v>305</v>
      </c>
      <c r="M19" s="5">
        <v>172</v>
      </c>
      <c r="N19" s="5">
        <v>363</v>
      </c>
      <c r="O19" s="5">
        <v>98</v>
      </c>
      <c r="P19" s="5">
        <v>246</v>
      </c>
      <c r="Q19" s="5">
        <v>193</v>
      </c>
      <c r="R19" s="5" t="s">
        <v>3</v>
      </c>
    </row>
    <row r="20" spans="1:18" x14ac:dyDescent="0.25">
      <c r="A20" s="16"/>
      <c r="B20" s="3">
        <v>90</v>
      </c>
      <c r="C20" s="4">
        <v>267</v>
      </c>
      <c r="D20" s="4">
        <v>406</v>
      </c>
      <c r="E20" s="4">
        <v>400</v>
      </c>
      <c r="F20" s="4">
        <v>365</v>
      </c>
      <c r="G20" s="4">
        <v>161</v>
      </c>
      <c r="H20" s="4">
        <v>197</v>
      </c>
      <c r="I20" s="4">
        <v>356</v>
      </c>
      <c r="J20" s="4">
        <v>350</v>
      </c>
      <c r="K20" s="4">
        <v>134</v>
      </c>
      <c r="L20" s="4">
        <v>313</v>
      </c>
      <c r="M20" s="4">
        <v>199</v>
      </c>
      <c r="N20" s="4">
        <v>87</v>
      </c>
      <c r="O20" s="4">
        <v>194</v>
      </c>
      <c r="P20" s="4">
        <v>226</v>
      </c>
      <c r="Q20" s="4">
        <v>361</v>
      </c>
      <c r="R20" s="4">
        <v>381</v>
      </c>
    </row>
    <row r="21" spans="1:18" x14ac:dyDescent="0.25">
      <c r="A21" s="16"/>
      <c r="B21" s="3">
        <v>95</v>
      </c>
      <c r="C21" s="5">
        <v>226</v>
      </c>
      <c r="D21" s="5">
        <v>372</v>
      </c>
      <c r="E21" s="5">
        <v>124</v>
      </c>
      <c r="F21" s="5">
        <v>193</v>
      </c>
      <c r="G21" s="5">
        <v>123</v>
      </c>
      <c r="H21" s="5">
        <v>278</v>
      </c>
      <c r="I21" s="5">
        <v>265</v>
      </c>
      <c r="J21" s="5">
        <v>420</v>
      </c>
      <c r="K21" s="5">
        <v>89</v>
      </c>
      <c r="L21" s="5">
        <v>380</v>
      </c>
      <c r="M21" s="5">
        <v>106</v>
      </c>
      <c r="N21" s="5">
        <v>372</v>
      </c>
      <c r="O21" s="5">
        <v>287</v>
      </c>
      <c r="P21" s="5">
        <v>313</v>
      </c>
      <c r="Q21" s="5">
        <v>303</v>
      </c>
      <c r="R21" s="5">
        <v>264</v>
      </c>
    </row>
    <row r="22" spans="1:18" x14ac:dyDescent="0.25">
      <c r="A22" s="16"/>
      <c r="B22" s="3">
        <v>100</v>
      </c>
      <c r="C22" s="4">
        <v>430</v>
      </c>
      <c r="D22" s="4">
        <v>429</v>
      </c>
      <c r="E22" s="4">
        <v>204</v>
      </c>
      <c r="F22" s="4">
        <v>286</v>
      </c>
      <c r="G22" s="4">
        <v>125</v>
      </c>
      <c r="H22" s="4">
        <v>191</v>
      </c>
      <c r="I22" s="4">
        <v>287</v>
      </c>
      <c r="J22" s="4">
        <v>207</v>
      </c>
      <c r="K22" s="4">
        <v>97</v>
      </c>
      <c r="L22" s="4">
        <v>368</v>
      </c>
      <c r="M22" s="4">
        <v>322</v>
      </c>
      <c r="N22" s="4">
        <v>306</v>
      </c>
      <c r="O22" s="4">
        <v>280</v>
      </c>
      <c r="P22" s="4">
        <v>279</v>
      </c>
      <c r="Q22" s="4">
        <v>293</v>
      </c>
      <c r="R22" s="4">
        <v>194</v>
      </c>
    </row>
  </sheetData>
  <mergeCells count="2">
    <mergeCell ref="B4:R4"/>
    <mergeCell ref="A5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Výpočet</vt:lpstr>
      <vt:lpstr>Izolace trubek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2019-12-16T22:29:47Z</dcterms:modified>
</cp:coreProperties>
</file>